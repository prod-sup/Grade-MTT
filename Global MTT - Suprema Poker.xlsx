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activeTab="1"/>
  </bookViews>
  <sheets>
    <sheet name="G MTTS" sheetId="1" r:id="rId1"/>
    <sheet name="MTTS BRAZIL"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tc={fff25b00-c28e-45cc-a225-b3ad1aa3ef89}</author>
    <author>tc={1e170353-c018-4ba8-9220-e559b1f3da02}</author>
    <author>tc={6c5d1a29-f6ae-44de-90bd-2b2dca379e4e}</author>
    <author>tc={9e11071a-9cd2-41d7-b8a2-9a313b3f164d}</author>
    <author>tc={455587a3-2862-4e38-ba19-811a68853f4f}</author>
    <author>tc={e4e24a68-3e8b-490e-b38e-015c4555003a}</author>
    <author>tc={2b61773c-50d6-4aa8-afdb-774f021d20eb}</author>
    <author>tc={0aa23690-b500-4b06-a1bd-35d26c188d48}</author>
    <author>tc={3ed05c85-d7f9-463c-a8e6-671b94ef7975}</author>
    <author>tc={0adcc43c-b825-4be2-9e8c-cf3b5469b939}</author>
    <author>tc={b83cdcf9-d6ed-4eac-81ed-92a44fd86883}</author>
    <author>tc={070bd51c-b544-41c1-a450-bfb11416b5c2}</author>
    <author>tc={87a0deae-c01f-44f2-9030-3e20e745f0a3}</author>
    <author>tc={614bfbe4-f256-41be-a940-f0a0f9746d25}</author>
    <author>tc={061e2d9e-3683-4b3e-af5b-138851589e2e}</author>
    <author>tc={9ac6a451-2021-4142-ae70-f9c35c52d419}</author>
    <author>tc={fc46679a-bda5-4f60-8e59-10f587970de7}</author>
    <author>tc={87dd08bb-cc6e-451b-889b-87e189af0924}</author>
    <author>tc={63a22d4f-0547-4286-b86a-dbcacc333903}</author>
    <author>tc={ae749d78-6547-4c18-88c1-3eb0770a04da}</author>
    <author>tc={df464761-e1bb-4d81-aea9-8a34990b138e}</author>
    <author>tc={19a25e03-222c-49bb-82ab-0534958d983d}</author>
    <author>tc={9d7c3590-5e34-41a3-9c28-118886e35bf0}</author>
    <author>tc={17bb290d-17d6-40b0-9b27-6c441b5d31cc}</author>
    <author>tc={127ab94f-6b20-4767-b1fa-77d00379d08d}</author>
    <author>tc={43f76bd0-bf73-4170-be32-20387c2ebd56}</author>
    <author>tc={d9cdbe22-b641-46fd-a2aa-8156f2785498}</author>
    <author>tc={6019c46a-cea6-4dca-b679-df72bb7ffa26}</author>
    <author>tc={72e60267-6817-432d-95c8-1cf52c9875b0}</author>
    <author>tc={3700ab53-1e2c-415d-8315-d84b476b268c}</author>
    <author>tc={f98c95c4-45aa-49bf-9188-7b1a107ceef7}</author>
    <author>tc={14df6c7f-4a4c-4bee-9c17-ae62537b63d7}</author>
    <author>tc={340174ec-43bf-49f8-a824-7390708e024e}</author>
    <author>tc={6c3619e9-3075-455b-9da8-88c6e1e7c02f}</author>
    <author>tc={67992e85-b150-4fa0-ba15-6569bf2b7801}</author>
    <author>tc={eb9cee27-4e3c-4392-a4e7-827e421ff463}</author>
    <author>tc={686afa1f-59d3-49d0-99ff-5bbe9b836d84}</author>
    <author>tc={8b2bdd75-d5cb-4f16-ae98-b02b660f70dc}</author>
    <author>tc={9bc96cb4-081e-4012-8a49-6c4bdf5fd986}</author>
    <author>tc={284552fc-4e86-4a92-8be3-6f67d5342419}</author>
    <author>tc={07a77db4-3655-4fcc-a6a6-1b7ae3e5ee31}</author>
    <author>tc={864e450e-1615-4d11-8b61-0839f72f7cac}</author>
    <author>tc={e8faed67-4fc0-455a-b09c-abfe32dbbe3e}</author>
    <author>tc={dc768290-c802-4ac8-9d64-19bd4c8b6502}</author>
    <author>tc={1424903f-ec1c-4c08-8e01-97657269bacc}</author>
    <author>tc={505ed5f1-6dc2-48ab-9bc7-1ea16760e416}</author>
    <author>tc={d185ec89-90bb-453b-84ce-02fb37db7c59}</author>
    <author>tc={b7944942-6e32-469a-a926-928efca3373d}</author>
    <author>tc={041d16a8-e6ee-4d34-95aa-b57d50f536b1}</author>
    <author>tc={1044e13a-857c-425c-b196-43dcb8608562}</author>
    <author>tc={7120523e-c394-4bcd-901c-12b3d8bdae88}</author>
    <author>tc={ca92d860-8d84-4ca9-a87b-d54041821c8c}</author>
    <author>tc={ef1c70bb-89be-4c30-9b97-7bd38a67b41f}</author>
    <author>tc={7dd13c8c-91d0-4998-8d73-9bffb60105c4}</author>
    <author>tc={aae73611-55c8-40f3-a427-6e0953afb31e}</author>
    <author>tc={fd89970e-6710-495d-89c4-b0865aedcae6}</author>
    <author>tc={81acbb99-4f9c-4f53-b42b-b516d9eb4183}</author>
    <author>tc={1011f92e-c87c-4b94-b7c1-ffaa0fb137bc}</author>
    <author>tc={de984fcb-85ec-4c25-8ee5-0a44e7475750}</author>
    <author>tc={52503e65-d704-46e5-a1fc-880fdb8febef}</author>
    <author>tc={d8a02b2f-20be-44bd-83bc-9a3af8c5e1a9}</author>
    <author>tc={8086cfba-f0ea-4fcc-aae0-87ef016ec44a}</author>
    <author>tc={ed1dbada-e681-4d8d-a0b7-219832b5a209}</author>
    <author>tc={41f37fb8-828c-4c9a-bdef-099cadaeca3a}</author>
    <author>tc={5e00c788-b2d1-4846-91f0-3d920176dd47}</author>
    <author>tc={15018731-6f3f-4a5a-ac6e-e004c531a358}</author>
    <author>tc={88955760-9bc9-4674-960f-51ced3724368}</author>
    <author>tc={cf30305f-f6ab-4a72-951f-ed7d42df3ea1}</author>
    <author>tc={41a4c9c3-6c73-4c56-88b2-85aede8926f1}</author>
    <author>tc={02d8c355-b9f5-4c43-87c5-245725941982}</author>
    <author>tc={fff28785-26ac-4ddf-9c7b-69f473960600}</author>
    <author>tc={4517c059-d29d-46c6-92fc-f5848697d895}</author>
    <author>tc={67e10000-0d6b-4a8b-98f7-7783a5f2ee62}</author>
    <author>tc={c5eda990-a65c-4939-8cdb-9cb24e062e35}</author>
    <author>tc={ecf9674a-c972-42ff-853d-b14a68572169}</author>
    <author>tc={4ff59c6c-44b3-45a6-b2ea-4353839d8b58}</author>
    <author>tc={34012498-ec85-41f1-9907-2bf78066eb3b}</author>
    <author>tc={ff287dfd-23e6-4576-a299-220a5a81e877}</author>
    <author>tc={df855a6d-2236-48cf-b138-856e1506917e}</author>
    <author>tc={26cbad01-ef36-4026-80f6-92c32747ecdb}</author>
    <author>tc={24991ba0-0e7e-42f0-9522-6ec27e526a53}</author>
    <author>tc={3b915bae-0542-459b-945b-7559121ba616}</author>
    <author>tc={67d1bba1-e9ef-42fd-a471-d5f422dd2d23}</author>
    <author>tc={568e95b9-93d1-4a96-86bb-391ad67cd2ff}</author>
    <author>tc={c07f163f-a8cf-4822-9bd3-997eda06c9f0}</author>
    <author>tc={d4563938-eb60-4131-9764-3f22ce94b98e}</author>
    <author>tc={7df0672c-21ae-40af-b429-ea4950d5480b}</author>
    <author>tc={c3e7b55a-d148-4622-8017-69d6e000b7a2}</author>
    <author>tc={ebca9853-c90e-43a4-9844-44260f7d84da}</author>
    <author>tc={1022698b-0c1a-441e-8512-40604a2ffcc6}</author>
    <author>tc={85f1d481-dd4c-488d-8de9-f4d9a5669afb}</author>
    <author>tc={b4809c70-3df4-47f7-8dcd-5fd9c09e8f54}</author>
    <author>tc={d11d7a66-6c73-42d4-8248-ac61e1ff1ade}</author>
    <author>tc={91e2a37a-668c-47a6-935f-6e075c78738f}</author>
    <author>tc={68f3f4b9-ea9d-42eb-9c84-eee9e26fa634}</author>
    <author>tc={c671f30e-0d80-4693-917c-ef045e4b2a4f}</author>
    <author>tc={99a01660-b52a-474a-8ed3-b9cf64e08312}</author>
    <author>tc={62f8ac27-193e-4513-9dd0-57ba91b4217d}</author>
    <author>tc={b531983b-15f1-417b-84cc-f941c9d21a93}</author>
    <author>tc={b184eee9-c49f-4185-aba4-2bf8d4a8d3d2}</author>
    <author>tc={caf792c8-8e14-46fa-bd67-78aca64253e5}</author>
    <author>tc={a39bff5f-3331-4d82-8832-fee7e2529468}</author>
    <author>tc={fa63c773-7e2e-48ae-929c-cfceb0ca5573}</author>
    <author>tc={c1d48571-9a85-4b61-b50c-dcef4221b44a}</author>
    <author>tc={c4cd8c41-3d3f-4a59-bd67-3e1c9b50b589}</author>
    <author>tc={0f34974c-fd41-4003-b6b9-e183ea621efb}</author>
    <author>tc={aeadaa3b-3d03-4619-9038-4c2b1e00492d}</author>
    <author>tc={e64af57e-1480-4fb7-9d66-ff4459819a0f}</author>
    <author>tc={99232c96-8c30-49ce-aaae-cc0c63107302}</author>
    <author>tc={afb6f25a-6893-4539-8d46-44ebcb790886}</author>
    <author>tc={ce6edc1a-ceae-4306-b5a0-9ef0f92fe98a}</author>
    <author>tc={153dbcd0-65ff-4a3f-8f61-323a5b9d1d73}</author>
    <author>tc={aafdce8b-cbdf-4786-a271-a09f47d8a55c}</author>
    <author>tc={6ee6c895-c3f7-4bbf-becc-4c62b0af41ad}</author>
    <author>tc={7ced971d-bf64-400e-b50b-c8af5e061774}</author>
    <author>tc={440c5a0d-7043-460b-99fb-3ad6d10651bd}</author>
    <author>tc={b8e2413d-6276-4515-9cc6-927c936a98ef}</author>
    <author>tc={39656dfd-bf41-4512-8a94-6641eb6c3049}</author>
    <author>tc={6f9a41ea-6cdf-436d-9339-a97ef4c9c5b1}</author>
    <author>tc={d8706f22-b03a-420f-ada3-74812bb89d0e}</author>
    <author>tc={e839fdac-1ca2-4187-91e8-049da7af65f3}</author>
    <author>tc={bb94e518-9bfe-43a8-a61e-e46a5eb76c56}</author>
    <author>tc={8355a4fa-50e3-4e49-942d-c293d4180336}</author>
    <author>tc={efc70aa1-5024-4ca1-b5d5-715f560064dc}</author>
    <author>tc={a04135e2-2a03-4f6a-92b8-f023134b5713}</author>
    <author>tc={56923b28-919e-48c7-b80e-34da5a9e4417}</author>
    <author>tc={060402e2-b2b9-4cd4-b716-200029184ff2}</author>
    <author>tc={64a67da9-962d-4fb4-b9ff-b29a36d21871}</author>
    <author>tc={a28eb647-8e00-4b24-9da3-0c08a0fb35bd}</author>
    <author>tc={8264b131-27a9-4899-8675-38350232a113}</author>
    <author>tc={c8bbb4a3-ef90-469f-9800-5ac6d544aa32}</author>
    <author>tc={052a3080-cd1d-45e7-906c-5c0943750050}</author>
    <author>tc={ead91977-b721-4d21-b14d-a41db9b533d4}</author>
    <author>tc={c21a9cc2-d7a5-45ad-be75-76fdc488eb39}</author>
    <author>tc={076fc8d2-ae28-4148-9d2d-899483e0b586}</author>
    <author>tc={79bfcebc-1851-420e-b81e-da6f832192ad}</author>
    <author>tc={0cb8bbe5-a366-4eea-a2b2-57462e3697bd}</author>
    <author>tc={3724f1bf-28ed-4473-b5c7-70156c935db6}</author>
    <author>tc={17b1c139-d8fc-4183-9b87-55a1d77ab946}</author>
    <author>tc={72904bb2-a2b8-4b9f-b8db-6e5731ce59f5}</author>
    <author>tc={c0bc1af9-16ed-49cd-8f39-1a8724ad2465}</author>
    <author>tc={ae34e358-9f4d-4070-b1bb-0aed16c5b7c9}</author>
    <author>tc={0d6457a9-21f4-47a8-8e06-7f471d035de9}</author>
    <author>tc={81859526-75a0-423c-9475-bd48712c9e50}</author>
    <author>tc={2e8d3826-0378-4f04-a8ed-661f12678a7e}</author>
    <author>tc={3de0461f-3064-4b0e-bb6d-69d6b7252ce3}</author>
    <author>tc={5504b4fd-eea8-4727-8bbd-779f4a3f4a45}</author>
    <author>tc={a16d8d37-7b2a-4a6b-a3e3-8e5579f83ab3}</author>
    <author>tc={04d74004-307b-4237-9863-9e45b0834807}</author>
    <author>tc={a1ba7c74-82b7-4049-a418-506561d33078}</author>
    <author>tc={926427ac-b7ce-4545-b058-ffbf7d456230}</author>
    <author>tc={7edd2dba-ab8b-420a-9e8f-749c7425eade}</author>
    <author>tc={c5e7c852-534f-4c59-a64a-65f21cb91c28}</author>
    <author>tc={5bbb02b5-eb8e-4d65-b370-02370c68b98f}</author>
    <author>tc={d3e48fac-c7c3-4d2d-be4c-bb6a13a1ff1e}</author>
    <author>tc={6a5da481-78cf-4113-ad89-c61ab6c90370}</author>
    <author>tc={cdeb498f-80b5-4ee1-956b-b382528664d1}</author>
    <author>tc={b4089212-76b2-4d8d-9c0d-9f6a2d45e279}</author>
    <author>tc={f0bffcce-25d2-4c72-944f-823c49ed1f85}</author>
    <author>tc={b9c6979f-ece3-4dea-815e-088b67decf84}</author>
    <author>tc={63bc5cb6-cde8-4449-aab0-96f13c98561b}</author>
    <author>tc={861f877e-26b7-4278-a92c-72a85b71dd93}</author>
    <author>tc={be228667-e168-4ec7-9e0c-60024ddc729a}</author>
    <author>tc={b6f0fafc-15d4-4319-9933-f89140a7d7c1}</author>
    <author>tc={4bed1a7c-7b47-4665-a37b-02e0ffacfac5}</author>
    <author>tc={c956eed7-6be8-4500-b0aa-44daa188581c}</author>
    <author>tc={5c2bf71f-a918-4300-b61a-91f4f5a42fc2}</author>
    <author>tc={4f3d39f7-47ad-48c9-9dc4-9bbed58deae7}</author>
    <author>tc={de7fcaf6-beef-48c5-880a-7f0dd6f059e9}</author>
    <author>tc={5642bc47-2895-4fbb-9dae-86ab104a377c}</author>
    <author>tc={2af1275b-ce31-498c-9b19-dca86d9eb539}</author>
    <author>tc={9dccafdf-c5c1-41a7-a3ee-9568a1b25230}</author>
    <author>tc={14966b31-b5a4-4fcf-bb27-ce8f53b13d7c}</author>
    <author>tc={9df0782c-2800-4977-a8f7-43e2f468ec05}</author>
    <author>tc={6ec9b4f1-f860-4818-9826-9298487b168f}</author>
    <author>tc={3480b97d-3ac6-4777-a12b-dfee9d41f041}</author>
    <author>tc={700bfd35-7e9c-46ae-9f0f-82bd2a5d2066}</author>
    <author>tc={39bded8e-3ba7-4af9-a80a-9d7d61e821be}</author>
    <author>tc={c8679658-6fe9-4732-b71a-df96b0f41755}</author>
    <author>tc={3c40fddf-c813-4d82-94fc-12f88a44d2bd}</author>
    <author>tc={dd2ec3fb-1040-427e-9f1d-387420b3f5a7}</author>
    <author>tc={a0b53012-4144-4d88-9229-3dab66e0e34a}</author>
    <author>tc={c05b3743-48ac-4e41-999d-528a1fde42ef}</author>
    <author>tc={f6e49bfe-576b-4882-92d4-543d8ecf9d74}</author>
    <author>tc={61bb5bb0-7506-4cf4-8d0b-0a4d5108a24a}</author>
    <author>tc={dc878064-e21e-4270-a14f-e8d0a9864d0d}</author>
    <author>tc={702b553f-9537-48dc-b779-8def4fa19c54}</author>
    <author>tc={afabb83b-f328-40bc-82ad-ea743876012a}</author>
    <author>tc={2c0cc974-6044-4dd3-8544-2ba3d337640d}</author>
    <author>tc={9fb82119-895d-448e-b646-214669c17081}</author>
    <author>tc={5498a835-1cac-4e4c-9079-5464ce904dc0}</author>
    <author>tc={18cac089-7fcb-4a05-9d11-3faf69cb9baf}</author>
    <author>tc={200cb513-7fec-4fec-8952-1078cfd984fb}</author>
    <author>tc={bf8bcc16-2821-4a85-a8e2-8742e6194d4d}</author>
    <author>tc={ef63a9f3-bc34-4f9b-918f-14c9c7804135}</author>
    <author>tc={106e28eb-faaf-45b4-9502-f2a4365f163a}</author>
    <author>tc={aa201719-3f4d-49d4-9040-5a48be333dfb}</author>
    <author>tc={f11927c5-73d4-431f-b764-39a221385ace}</author>
    <author>tc={28b30d22-0b07-4b0c-b07f-3645d90a1990}</author>
    <author>tc={8dea5d52-ac93-4e0e-b84a-1e86f6fe6e4a}</author>
    <author>tc={8966d269-ebec-4b45-b1fe-6705052e5496}</author>
    <author>tc={9ee46bf5-3d03-40e9-8cd7-b506556c9fa3}</author>
    <author>tc={7c4836e6-729b-410e-9b72-b5935b72c2a3}</author>
    <author>tc={43226350-3b22-45ac-97ed-95305f63b611}</author>
    <author>tc={16960542-b491-49c2-bb3c-1736ab0f71de}</author>
    <author>tc={8617f580-1738-41fb-9458-a61b9d161aeb}</author>
    <author>tc={36e0cb4b-13ee-4f70-b694-56ac86a204ae}</author>
    <author>tc={8a95e5d8-04c4-4230-be33-76aa547a5ab7}</author>
    <author>tc={834217e4-5b68-4d60-8bde-9e67782f646b}</author>
    <author>tc={9b1f96b0-57c1-463b-8b70-d088e41057f8}</author>
    <author>tc={df0c7721-f932-4cbe-bd4f-362da0cca493}</author>
    <author>tc={fcdaa4d3-e7bd-48f1-8370-da98a981119b}</author>
    <author>tc={06bdd7bc-b1f2-4c02-aff0-92dc5b6f694b}</author>
    <author>tc={264c76f0-6b80-4c0b-ad4d-f009a695dba1}</author>
    <author>tc={9100cd3b-0b11-4719-b5b9-401397e9d561}</author>
    <author>tc={7382a124-2e62-4857-8c9e-ad3b146ed5a3}</author>
    <author>tc={7ff355c7-4c3b-4dd5-92ca-98094808b154}</author>
    <author>tc={96037f2b-d665-462b-9f1f-b3098f0621ac}</author>
    <author>tc={a95e53b2-0840-4e8a-9a9e-94ca898b05c5}</author>
    <author>tc={9bb2305a-8993-4d66-bf9a-fad62a4423e9}</author>
    <author>tc={71c9c7e4-6430-4fa4-a444-5c78f7f498f9}</author>
    <author>tc={d7e66916-deed-42e0-acc1-2e2fcc200618}</author>
    <author>tc={14e52e27-302d-46ed-9ca7-fbf717386ed9}</author>
    <author>tc={dc04130a-846f-449f-98a9-a151f6683df5}</author>
    <author>tc={aaa37b82-3a25-41cb-a5ed-0702ae14ddc6}</author>
    <author>tc={c024806b-656d-42a8-80b0-ae1f972a4a11}</author>
    <author>tc={bb628c94-2f52-4166-a5f9-3a3c5b14dc51}</author>
    <author>tc={3e1d45b2-fc4d-4036-8af6-912380afac3e}</author>
    <author>tc={30363eab-c18c-41b5-b070-f896b0b502f6}</author>
    <author>tc={3d4482c1-f8f2-4c82-831b-958434e5acab}</author>
    <author>tc={979b821a-7c77-42b4-a7dd-08d055723f54}</author>
    <author>tc={e78dac8a-c4d6-4939-9782-2f7a36f1be32}</author>
    <author>tc={432e0140-f3c3-49db-9229-e2c23636ada0}</author>
    <author>tc={ce2682f5-135a-4184-ba6d-e694f0021d0b}</author>
    <author>tc={f33304db-a0b3-48a7-ab36-f666a09d9bc2}</author>
    <author>tc={0d01d36b-ed9d-479b-9382-dd32d89d25e7}</author>
    <author>tc={3ee5ce03-9b3d-41d4-ac77-0bb1d6601cf2}</author>
    <author>tc={e78a62d4-053d-4d85-9189-07d3ee02c21a}</author>
    <author>tc={530a3a17-35a2-4534-96eb-7439871aa927}</author>
    <author>tc={49d61389-61e4-4b53-8e64-f89c303cf748}</author>
  </authors>
  <commentList>
    <comment ref="A1" authorId="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Buy-in 11
</t>
        </r>
      </text>
    </comment>
    <comment ref="J10" authorId="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Black Friday
</t>
        </r>
      </text>
    </comment>
    <comment ref="J13" authorId="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pct spt2 campeão admin fee
</t>
        </r>
      </text>
    </comment>
    <comment ref="J15" authorId="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retirado 25k
</t>
        </r>
      </text>
    </comment>
    <comment ref="J19" authorId="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Teste estrutura nova de blinds e stack
</t>
        </r>
      </text>
    </comment>
    <comment ref="J21" authorId="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J22" authorId="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J23" authorId="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J26" authorId="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L38" authorId="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40" authorId="1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43" authorId="1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Testagem estrutura de blinds
</t>
        </r>
      </text>
    </comment>
    <comment ref="L43" authorId="1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49" authorId="1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GESTÃO, desenvolver e replicar para os outros dias após testagem
</t>
        </r>
      </text>
    </comment>
    <comment ref="L49" authorId="1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50" authorId="1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55" authorId="1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58" authorId="1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Reduzir para 4k
</t>
        </r>
      </text>
    </comment>
    <comment ref="L58" authorId="1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59" authorId="1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62" authorId="2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63" authorId="2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64" authorId="2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68" authorId="2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V68" authorId="2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Buy-in: 0 - 30K fichas
Re-buy: 1 - 30K fichas
Add-on: 1 - 120K fichas
</t>
        </r>
      </text>
    </comment>
    <comment ref="L69" authorId="2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74" authorId="2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75" authorId="2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76" authorId="2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102" authorId="2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Satélite para o main event 50K Plus 15,00 das 18:00
</t>
        </r>
      </text>
    </comment>
    <comment ref="J104" authorId="3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torneio 19:30
</t>
        </r>
      </text>
    </comment>
    <comment ref="L104" authorId="3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TORNEIO-ALVO: 19:30 OMAX 150,00
</t>
        </r>
      </text>
    </comment>
    <comment ref="L127" authorId="3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Já criado
</t>
        </r>
      </text>
    </comment>
    <comment ref="L128" authorId="3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Já criado
</t>
        </r>
      </text>
    </comment>
    <comment ref="J131" authorId="3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Black Friday
</t>
        </r>
      </text>
    </comment>
    <comment ref="L131" authorId="3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Já criado
</t>
        </r>
      </text>
    </comment>
    <comment ref="V131" authorId="3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RECRIAR AS 12:00 DO DIA DO TORNEIO COM O BUY-IN CORRETO DE 3,00
</t>
        </r>
      </text>
    </comment>
    <comment ref="L132" authorId="3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Já criado
</t>
        </r>
      </text>
    </comment>
    <comment ref="J133" authorId="3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NÃO COMPARTILHAR COM A REAL
</t>
        </r>
      </text>
    </comment>
    <comment ref="L133" authorId="3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NÃO COMPARTILHAR COM A REAL
</t>
        </r>
      </text>
    </comment>
    <comment ref="L135" authorId="4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Já criado
</t>
        </r>
      </text>
    </comment>
    <comment ref="L139" authorId="4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142" authorId="4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143" authorId="4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AJUSTAR +100
</t>
        </r>
      </text>
    </comment>
    <comment ref="L145" authorId="4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148" authorId="4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153" authorId="4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156" authorId="4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157" authorId="4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159" authorId="4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V159" authorId="5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buy-in 0 - 30K 
Rebuy 2 - 30k 
Add-on 2 - 120K
</t>
        </r>
      </text>
    </comment>
    <comment ref="L161" authorId="5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162" authorId="5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165" authorId="5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166" authorId="5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167" authorId="5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168" authorId="5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170" authorId="5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FreeBuy com 3 vagas garantidas para o Main Event da SMS
</t>
        </r>
      </text>
    </comment>
    <comment ref="L173" authorId="5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176" authorId="5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GESTÃO: torneio novo em teste
</t>
        </r>
      </text>
    </comment>
    <comment ref="L177" authorId="6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178" authorId="6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181" authorId="6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182" authorId="6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183" authorId="6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186" authorId="6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187" authorId="6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250" authorId="6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Black Friday
</t>
        </r>
      </text>
    </comment>
    <comment ref="L250" authorId="6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CRIADOOOOOOO
</t>
        </r>
      </text>
    </comment>
    <comment ref="V250" authorId="6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RECRIAR AS 12:00 DO DIA DO TORNEIO COM O BUY-IN CORRETO DE 6,00
</t>
        </r>
      </text>
    </comment>
    <comment ref="J252" authorId="7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Não compartilhar com a Real
</t>
        </r>
      </text>
    </comment>
    <comment ref="J261" authorId="7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J262" authorId="7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J263" authorId="7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J266" authorId="7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L278" authorId="7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280" authorId="7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281" authorId="7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282" authorId="7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284" authorId="7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285" authorId="8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AJUSTAR +50
</t>
        </r>
      </text>
    </comment>
    <comment ref="L285" authorId="8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286" authorId="8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287" authorId="8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AJUSTAR +100
</t>
        </r>
      </text>
    </comment>
    <comment ref="L287" authorId="8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293" authorId="8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294" authorId="8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295" authorId="8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296" authorId="8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297" authorId="8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298" authorId="9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299" authorId="9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302" authorId="9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305" authorId="9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310" authorId="9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Substituir pelo 3K Plus semana que vem
</t>
        </r>
      </text>
    </comment>
    <comment ref="L310" authorId="9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T310" authorId="9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Teste premiação
</t>
        </r>
      </text>
    </comment>
    <comment ref="L311" authorId="9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315" authorId="9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316" authorId="9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319" authorId="10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320" authorId="10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323" authorId="10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324" authorId="10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325" authorId="10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326" authorId="10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330" authorId="10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331" authorId="10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V396" authorId="10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RECRIAR AS 12:00 DO DIA DO TORNEIO COM O BUY-IN CORRETO DE 5,00
Reply:
	Marcada como resolvida
</t>
        </r>
      </text>
    </comment>
    <comment ref="J403" authorId="10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50k
</t>
        </r>
      </text>
    </comment>
    <comment ref="J408" authorId="11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J409" authorId="11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J410" authorId="11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J413" authorId="11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L425" authorId="11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428" authorId="11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429" authorId="11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431" authorId="11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432" authorId="11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AJUSTAR +100
</t>
        </r>
      </text>
    </comment>
    <comment ref="L432" authorId="11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436" authorId="12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438" authorId="12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440" authorId="12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446" authorId="12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448" authorId="12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451" authorId="12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456" authorId="12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Substituir pelo 3K Plus semana que vem
</t>
        </r>
      </text>
    </comment>
    <comment ref="L456" authorId="12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V456" authorId="12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Buy-in 0 - 30K
Re-buy 1 - 30K
Add-on 2 - 120K
</t>
        </r>
      </text>
    </comment>
    <comment ref="L457" authorId="12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464" authorId="13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467" authorId="13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GESTÃO: torneio novo em testes
</t>
        </r>
      </text>
    </comment>
    <comment ref="L467" authorId="13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468" authorId="13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471" authorId="13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472" authorId="13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473" authorId="13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474" authorId="13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477" authorId="13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478" authorId="13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554" authorId="14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J555" authorId="14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J556" authorId="14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J559" authorId="14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L571" authorId="14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574" authorId="14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578" authorId="14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579" authorId="14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AJUSTAR +100
</t>
        </r>
      </text>
    </comment>
    <comment ref="L582" authorId="14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583" authorId="14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584" authorId="15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Novo - em testagem - observação interna
</t>
        </r>
      </text>
    </comment>
    <comment ref="J586" authorId="15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Novo - em testagem - observação interna
</t>
        </r>
      </text>
    </comment>
    <comment ref="L586" authorId="15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587" authorId="15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589" authorId="15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595" authorId="15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596" authorId="15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597" authorId="15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601" authorId="15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607" authorId="15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Substituir pelo 3K Plus semana que vem
</t>
        </r>
      </text>
    </comment>
    <comment ref="L607" authorId="16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V607" authorId="16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Buy-in 0,00 - 10K stack
Re-buy 2,00 - 20K Stack
Add-on 4,00 - 40K Stack
</t>
        </r>
      </text>
    </comment>
    <comment ref="L609" authorId="16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616" authorId="16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617" authorId="16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GESTÃO: torneio novo, em testes
</t>
        </r>
      </text>
    </comment>
    <comment ref="L619" authorId="16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625" authorId="16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698" authorId="16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J699" authorId="16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J701" authorId="16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J703" authorId="17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L714" authorId="17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717" authorId="17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718" authorId="17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722" authorId="17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AJUSTAR +50
</t>
        </r>
      </text>
    </comment>
    <comment ref="L723" authorId="17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726" authorId="17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728" authorId="17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730" authorId="17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731" authorId="17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732" authorId="18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Ajustar +100
</t>
        </r>
      </text>
    </comment>
    <comment ref="L735" authorId="18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737" authorId="18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740" authorId="18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744" authorId="18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747" authorId="18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Substituir pelo 3K Plus semana que vem
</t>
        </r>
      </text>
    </comment>
    <comment ref="L747" authorId="18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748" authorId="18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749" authorId="18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avaliar torneio
</t>
        </r>
      </text>
    </comment>
    <comment ref="J750" authorId="18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GESTÃO: torneio novo em testes
</t>
        </r>
      </text>
    </comment>
    <comment ref="L753" authorId="19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755" authorId="19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758" authorId="19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759" authorId="19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760" authorId="19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761" authorId="19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763" authorId="19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764" authorId="19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825" authorId="19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pct spt2 bolha admin fee
</t>
        </r>
      </text>
    </comment>
    <comment ref="J826" authorId="19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pct SPT2 bolha admin fee
</t>
        </r>
      </text>
    </comment>
    <comment ref="L826" authorId="20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TORNEIO JÁ ESTÁ CRIADO
</t>
        </r>
      </text>
    </comment>
    <comment ref="Y826" authorId="20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60.000 Stack rebuy
</t>
        </r>
      </text>
    </comment>
    <comment ref="J838" authorId="20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J839" authorId="20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J840" authorId="20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J843" authorId="20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blinds, testagem
</t>
        </r>
      </text>
    </comment>
    <comment ref="L861" authorId="20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862" authorId="20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863" authorId="20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864" authorId="20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865" authorId="21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AJUSTAR +50
</t>
        </r>
      </text>
    </comment>
    <comment ref="L866" authorId="21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867" authorId="21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AJUSTAR +100
</t>
        </r>
      </text>
    </comment>
    <comment ref="L870" authorId="21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873" authorId="21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874" authorId="21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879" authorId="21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880" authorId="21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882" authorId="21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Retirar da grade
</t>
        </r>
      </text>
    </comment>
    <comment ref="L883" authorId="21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884" authorId="22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892" authorId="22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897" authorId="22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898" authorId="22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901" authorId="22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904" authorId="22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905" authorId="22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906" authorId="22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J907" authorId="22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retirado 5k
</t>
        </r>
      </text>
    </comment>
    <comment ref="L907" authorId="22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910" authorId="23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Compartilhar com a Real
</t>
        </r>
      </text>
    </comment>
    <comment ref="L914" authorId="23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10 min de intervalo do add-on
</t>
        </r>
      </text>
    </comment>
    <comment ref="L915" authorId="23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10 min de intervalo do add-on
</t>
        </r>
      </text>
    </comment>
    <comment ref="L918" authorId="23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10 min de intervalo do add-on
</t>
        </r>
      </text>
    </comment>
    <comment ref="L920" authorId="23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ADICIONAR 10 MIN NO ADDON
</t>
        </r>
      </text>
    </comment>
    <comment ref="J992" authorId="23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pós série
</t>
        </r>
      </text>
    </comment>
    <comment ref="J1011" authorId="23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@souofelipeaugusto@gmail.com
Atribuído a souofelipeaugusto@gmail.com
</t>
        </r>
      </text>
    </comment>
    <comment ref="L1069" authorId="23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JÁ CRIADO
</t>
        </r>
      </text>
    </comment>
    <comment ref="Y1087" authorId="23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Rebuy com 60.000 de stack
</t>
        </r>
      </text>
    </comment>
    <comment ref="Y1091" authorId="23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Rebuy de 110,00 recebe 60.000 em fichas
</t>
        </r>
      </text>
    </comment>
  </commentList>
</comments>
</file>

<file path=xl/comments2.xml><?xml version="1.0" encoding="utf-8"?>
<comments xmlns="http://schemas.openxmlformats.org/spreadsheetml/2006/main">
  <authors>
    <author>tc={0984e0e2-9152-4541-8273-5bdd6c6e1114}</author>
    <author>tc={fdbe3e6e-8695-461f-a622-179008b7dd12}</author>
    <author>tc={18de2ca8-7986-4aed-a6ec-10ffbe5a84f1}</author>
    <author>tc={df7a0624-2491-47cc-b957-de149afa73f8}</author>
    <author>tc={d8a74bb9-c892-40aa-9a04-b06f194d5cca}</author>
    <author>tc={f88a3a05-7859-47b2-9630-d46e25a089eb}</author>
    <author>tc={969deb62-bd30-49f4-b3bf-3244814106da}</author>
    <author>tc={64274055-2296-472a-bd25-21bfce9c8df9}</author>
    <author>tc={379c4c17-375d-4337-bf08-a6a98d638c3e}</author>
    <author>tc={a9fdf932-974c-4c84-ba73-b6e510cdd8f2}</author>
    <author>tc={17b9802a-7027-4625-900f-57b1ee58cdcd}</author>
    <author>tc={790019b4-1bbb-4e66-ad81-20542648f2dc}</author>
    <author>tc={82cf65e5-9d67-44e6-a070-095a7d47b961}</author>
    <author>tc={718d031a-b3dc-4bd5-9e66-660712ac90cc}</author>
    <author>tc={11c46675-14f1-4072-b9b5-7a0838abce93}</author>
    <author>tc={12341604-cb63-4837-8712-d2360a42fea6}</author>
    <author>tc={14d1ff60-2862-4e86-8bda-ccb71a401a4d}</author>
    <author>tc={6b6f1ce4-c300-4795-882a-73a5737a24f0}</author>
    <author>tc={3a3a0183-fc48-48b2-aeb1-56bad7ded0a4}</author>
    <author>tc={97e944b2-78b1-4c05-8a95-f17877f3699e}</author>
    <author>tc={0b7494c8-6409-4016-9689-2e08bd681392}</author>
    <author>tc={66501871-5f4e-4e7d-b803-41531813d95a}</author>
    <author>tc={42e3ae8f-5bbd-45de-ac9a-c308f22a47c9}</author>
    <author>tc={b2048020-0c63-48d8-afa1-4a548556b217}</author>
    <author>tc={f2a17880-e712-4140-9239-00d085a13d0b}</author>
    <author>tc={f7c1567f-838a-49d2-855e-b9db6688cd83}</author>
    <author>tc={a8360e2e-b3cc-428d-8ead-f8d82c6040c7}</author>
    <author>tc={10b3b7be-157e-4971-a509-67f28804b965}</author>
    <author>tc={d4f20c67-4f08-41e8-b549-ee308a963100}</author>
    <author>tc={80457515-8f1b-4264-8b3a-fcd3b76342f6}</author>
    <author>tc={be9a82c6-62ae-41af-bdaf-1a98ac8302cc}</author>
    <author>tc={e0f0b66f-8b44-4937-934a-9a6fa6874c12}</author>
    <author>tc={89f0d81c-d2c1-4201-8e32-990699e4feac}</author>
    <author>tc={d02da844-a2b2-409c-a9ae-ecac3e7dff17}</author>
    <author>tc={fa127238-7264-4da2-b13a-d48b963ec0ea}</author>
    <author>tc={e14434c7-a355-4346-913f-b09bc517f563}</author>
    <author>tc={6bd268b5-c3a7-4d92-8cca-9341c4c98034}</author>
    <author>tc={98ab7463-e4b6-481c-9e29-d7a7fdf40a02}</author>
    <author>tc={f9143d42-f94a-4418-86f5-3514b8ee1b85}</author>
    <author>tc={f52dbef4-b00f-40ce-948d-9cf75731e643}</author>
    <author>tc={e0d94c95-8cfd-4284-893b-237ec8cf6e24}</author>
    <author>tc={7adfc15b-3801-4d47-85ec-01d3cb067435}</author>
    <author>tc={7715a3f1-54d7-4917-ab1e-3293ee12f945}</author>
    <author>tc={c883f8d6-dc14-4e8e-a4d1-8b46ee0d201b}</author>
    <author>tc={b3d757b4-c05c-456a-93e8-e05e31a706f0}</author>
    <author>tc={7a81d74a-6063-406f-92c3-643612034aec}</author>
    <author>tc={cf8a851c-b6ce-4b69-b828-e83e89a27c33}</author>
    <author>tc={28bd34b5-2513-42c5-bed1-4212ed709100}</author>
    <author>tc={f13cfb75-d427-4720-9784-f69f9927af5a}</author>
    <author>tc={9b1d4874-c455-45d9-9fa8-d527e6b7f7dd}</author>
    <author>tc={dd424d7d-b461-4e6e-9b8d-c4ef21060af8}</author>
    <author>tc={39fdf3aa-345e-4bf7-80f2-e8113699dc43}</author>
    <author>tc={722eedc4-765a-4378-a4b5-75577e2e7b11}</author>
    <author>tc={9f6d4a88-b21a-4ca4-a6a3-842d939b17e2}</author>
    <author>tc={db316407-e319-4be5-a87d-c9a7efca9798}</author>
    <author>tc={ace66eb9-18e3-42f6-9715-96120c71d692}</author>
    <author>tc={f9618372-8398-4906-9a87-63df81a38020}</author>
    <author>tc={f5e0e57e-b8fb-4323-a58e-34f0b137b30b}</author>
    <author>tc={ac99b956-de75-451d-878e-0f572e4ad149}</author>
    <author>tc={dfe1238e-f0cf-47ad-87e1-678f18f2bcfa}</author>
    <author>tc={14f3cd5d-42c2-475a-9347-559f5b67534f}</author>
    <author>tc={9425b321-8baa-47f2-81df-88a7cc30ad72}</author>
    <author>tc={de138176-2975-4c90-92e9-63949af29499}</author>
    <author>tc={448c3569-1eeb-48f7-ae27-824ac5a8bd6b}</author>
    <author>tc={90ca4112-94ed-4ccc-a4ab-23560d839fab}</author>
    <author>tc={ee792bb8-ac5d-4e77-84d4-1825dab8a416}</author>
    <author>tc={35fa96d2-e50f-40ab-845b-dfd62dcb7128}</author>
    <author>tc={9b9c0b05-a013-4c96-8656-5a1c54a54ec9}</author>
    <author>tc={de45e68d-999e-4d88-b170-a749f6cdc224}</author>
    <author>tc={b3309e15-648b-4b74-a4d9-46b2a3a3e34d}</author>
    <author>tc={50140cf7-ef91-4529-852c-3828f8042b2a}</author>
    <author>tc={2a87da1d-f3fa-433b-b541-177a30bf1764}</author>
    <author>tc={d00bc676-02fa-434a-a4e6-c6de5d9b0cda}</author>
    <author>tc={d4d8fae9-36db-4d4b-9b76-18543ba669b2}</author>
    <author>tc={1b827487-00ce-45a3-9741-31b8248a229c}</author>
    <author>tc={8ae47c2f-3e02-4dc5-a73b-391160361cbd}</author>
    <author>tc={7dbe0c31-78e9-4d85-aaf1-31c19d9cfa7d}</author>
    <author>tc={eb0f1d0f-c64a-41e8-9efa-58d318e30e8a}</author>
    <author>tc={85125b66-9ea5-4375-a029-0a4e2e677424}</author>
  </authors>
  <commentList>
    <comment ref="C9" authorId="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Novo torneio!
</t>
        </r>
      </text>
    </comment>
    <comment ref="H56" authorId="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Buy-in 0,00 - 10K stack inicial
Re-buy 10,00 - 20K Stack
Add-on 20,00 - 40K Stack
</t>
        </r>
      </text>
    </comment>
    <comment ref="H59" authorId="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Buy-in: 0 - 30K
Re-buy: 5 - 30K
Add-on: 5 - 120K
</t>
        </r>
      </text>
    </comment>
    <comment ref="C132" authorId="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Edição especial
</t>
        </r>
      </text>
    </comment>
    <comment ref="H159" authorId="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Buy-in 0,00 - 10K stack inicial
Re-buy 10,00 - 20K Stack
Add-on 20,00 - 40K Stack
</t>
        </r>
      </text>
    </comment>
    <comment ref="H161" authorId="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Buy-in 0 - 30K 
Rebuy 10 - 30K 
Add-on 10 - 90K
</t>
        </r>
      </text>
    </comment>
    <comment ref="H167" authorId="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Buy-in 0 - 30K
Rebuy 5 - 30K
Add-on 10 - 120K
</t>
        </r>
      </text>
    </comment>
    <comment ref="C169" authorId="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Torneio novo!
</t>
        </r>
      </text>
    </comment>
    <comment ref="C171" authorId="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Torneio novo!
</t>
        </r>
      </text>
    </comment>
    <comment ref="C251" authorId="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Novo torneio!
</t>
        </r>
      </text>
    </comment>
    <comment ref="C252" authorId="1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ESTE TORNEIO FAZ PARTE DO RASGA FLYER DE BLACK WEEK, O BUY-IN ESTÁ 35,00, MAS SERÁ DE 30,00 NO DIA DO EVENTO. A SUPREMA IRÁ DIVULGAR INICIALMENTE COMO 35,00 E RASGAR O FLYER AS 12:00! COMO 30,00.
</t>
        </r>
      </text>
    </comment>
    <comment ref="H299" authorId="1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Buy-in 0,00 - 10K stack inicial
Re-buy 10,00 - 20K Stack
Add-on 20,00 - 40K Stack
</t>
        </r>
      </text>
    </comment>
    <comment ref="C302" authorId="1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Novo torneio!
</t>
        </r>
      </text>
    </comment>
    <comment ref="C312" authorId="1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t>
        </r>
      </text>
    </comment>
    <comment ref="C320" authorId="1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Novo torneio
</t>
        </r>
      </text>
    </comment>
    <comment ref="H447" authorId="1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Buy-in 0,00 - 10K stack inicial
Re-buy 10,00 - 20K Stack
Add-on 20,00 - 40K Stack
</t>
        </r>
      </text>
    </comment>
    <comment ref="H451" authorId="1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Buy-in 0 - 30K
Rebuy 5 - 30K
Add-on 10 - 120K
</t>
        </r>
      </text>
    </comment>
    <comment ref="H592" authorId="1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Buy-in 0,00 - 10K stack inicial
Re-buy 10,00 - 20K Stack
Add-on 20,00 - 40K Stack
</t>
        </r>
      </text>
    </comment>
    <comment ref="H601" authorId="1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Buy-in 0,00 - 10K stack inicial
Re-buy 10,00 - 20K Stack
Add-on 20,00 - 40K Stack
</t>
        </r>
      </text>
    </comment>
    <comment ref="C602" authorId="1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Novo torneio!
</t>
        </r>
      </text>
    </comment>
    <comment ref="C695" authorId="2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Novo torneio!
</t>
        </r>
      </text>
    </comment>
    <comment ref="C697" authorId="2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Nova estrutura de K.O, 1/2!
</t>
        </r>
      </text>
    </comment>
    <comment ref="C744" authorId="2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Novo torneio!
</t>
        </r>
      </text>
    </comment>
    <comment ref="C747" authorId="2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Novo torneio!
</t>
        </r>
      </text>
    </comment>
    <comment ref="C759" authorId="2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Novo torneio!
</t>
        </r>
      </text>
    </comment>
    <comment ref="C829" authorId="2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Novo torneio!
</t>
        </r>
      </text>
    </comment>
    <comment ref="C832" authorId="2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Domingo de páscoa
</t>
        </r>
      </text>
    </comment>
    <comment ref="C835" authorId="2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Novo torneio!
</t>
        </r>
      </text>
    </comment>
    <comment ref="C905" authorId="2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Novo torneio!
</t>
        </r>
      </text>
    </comment>
    <comment ref="G999" authorId="2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Dois pacotes GTD
</t>
        </r>
      </text>
    </comment>
    <comment ref="C1001" authorId="3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Torneio novo!
</t>
        </r>
      </text>
    </comment>
    <comment ref="C1002" authorId="3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Jogadores verificados - verificar conta em https://securitypkr.com.br/
</t>
        </r>
      </text>
    </comment>
    <comment ref="Q1002" authorId="3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Retorna dia 2 no nível 26
</t>
        </r>
      </text>
    </comment>
    <comment ref="C1003" authorId="3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 até o final do nível 25
</t>
        </r>
      </text>
    </comment>
    <comment ref="C1005" authorId="3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 até o final do nível 25
</t>
        </r>
      </text>
    </comment>
    <comment ref="C1006" authorId="3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 até o final do nível 25
</t>
        </r>
      </text>
    </comment>
    <comment ref="C1007" authorId="3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 até o final do nível 25
</t>
        </r>
      </text>
    </comment>
    <comment ref="C1009" authorId="3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Novo torneio
</t>
        </r>
      </text>
    </comment>
    <comment ref="C1010" authorId="3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Lançamento!
</t>
        </r>
      </text>
    </comment>
    <comment ref="C1012" authorId="3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 até o final do nível 25
</t>
        </r>
      </text>
    </comment>
    <comment ref="C1013" authorId="4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Contas verificadas
</t>
        </r>
      </text>
    </comment>
    <comment ref="C1014" authorId="4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Joga-se até o final do nível 20.
</t>
        </r>
      </text>
    </comment>
    <comment ref="C1015" authorId="4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Joga-se até o final do nível 20.
</t>
        </r>
      </text>
    </comment>
    <comment ref="C1016" authorId="4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Joga-se até o final do nível 20.
</t>
        </r>
      </text>
    </comment>
    <comment ref="C1017" authorId="4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Joga-se até o final do nível 20.
</t>
        </r>
      </text>
    </comment>
    <comment ref="Q1024" authorId="4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Blind dia 2
</t>
        </r>
      </text>
    </comment>
    <comment ref="C1029" authorId="4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Joga-se até o final do nível 20.
</t>
        </r>
      </text>
    </comment>
    <comment ref="Q1029" authorId="4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Dia 1 jogado até final do nível 21, retorna dia 2 nível 22
</t>
        </r>
      </text>
    </comment>
    <comment ref="C1036" authorId="4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Dia 1, joga até final do nível 16, retorna dia 2 nível 17 blinds 5K/10K
</t>
        </r>
      </text>
    </comment>
    <comment ref="Q1036" authorId="4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Dia 02 retorna no nivel 17 5K/10K
</t>
        </r>
      </text>
    </comment>
    <comment ref="C1040" authorId="5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Dia 1, joga até final do nível 16, retorna dia 2 nível 17 blinds 5K/10K
</t>
        </r>
      </text>
    </comment>
    <comment ref="Q1040" authorId="5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Dia 02 retorna no nivel 17 5K/10K
</t>
        </r>
      </text>
    </comment>
    <comment ref="Q1051" authorId="5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Dia 1 jogado até final do nível 15, retorna dia 2 nível 16
</t>
        </r>
      </text>
    </comment>
    <comment ref="C1052" authorId="5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Joga-se até o final do nível 20.
</t>
        </r>
      </text>
    </comment>
    <comment ref="C1065" authorId="5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Joga-se até o final do nível 20.
</t>
        </r>
      </text>
    </comment>
    <comment ref="C1066" authorId="5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Joga-se até o final do nível 20.
</t>
        </r>
      </text>
    </comment>
    <comment ref="C1067" authorId="5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 até o final do nível 20
</t>
        </r>
      </text>
    </comment>
    <comment ref="C1068" authorId="5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Joga-se até o final do nível 20.
</t>
        </r>
      </text>
    </comment>
    <comment ref="C1070" authorId="5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Joga-se até o final do nível 20.
</t>
        </r>
      </text>
    </comment>
    <comment ref="C1071" authorId="5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Joga-se até o final do nível 20.
</t>
        </r>
      </text>
    </comment>
    <comment ref="C1072" authorId="6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 até o final do nível 20
</t>
        </r>
      </text>
    </comment>
    <comment ref="C1073" authorId="6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Joga-se até o final do nível 20.
</t>
        </r>
      </text>
    </comment>
    <comment ref="C1074" authorId="6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Joga-se até o final do nível 20.
</t>
        </r>
      </text>
    </comment>
    <comment ref="C1075" authorId="6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 até o final do nível 20
</t>
        </r>
      </text>
    </comment>
    <comment ref="C1076" authorId="6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 até o final do nível 20
</t>
        </r>
      </text>
    </comment>
    <comment ref="C1077" authorId="6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 até o final do nível 20
</t>
        </r>
      </text>
    </comment>
    <comment ref="C1078" authorId="6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 até o final do nível 20
</t>
        </r>
      </text>
    </comment>
    <comment ref="C1079" authorId="6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 até o final do nível 20
</t>
        </r>
      </text>
    </comment>
    <comment ref="C1080" authorId="6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Joga-se até o final do nível 20.
</t>
        </r>
      </text>
    </comment>
    <comment ref="C1081" authorId="6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Promoção 2 em 1, contas verificadas que jogarem (registrou buy-in já ganha, não precisa se classificar) o torneio 100K Bounty levam o buy-in do 50K Special Plus 28/07 as 18:00
</t>
        </r>
      </text>
    </comment>
    <comment ref="C1082" authorId="7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 até o final do nível 20
</t>
        </r>
      </text>
    </comment>
    <comment ref="C1083" authorId="7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 até o final do nível 20
</t>
        </r>
      </text>
    </comment>
    <comment ref="C1084" authorId="7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 até o final do nível 20
</t>
        </r>
      </text>
    </comment>
    <comment ref="C1085" authorId="7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 até o final do nível 20
</t>
        </r>
      </text>
    </comment>
    <comment ref="C1086" authorId="7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 até o final do nível 20
</t>
        </r>
      </text>
    </comment>
    <comment ref="C1087" authorId="7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 até o final do nível 20
</t>
        </r>
      </text>
    </comment>
    <comment ref="C1088" authorId="7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 até o final do nível 20
</t>
        </r>
      </text>
    </comment>
    <comment ref="C1090" authorId="7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Joga até o final do nível 20
</t>
        </r>
      </text>
    </comment>
    <comment ref="Q1108" authorId="7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DIA 2 retorna nível 21, dias1 jogados até final do nível 20
</t>
        </r>
      </text>
    </comment>
  </commentList>
</comments>
</file>

<file path=xl/sharedStrings.xml><?xml version="1.0" encoding="utf-8"?>
<sst xmlns="http://schemas.openxmlformats.org/spreadsheetml/2006/main" count="13953" uniqueCount="527">
  <si>
    <t>GLOBAL MTT - SUPREMA POKER</t>
  </si>
  <si>
    <t>Brazil/Arg</t>
  </si>
  <si>
    <t>EUA</t>
  </si>
  <si>
    <t>CANADÁ</t>
  </si>
  <si>
    <t>MÉX/CR</t>
  </si>
  <si>
    <t>PERU/COL</t>
  </si>
  <si>
    <t>VEZ</t>
  </si>
  <si>
    <t>EU</t>
  </si>
  <si>
    <t>ÁSIA</t>
  </si>
  <si>
    <t>ACTION: 20s</t>
  </si>
  <si>
    <t>USD</t>
  </si>
  <si>
    <t>BLINDS UP (min)</t>
  </si>
  <si>
    <t>DAY</t>
  </si>
  <si>
    <t>HORA</t>
  </si>
  <si>
    <t>TIME 
(UTC-5)</t>
  </si>
  <si>
    <t>TIME 
(UTC-7)</t>
  </si>
  <si>
    <t>TIME 
(UTC-6)</t>
  </si>
  <si>
    <t>TIME 
(UTC-4)</t>
  </si>
  <si>
    <t>TIME 
(UTC+3)</t>
  </si>
  <si>
    <t>TIME 
(UTC+8)</t>
  </si>
  <si>
    <t>MTT MARKETING</t>
  </si>
  <si>
    <t xml:space="preserve">MTT </t>
  </si>
  <si>
    <t>TYPE</t>
  </si>
  <si>
    <t>Game Type</t>
  </si>
  <si>
    <t>K.O (REG / PROG / OFF)</t>
  </si>
  <si>
    <t>MAX. TABLE</t>
  </si>
  <si>
    <t>PRIZE POOL  USD</t>
  </si>
  <si>
    <t>TICKET AWARD</t>
  </si>
  <si>
    <t>PERSONALIZED AWARD</t>
  </si>
  <si>
    <t>PAYOUT</t>
  </si>
  <si>
    <t>CALCULATED PAYOUT</t>
  </si>
  <si>
    <t>BUY-IN</t>
  </si>
  <si>
    <t>REENTRY/REBUY</t>
  </si>
  <si>
    <t>STACK REENTRY/REBUY</t>
  </si>
  <si>
    <t>REBUY CONDITION</t>
  </si>
  <si>
    <t>ADD-ON</t>
  </si>
  <si>
    <t>STACK ADD-ON</t>
  </si>
  <si>
    <t>BREAK LATE REG.</t>
  </si>
  <si>
    <t>FEE</t>
  </si>
  <si>
    <t>ADMIN FEE</t>
  </si>
  <si>
    <t>STRUCTURE</t>
  </si>
  <si>
    <t>CHIPS</t>
  </si>
  <si>
    <t>Early game</t>
  </si>
  <si>
    <t>Pós Late Reg.</t>
  </si>
  <si>
    <t>Final Table</t>
  </si>
  <si>
    <t>LATE REG.</t>
  </si>
  <si>
    <t>Num. players</t>
  </si>
  <si>
    <t xml:space="preserve">EARLY BIRD </t>
  </si>
  <si>
    <t>CHAT</t>
  </si>
  <si>
    <t>TIME BANK</t>
  </si>
  <si>
    <t>Hour late register</t>
  </si>
  <si>
    <t>Action</t>
  </si>
  <si>
    <t>Size buy-in</t>
  </si>
  <si>
    <t>MONDAY</t>
  </si>
  <si>
    <t>#AS 25K WarmUp</t>
  </si>
  <si>
    <t>#AS WarmUp</t>
  </si>
  <si>
    <t>Main Event</t>
  </si>
  <si>
    <t>NLH</t>
  </si>
  <si>
    <t>Progressive KO 1/3</t>
  </si>
  <si>
    <t>8</t>
  </si>
  <si>
    <t>n/a</t>
  </si>
  <si>
    <t>15% New</t>
  </si>
  <si>
    <t>Only buy-in</t>
  </si>
  <si>
    <t>No Limit</t>
  </si>
  <si>
    <t>REENTRY</t>
  </si>
  <si>
    <t>5 min</t>
  </si>
  <si>
    <t>Turbo</t>
  </si>
  <si>
    <t>2-10000</t>
  </si>
  <si>
    <t>Level 0 20%</t>
  </si>
  <si>
    <t>Only for in-game players</t>
  </si>
  <si>
    <t>Off - ilimitado</t>
  </si>
  <si>
    <t>Side Event</t>
  </si>
  <si>
    <t>#AS 25K Plus+SPS</t>
  </si>
  <si>
    <t>#AS Plus+SPS</t>
  </si>
  <si>
    <t>OFF</t>
  </si>
  <si>
    <t>9</t>
  </si>
  <si>
    <t>1 Ticket SPS 76-M Supremo</t>
  </si>
  <si>
    <t>15% Flat</t>
  </si>
  <si>
    <t>Buy-in+Rebuy</t>
  </si>
  <si>
    <t>No limit + double rebuy</t>
  </si>
  <si>
    <t>#AS 20K Bounty</t>
  </si>
  <si>
    <t>#AS Bounty</t>
  </si>
  <si>
    <t>Progressive KO 1/2</t>
  </si>
  <si>
    <t>#AS 75K Big Plus+SPS</t>
  </si>
  <si>
    <t>#AS Big Plus+SPS</t>
  </si>
  <si>
    <t>#AS 100K Plus+SPT</t>
  </si>
  <si>
    <t>#AS Plus+SPT</t>
  </si>
  <si>
    <t>1 Pacote SPT2 8.5K BRL</t>
  </si>
  <si>
    <t>Hyper turbo</t>
  </si>
  <si>
    <t>Total GTD</t>
  </si>
  <si>
    <t>#AS 100K Battle+SPS</t>
  </si>
  <si>
    <t>#AS Battle+SPS</t>
  </si>
  <si>
    <t>15% Plus</t>
  </si>
  <si>
    <t>#AS 300K Monday HighS</t>
  </si>
  <si>
    <t>#AS Monday HighS</t>
  </si>
  <si>
    <t>#AS 150K Battle HR+SPS</t>
  </si>
  <si>
    <t>#AS Battle HR+SPS</t>
  </si>
  <si>
    <t>1 Ticket SPS 277-M M.E</t>
  </si>
  <si>
    <t>#AS 60K OmaX HR</t>
  </si>
  <si>
    <t>#AS OmaX HR</t>
  </si>
  <si>
    <t>PLO5</t>
  </si>
  <si>
    <t>6</t>
  </si>
  <si>
    <t>#AS 50K Big Mystery+SPS</t>
  </si>
  <si>
    <t>#AS Big Mystery+SPS</t>
  </si>
  <si>
    <t>Mystery Bounty 1/2</t>
  </si>
  <si>
    <t>#AS 6K Sonic+SPS</t>
  </si>
  <si>
    <t>#AS Sonic+SPS</t>
  </si>
  <si>
    <t>1.2K Omax K.O</t>
  </si>
  <si>
    <t>Omax K.O</t>
  </si>
  <si>
    <t>Regular KO 1/3</t>
  </si>
  <si>
    <t>600 Battle Turbo</t>
  </si>
  <si>
    <t>Battle Turbo</t>
  </si>
  <si>
    <t>Regular (padrão)</t>
  </si>
  <si>
    <t>750 Plus</t>
  </si>
  <si>
    <t>Plus</t>
  </si>
  <si>
    <t>20% Flat</t>
  </si>
  <si>
    <t>#AS 1.2K Omax</t>
  </si>
  <si>
    <t>#AS Omax</t>
  </si>
  <si>
    <t>#AS 8K Plus</t>
  </si>
  <si>
    <t>#AS Plus</t>
  </si>
  <si>
    <t>#AS 2.5K Omax K.O</t>
  </si>
  <si>
    <t>#AS Omax K.O</t>
  </si>
  <si>
    <t>PLO4</t>
  </si>
  <si>
    <t>500 Omax PKO</t>
  </si>
  <si>
    <t>Omax PKO</t>
  </si>
  <si>
    <t>#AS 5K Battle</t>
  </si>
  <si>
    <t>#AS Battle</t>
  </si>
  <si>
    <t>1.2K Plus</t>
  </si>
  <si>
    <t>800 Omax</t>
  </si>
  <si>
    <t>Omax</t>
  </si>
  <si>
    <t>#AS 1.25K Battle</t>
  </si>
  <si>
    <t>#AS 1.25K Plus</t>
  </si>
  <si>
    <t>500 Bounty</t>
  </si>
  <si>
    <t>Bounty</t>
  </si>
  <si>
    <t>1K Plus</t>
  </si>
  <si>
    <t>S</t>
  </si>
  <si>
    <t>500 Plus</t>
  </si>
  <si>
    <t>500 Omax</t>
  </si>
  <si>
    <t>#AS 1.5K Omax PKO</t>
  </si>
  <si>
    <t>#AS Omax PKO</t>
  </si>
  <si>
    <t>#AS 2.5K Plus</t>
  </si>
  <si>
    <t>300 Plus</t>
  </si>
  <si>
    <t>750 Bounty</t>
  </si>
  <si>
    <t>#AS 4K Battle</t>
  </si>
  <si>
    <t>Regular KO 1/2</t>
  </si>
  <si>
    <t>#AS 3K Plus</t>
  </si>
  <si>
    <t>#AS 2K Omax</t>
  </si>
  <si>
    <t>#AS 15K Plus+SPS</t>
  </si>
  <si>
    <t>600 Omax</t>
  </si>
  <si>
    <t>Sit&amp;go 200p max.</t>
  </si>
  <si>
    <t>2-200</t>
  </si>
  <si>
    <t>#AS 3K Big Mystery</t>
  </si>
  <si>
    <t>#AS Big Mystery</t>
  </si>
  <si>
    <t>1.5K Plus</t>
  </si>
  <si>
    <t>#AS 10K Reentry</t>
  </si>
  <si>
    <t>#AS Reentry</t>
  </si>
  <si>
    <t>#AS 10K OmaX PKO</t>
  </si>
  <si>
    <t>#AS OmaX PKO</t>
  </si>
  <si>
    <t>#AS 10K Battle</t>
  </si>
  <si>
    <t>#AS 4K Freeze</t>
  </si>
  <si>
    <t>#AS Freeze</t>
  </si>
  <si>
    <t>Off (0)</t>
  </si>
  <si>
    <t>FREEZE</t>
  </si>
  <si>
    <t>#AS 4K Plus</t>
  </si>
  <si>
    <t>1K Omax</t>
  </si>
  <si>
    <t>PLO6</t>
  </si>
  <si>
    <t>#AS 5K Mini Plus</t>
  </si>
  <si>
    <t>#AS Mini Plus</t>
  </si>
  <si>
    <t>#AS 20K Plus+SPS</t>
  </si>
  <si>
    <t>#AS 12K OmaX PKO</t>
  </si>
  <si>
    <t>5X</t>
  </si>
  <si>
    <t>#AS 6K Monday Freeze</t>
  </si>
  <si>
    <t>#AS Monday Freeze</t>
  </si>
  <si>
    <t>#AS 15K Battle PKO</t>
  </si>
  <si>
    <t>#AS Battle PKO</t>
  </si>
  <si>
    <t>750 Omax PKO</t>
  </si>
  <si>
    <t>#AS 7.5K Mini Plus+SPS</t>
  </si>
  <si>
    <t>#AS Mini Plus+SPS</t>
  </si>
  <si>
    <t>#AS 5K Mystery+Plus</t>
  </si>
  <si>
    <t>#AS Mystery+Plus</t>
  </si>
  <si>
    <t>FreeRoll Suprema</t>
  </si>
  <si>
    <t>1 Ticket SPS 312-L M.E</t>
  </si>
  <si>
    <t>Contas verificadas</t>
  </si>
  <si>
    <t>30 seg</t>
  </si>
  <si>
    <t>2-800</t>
  </si>
  <si>
    <t>#AS 30K OmaX PKO</t>
  </si>
  <si>
    <t>#AS 5K Omax</t>
  </si>
  <si>
    <t>#AS 20K Freeze</t>
  </si>
  <si>
    <t>3 Vip Gold 7 dias</t>
  </si>
  <si>
    <t>#AS 20K Omax Turbo</t>
  </si>
  <si>
    <t>#AS Omax Turbo</t>
  </si>
  <si>
    <t>#AS 15K Mystery</t>
  </si>
  <si>
    <t>#AS Mystery</t>
  </si>
  <si>
    <t>MTT</t>
  </si>
  <si>
    <t>SATELLITE</t>
  </si>
  <si>
    <t>4 Seats Reentry</t>
  </si>
  <si>
    <t>SAT</t>
  </si>
  <si>
    <t>Ban chat for everyone</t>
  </si>
  <si>
    <t>3X</t>
  </si>
  <si>
    <t>5 Seats OmaX PKO</t>
  </si>
  <si>
    <t>5 Seats WarmUp</t>
  </si>
  <si>
    <t>4 Seats Battle HR</t>
  </si>
  <si>
    <t>6 Seats Battle HR</t>
  </si>
  <si>
    <t>7 Seats Battle HR</t>
  </si>
  <si>
    <t>8 Seats Battle HR</t>
  </si>
  <si>
    <t>10 Seats Battle HR</t>
  </si>
  <si>
    <t>5 Seats Bounty</t>
  </si>
  <si>
    <t>4 Seats OmaX PKO</t>
  </si>
  <si>
    <t>8 Seats Battle</t>
  </si>
  <si>
    <t>5 Seats HighS</t>
  </si>
  <si>
    <t>10 Seats HighS</t>
  </si>
  <si>
    <t>6 Seats OmaX HR</t>
  </si>
  <si>
    <t>8 Seats OmaX T.</t>
  </si>
  <si>
    <t>6 Seats Big Mystery</t>
  </si>
  <si>
    <t>5 Seats Freeze</t>
  </si>
  <si>
    <t>30 Seats Supremo</t>
  </si>
  <si>
    <t>Step 76-M Supremo</t>
  </si>
  <si>
    <t>SPS 76-M Supremo</t>
  </si>
  <si>
    <t>2 Seats 76-M Supremo</t>
  </si>
  <si>
    <t>Suprema Poker Tour</t>
  </si>
  <si>
    <t>2 Seats SPT</t>
  </si>
  <si>
    <t>3 Seats SPT</t>
  </si>
  <si>
    <t>4 Seats SPT</t>
  </si>
  <si>
    <t>5 Seats SPT</t>
  </si>
  <si>
    <t>TUESDAY</t>
  </si>
  <si>
    <t>#AS 30K Plus+SPS</t>
  </si>
  <si>
    <t>#AS 40K Plus HR+SPS</t>
  </si>
  <si>
    <t>#AS Plus HR+SPS</t>
  </si>
  <si>
    <t>#AS 150K Big Plus+SPT</t>
  </si>
  <si>
    <t>#AS Big Plus+SPT</t>
  </si>
  <si>
    <t>#AS 250K Battle HR+SPS</t>
  </si>
  <si>
    <t>#AS 80K Mystery+SPS</t>
  </si>
  <si>
    <t>#AS Mystery+SPS</t>
  </si>
  <si>
    <t>Mystery Bounty 1/3</t>
  </si>
  <si>
    <t>150K HighS</t>
  </si>
  <si>
    <t>HighS</t>
  </si>
  <si>
    <t>#AS 75K OmaX HR</t>
  </si>
  <si>
    <t>#AS 30K Bounty</t>
  </si>
  <si>
    <t>#AS 3K Omax</t>
  </si>
  <si>
    <t>500 Battle</t>
  </si>
  <si>
    <t>Battle</t>
  </si>
  <si>
    <t>#AS 3.5K Big Mystery</t>
  </si>
  <si>
    <t>#AS 8K Reentry</t>
  </si>
  <si>
    <t>#AS 8K Battle</t>
  </si>
  <si>
    <t>#AS 3.5K Freeze</t>
  </si>
  <si>
    <t>#AS 7.5K Mini Plus</t>
  </si>
  <si>
    <t>400 Omax PKO</t>
  </si>
  <si>
    <t>#AS 5K Mystery</t>
  </si>
  <si>
    <t>#AS 5K OmaX PKO</t>
  </si>
  <si>
    <t>#AS 15K Bounty</t>
  </si>
  <si>
    <t>#AS 5K Little Bounty</t>
  </si>
  <si>
    <t>#AS Little Bounty</t>
  </si>
  <si>
    <t>#AS 2K Omax K.O</t>
  </si>
  <si>
    <t>#AS 25K OmaX PKO</t>
  </si>
  <si>
    <t>#AS 4K Little Mystery</t>
  </si>
  <si>
    <t>#AS Little Mystery</t>
  </si>
  <si>
    <t>7</t>
  </si>
  <si>
    <t>2-1000</t>
  </si>
  <si>
    <t>#AS 5K Plus Turbo</t>
  </si>
  <si>
    <t>#AS Plus Turbo</t>
  </si>
  <si>
    <t>#AS 12K Mystery</t>
  </si>
  <si>
    <t>#AS 30K Freeze</t>
  </si>
  <si>
    <t>#AS 7.5K Plus</t>
  </si>
  <si>
    <t>700 Hyper Plus</t>
  </si>
  <si>
    <t>Hyper Plus</t>
  </si>
  <si>
    <t>#AS 10K OmaX Turbo</t>
  </si>
  <si>
    <t>#AS OmaX Turbo</t>
  </si>
  <si>
    <t>#AS 20K OmaX Night</t>
  </si>
  <si>
    <t>#AS OmaX Night</t>
  </si>
  <si>
    <t>#AS 1.2K Battle</t>
  </si>
  <si>
    <t>400 Plus</t>
  </si>
  <si>
    <t>#AS 7.5K Bounty Night</t>
  </si>
  <si>
    <t>#AS Bounty Night</t>
  </si>
  <si>
    <t>400 Omax</t>
  </si>
  <si>
    <t>#AS 1.2K Mystery</t>
  </si>
  <si>
    <t>#AS 15K Sonic+SPS</t>
  </si>
  <si>
    <t>5 Seats Reentry</t>
  </si>
  <si>
    <t>8 Seats WarmUp</t>
  </si>
  <si>
    <t>7 Seats WarmUp</t>
  </si>
  <si>
    <t>5 Seats Battle HR</t>
  </si>
  <si>
    <t>15 Seats Battle HR</t>
  </si>
  <si>
    <t>4 Seats Bounty</t>
  </si>
  <si>
    <t>5 Seats Big Plus</t>
  </si>
  <si>
    <t>8 Seats Mystery</t>
  </si>
  <si>
    <t>6 Seats OmaX PKO</t>
  </si>
  <si>
    <t>6 Seats HighS</t>
  </si>
  <si>
    <t>8 Seats OmaX HR</t>
  </si>
  <si>
    <t>4 Seats Freeze</t>
  </si>
  <si>
    <t>6 Seats OmaX T.</t>
  </si>
  <si>
    <t>4 Seats OmaX Night</t>
  </si>
  <si>
    <t>2 Seats Sonic</t>
  </si>
  <si>
    <t>10 Seats SPT</t>
  </si>
  <si>
    <t>Mega Sat SPT</t>
  </si>
  <si>
    <t>10 min</t>
  </si>
  <si>
    <t>WEDNESDAY</t>
  </si>
  <si>
    <t>#AS 50K WarmUp+SPS</t>
  </si>
  <si>
    <t>#AS WarmUp+SPS</t>
  </si>
  <si>
    <t>#AS 50K Battle+SPS</t>
  </si>
  <si>
    <t>#AS 250K Big Plus+SPT</t>
  </si>
  <si>
    <t>#AS 50K Freeze HR</t>
  </si>
  <si>
    <t>#AS Freeze HR</t>
  </si>
  <si>
    <t>#AS 500K Battle HR+SPT</t>
  </si>
  <si>
    <t>#AS Battle HR+SPT</t>
  </si>
  <si>
    <t>100K HighS</t>
  </si>
  <si>
    <t>#AS 35K Freeze+SPS</t>
  </si>
  <si>
    <t>#AS Freeze+SPS</t>
  </si>
  <si>
    <t>#AS 80K OmaX HR</t>
  </si>
  <si>
    <t>#AS 40K Bounty+SPS</t>
  </si>
  <si>
    <t>#AS Bounty+SPS</t>
  </si>
  <si>
    <t>#AS 8K Sonic+SPS</t>
  </si>
  <si>
    <t>1.5K Omax K.O</t>
  </si>
  <si>
    <t>#AS 3.5K Plus Turbo</t>
  </si>
  <si>
    <t>#AS 1K Omax</t>
  </si>
  <si>
    <t>#AS 8.5K Plus</t>
  </si>
  <si>
    <t>1.5K Plus+SPS</t>
  </si>
  <si>
    <t>Plus+SPS</t>
  </si>
  <si>
    <t>#AS 1.5K Battle</t>
  </si>
  <si>
    <t>#AS 1.5K Plus</t>
  </si>
  <si>
    <t>600 Plus</t>
  </si>
  <si>
    <t>400 Battle</t>
  </si>
  <si>
    <t>750 Omax</t>
  </si>
  <si>
    <t>#AS 5K Plus</t>
  </si>
  <si>
    <t>#AS 5K Mini Plus+SPS</t>
  </si>
  <si>
    <t>#AS 2K Omax PKO</t>
  </si>
  <si>
    <t>#AS 15K OmaX PKO</t>
  </si>
  <si>
    <t>#AS 35K Plus HR+SPS</t>
  </si>
  <si>
    <t>#AS 7.5K Freeze</t>
  </si>
  <si>
    <t>#AS 5.5K Little Battle</t>
  </si>
  <si>
    <t>#AS Little Battle</t>
  </si>
  <si>
    <t>1K Omax PKO</t>
  </si>
  <si>
    <t>#AS 25K Mini Plus+SPS</t>
  </si>
  <si>
    <t>#AS 5K Little Mystery</t>
  </si>
  <si>
    <t>Start Free+SPS</t>
  </si>
  <si>
    <t>#AS 10K Bounty</t>
  </si>
  <si>
    <t>500 Mini Bounty</t>
  </si>
  <si>
    <t>Mini Bounty</t>
  </si>
  <si>
    <t>10% New</t>
  </si>
  <si>
    <t>#AS 15K Big Mystery</t>
  </si>
  <si>
    <t>800 Omax PKO</t>
  </si>
  <si>
    <t>750 Hyper Plus</t>
  </si>
  <si>
    <t>#AS 10K Battle PKO</t>
  </si>
  <si>
    <t>#AS 12K OmaX Turbo</t>
  </si>
  <si>
    <t>#AS 25K OmaX Night</t>
  </si>
  <si>
    <t>#AS 5K Plus+SPS</t>
  </si>
  <si>
    <t>#AS 8K Bounty Night</t>
  </si>
  <si>
    <t>#AS 15K Sonic</t>
  </si>
  <si>
    <t>#AS Sonic</t>
  </si>
  <si>
    <t>6 Seats Battle</t>
  </si>
  <si>
    <t>5 Seats Freeze HR</t>
  </si>
  <si>
    <t>10 Seats Big Plus</t>
  </si>
  <si>
    <t>3 Seats Battle PKO</t>
  </si>
  <si>
    <t>Freebuy 10 Seats SPT</t>
  </si>
  <si>
    <t>THURSDAY</t>
  </si>
  <si>
    <t>#AS 20K WarmUp</t>
  </si>
  <si>
    <t>#AS 35K Plus HR</t>
  </si>
  <si>
    <t>#AS Plus HR</t>
  </si>
  <si>
    <t>#AS 50K Plus+SPT</t>
  </si>
  <si>
    <t>#AS 75K Mystery HR</t>
  </si>
  <si>
    <t>#AS Mystery HR</t>
  </si>
  <si>
    <t>#AS 200K Battle HR+SPS</t>
  </si>
  <si>
    <t>100K OmaX SHR</t>
  </si>
  <si>
    <t>OmaX SHR</t>
  </si>
  <si>
    <t>suspenso</t>
  </si>
  <si>
    <t>#AS 40K OmaX HR</t>
  </si>
  <si>
    <t>#AS 3K Plus Turbo</t>
  </si>
  <si>
    <t>#AS 10K Plus+SPS</t>
  </si>
  <si>
    <t>#AS 8K OmaX PKO</t>
  </si>
  <si>
    <t>#AS 5K Freeze</t>
  </si>
  <si>
    <t>#AS 10K Freeze PKO</t>
  </si>
  <si>
    <t>#AS Freeze PKO</t>
  </si>
  <si>
    <t>#AS 12.5K OmaX PKO</t>
  </si>
  <si>
    <t>#AS 5K Bounty</t>
  </si>
  <si>
    <t>#AS 8K Mini Plus+SPS</t>
  </si>
  <si>
    <t>#AS 4K Deep Freeze</t>
  </si>
  <si>
    <t>#AS Deep Freeze</t>
  </si>
  <si>
    <t>#AS 25K Freeze</t>
  </si>
  <si>
    <t>#AS 10K OmaX Night</t>
  </si>
  <si>
    <t>#AS 10K Bounty Night</t>
  </si>
  <si>
    <t>6 Seats Mystery HR</t>
  </si>
  <si>
    <t>5 Seats OmaX SHR</t>
  </si>
  <si>
    <t>5 Seats OmaX HR</t>
  </si>
  <si>
    <t>3 Seats OmaX Night</t>
  </si>
  <si>
    <t>#AS Supremo</t>
  </si>
  <si>
    <t>1 Seat Supremo</t>
  </si>
  <si>
    <t>2 Seats Supremo</t>
  </si>
  <si>
    <t>FRIDAY</t>
  </si>
  <si>
    <t>#AS 100K Big Plus+SPT</t>
  </si>
  <si>
    <t>#AS 50K Friday HR</t>
  </si>
  <si>
    <t>#AS Friday HR</t>
  </si>
  <si>
    <t>#AS 100K Battle HR+SPS</t>
  </si>
  <si>
    <t>#AS 20K Battle</t>
  </si>
  <si>
    <t>#AS 35K OmaX HR</t>
  </si>
  <si>
    <t>#AS 30K Big Mystery+SPS</t>
  </si>
  <si>
    <t>#AS 8K Sonic</t>
  </si>
  <si>
    <t>1K Battle PKO</t>
  </si>
  <si>
    <t>Battle PKO</t>
  </si>
  <si>
    <t>#AS 12.5K Battle PKO</t>
  </si>
  <si>
    <t>#AS 7K Mini Plus+SPS</t>
  </si>
  <si>
    <t>#AS 5K Deep Freeze</t>
  </si>
  <si>
    <t>600 Bounty</t>
  </si>
  <si>
    <t>#AS 10K Plus</t>
  </si>
  <si>
    <t>2-500</t>
  </si>
  <si>
    <t>#AS 30K Plus HR</t>
  </si>
  <si>
    <t>#AS 3K Mini Plus</t>
  </si>
  <si>
    <t>#AS 3K Mystery PLO</t>
  </si>
  <si>
    <t>#AS Mystery PLO</t>
  </si>
  <si>
    <t>#AS 4K Mystery+Plus</t>
  </si>
  <si>
    <t>#AS 10K Sonic</t>
  </si>
  <si>
    <t>5 Seats Plus</t>
  </si>
  <si>
    <t>4 Seats Friday HR</t>
  </si>
  <si>
    <t>SATURDAY</t>
  </si>
  <si>
    <t>#AS 20K Saturday PLO</t>
  </si>
  <si>
    <t>#AS Saturday PLO</t>
  </si>
  <si>
    <t>#AS 30K Battle</t>
  </si>
  <si>
    <t>#AS 50K Battle HR+SPS</t>
  </si>
  <si>
    <t>#AS 25K OmaX HR</t>
  </si>
  <si>
    <t>#AS 20K Plus HR</t>
  </si>
  <si>
    <t>#AS 1.5K Omax</t>
  </si>
  <si>
    <t>600 Omax PKO</t>
  </si>
  <si>
    <t>2K Plus</t>
  </si>
  <si>
    <t>#AS 2K Battle</t>
  </si>
  <si>
    <t>#AS 2K Plus</t>
  </si>
  <si>
    <t>300 Omax PKO</t>
  </si>
  <si>
    <t>300 Battle</t>
  </si>
  <si>
    <t>#AS 5K Reentry</t>
  </si>
  <si>
    <t>#AS 5K Omax PKO</t>
  </si>
  <si>
    <t>800 Battle</t>
  </si>
  <si>
    <t>Start Free</t>
  </si>
  <si>
    <t>#AS 12K Plus</t>
  </si>
  <si>
    <t>#AS 7K Plus</t>
  </si>
  <si>
    <t>#AS 4K Plus+SPS</t>
  </si>
  <si>
    <t>4 Seats WarmUp</t>
  </si>
  <si>
    <t>3 Seats Battle HR</t>
  </si>
  <si>
    <t>5 Seats Saturday PLO</t>
  </si>
  <si>
    <t>1 Seat 76-M Supremo</t>
  </si>
  <si>
    <t>FreeBuy 5 Seats SPT</t>
  </si>
  <si>
    <t>3 Seats Supremo</t>
  </si>
  <si>
    <t>5 Seats Supremo</t>
  </si>
  <si>
    <t>SUNDAY</t>
  </si>
  <si>
    <t>#AS 50K Sunday MB+SPS</t>
  </si>
  <si>
    <t>#AS Sunday MB+SPS</t>
  </si>
  <si>
    <t>#AS 1M Supremo</t>
  </si>
  <si>
    <t>1 Pacote SPT4 22K BRL</t>
  </si>
  <si>
    <t>#AS 100K Sunday PLO</t>
  </si>
  <si>
    <t>#AS Sunday PLO</t>
  </si>
  <si>
    <t>#AS 100K Supreminho+SPS</t>
  </si>
  <si>
    <t>#AS Supreminho+SPS</t>
  </si>
  <si>
    <t>#AS 75K Freeze HR</t>
  </si>
  <si>
    <t>#AS 200K Sunday Plus+SPT</t>
  </si>
  <si>
    <t>#AS Sunday Plus+SPT</t>
  </si>
  <si>
    <t>#AS 100K HighS</t>
  </si>
  <si>
    <t>#AS HighS</t>
  </si>
  <si>
    <t>#AS 100K OmaX HR</t>
  </si>
  <si>
    <t>#AS 30K Bounty+SPS</t>
  </si>
  <si>
    <t>#AS 6K Sonic</t>
  </si>
  <si>
    <t>750 Battle Turbo</t>
  </si>
  <si>
    <t>#AS 1K Plus</t>
  </si>
  <si>
    <t>800 Bounty</t>
  </si>
  <si>
    <t>#AS 5K Big Mystery</t>
  </si>
  <si>
    <t>#AS 10K Omax PKO</t>
  </si>
  <si>
    <t>#AS 100K Special Plus</t>
  </si>
  <si>
    <t>#AS Special Plus</t>
  </si>
  <si>
    <t>Level 2 50%</t>
  </si>
  <si>
    <t>#AS 1.5K Battle PKO</t>
  </si>
  <si>
    <t>#AS 7.5K Mystery PLO5</t>
  </si>
  <si>
    <t>#AS Mystery PLO5</t>
  </si>
  <si>
    <t>#AS 6K Freeze</t>
  </si>
  <si>
    <t>#AS 50K Mini Plus+SPS</t>
  </si>
  <si>
    <t>#AS 12.5K OmaX</t>
  </si>
  <si>
    <t>#AS OmaX</t>
  </si>
  <si>
    <t>#AS 15K Freeze</t>
  </si>
  <si>
    <t>#AS 12K Battle PKO</t>
  </si>
  <si>
    <t>5-10000</t>
  </si>
  <si>
    <t>8 Seats Supremo</t>
  </si>
  <si>
    <t>10 Seats Supremo</t>
  </si>
  <si>
    <t>40 Seats Supremo</t>
  </si>
  <si>
    <t>15 Seats Supremo</t>
  </si>
  <si>
    <t>20 Seats Supremo</t>
  </si>
  <si>
    <t>FreeBuy Supremo</t>
  </si>
  <si>
    <t>6 Seats Sun. MB</t>
  </si>
  <si>
    <t>6 Seats WarmUp</t>
  </si>
  <si>
    <t>10 Seats Sunday PLO</t>
  </si>
  <si>
    <t>10 Seats Supreminho</t>
  </si>
  <si>
    <t>4 Seats Freeze HR</t>
  </si>
  <si>
    <t>5 Seats Sunday Plus</t>
  </si>
  <si>
    <t>4 Seats OmaX</t>
  </si>
  <si>
    <t>FreeBuy 10 Seats SPT</t>
  </si>
  <si>
    <t>P&amp;D</t>
  </si>
  <si>
    <t>Definir</t>
  </si>
  <si>
    <t>10K Zen &amp; Chaos</t>
  </si>
  <si>
    <t>Zen &amp; Chaos</t>
  </si>
  <si>
    <t>#AS 500K Sunday PKO</t>
  </si>
  <si>
    <t>#AS Sunday PKO</t>
  </si>
  <si>
    <t>1 Pacote SPT3 8.5K BRL</t>
  </si>
  <si>
    <t>SPS 76-M 5M Supremo</t>
  </si>
  <si>
    <t>2 Pacotes SPT4 22K BRL</t>
  </si>
  <si>
    <t>10X</t>
  </si>
  <si>
    <t>SNG</t>
  </si>
  <si>
    <t>freeze</t>
  </si>
  <si>
    <t>500K Supreminho</t>
  </si>
  <si>
    <t>Supreminho</t>
  </si>
  <si>
    <t>5M OmaX SHR</t>
  </si>
  <si>
    <t>z</t>
  </si>
  <si>
    <t>MTT - BRAZIL</t>
  </si>
  <si>
    <t>Brazil</t>
  </si>
  <si>
    <t>TIPO</t>
  </si>
  <si>
    <t>MODALIDADE</t>
  </si>
  <si>
    <t>K.O (REG / PROG / MYSTERY/ OFF)</t>
  </si>
  <si>
    <t>GUARANTEED</t>
  </si>
  <si>
    <t>STACK INICIAL</t>
  </si>
  <si>
    <t>TIME
(UTC -3)</t>
  </si>
  <si>
    <t>Hora late register</t>
  </si>
  <si>
    <t>SEGUNDA-FEIRA</t>
  </si>
  <si>
    <t>total GTD</t>
  </si>
  <si>
    <t>SATÉLITE</t>
  </si>
  <si>
    <t>TERÇA-FEIRA</t>
  </si>
  <si>
    <t xml:space="preserve"> TERÇA-FEIRA</t>
  </si>
  <si>
    <t>QUARTA-FEIRA</t>
  </si>
  <si>
    <t xml:space="preserve"> Guarantee</t>
  </si>
  <si>
    <t xml:space="preserve">  QUARTA-FEIRA</t>
  </si>
  <si>
    <t>QUINTA-FEIRA</t>
  </si>
  <si>
    <t xml:space="preserve">   QUINTA-FEIRA</t>
  </si>
  <si>
    <t>SEXTA-FEIRA</t>
  </si>
  <si>
    <t>SÁBADO</t>
  </si>
  <si>
    <t>Garantido</t>
  </si>
  <si>
    <t>DOMINGO</t>
  </si>
  <si>
    <t>EVENTOS FUTUROS</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</si>
</sst>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176" formatCode="_-* #,##0.00_-;\-* #,##0.00_-;_-* &quot;-&quot;??_-;_-@_-"/>
    <numFmt numFmtId="177" formatCode="_-&quot;R$&quot;\ * #,##0.00_-;\-&quot;R$&quot;\ * #,##0.00_-;_-&quot;R$&quot;\ * &quot;-&quot;??_-;_-@_-"/>
    <numFmt numFmtId="178" formatCode="_-* #,##0_-;\-* #,##0_-;_-* &quot;-&quot;_-;_-@_-"/>
    <numFmt numFmtId="179" formatCode="_-&quot;R$&quot;\ * #,##0_-;\-&quot;R$&quot;\ * #,##0_-;_-&quot;R$&quot;\ * &quot;-&quot;_-;_-@_-"/>
    <numFmt numFmtId="180" formatCode="hh&quot;:&quot;mm"/>
    <numFmt numFmtId="181" formatCode="[$$]#,##0.00"/>
    <numFmt numFmtId="182" formatCode="[$R$ -416]#,##0.00"/>
    <numFmt numFmtId="183" formatCode="&quot;$&quot;#,##0"/>
    <numFmt numFmtId="184" formatCode="dd/mm"/>
    <numFmt numFmtId="185" formatCode="m\-yyyy"/>
    <numFmt numFmtId="186" formatCode="d\-m"/>
  </numFmts>
  <fonts count="110">
    <font>
      <sz val="10"/>
      <color rgb="FF000000"/>
      <name val="Arial"/>
      <charset val="134"/>
      <scheme val="minor"/>
    </font>
    <font>
      <b/>
      <sz val="11"/>
      <color theme="1"/>
      <name val="Teko"/>
      <charset val="134"/>
    </font>
    <font>
      <sz val="11"/>
      <color theme="1"/>
      <name val="Teko"/>
      <charset val="134"/>
    </font>
    <font>
      <i/>
      <sz val="14"/>
      <color rgb="FFC00000"/>
      <name val="Teko"/>
      <charset val="134"/>
    </font>
    <font>
      <b/>
      <sz val="12"/>
      <color theme="1"/>
      <name val="Teko"/>
      <charset val="134"/>
    </font>
    <font>
      <b/>
      <i/>
      <sz val="12"/>
      <color theme="1"/>
      <name val="Teko"/>
      <charset val="134"/>
    </font>
    <font>
      <b/>
      <i/>
      <sz val="12"/>
      <color rgb="FF11982F"/>
      <name val="Teko"/>
      <charset val="134"/>
    </font>
    <font>
      <b/>
      <i/>
      <sz val="12"/>
      <color rgb="FF0000FF"/>
      <name val="Teko"/>
      <charset val="134"/>
    </font>
    <font>
      <sz val="12"/>
      <color rgb="FF0000FF"/>
      <name val="Teko"/>
      <charset val="134"/>
    </font>
    <font>
      <sz val="12"/>
      <color rgb="FF000000"/>
      <name val="Teko"/>
      <charset val="134"/>
    </font>
    <font>
      <sz val="12"/>
      <color theme="1"/>
      <name val="Teko"/>
      <charset val="134"/>
    </font>
    <font>
      <b/>
      <i/>
      <sz val="28"/>
      <color theme="1"/>
      <name val="Teko"/>
      <charset val="134"/>
    </font>
    <font>
      <b/>
      <i/>
      <sz val="36"/>
      <color theme="1"/>
      <name val="Teko"/>
      <charset val="134"/>
    </font>
    <font>
      <sz val="10"/>
      <name val="Arial"/>
      <charset val="134"/>
      <scheme val="minor"/>
    </font>
    <font>
      <i/>
      <sz val="18"/>
      <color theme="1"/>
      <name val="Teko"/>
      <charset val="134"/>
    </font>
    <font>
      <b/>
      <i/>
      <sz val="11"/>
      <color rgb="FF000000"/>
      <name val="Arial Narrow"/>
      <charset val="134"/>
    </font>
    <font>
      <i/>
      <sz val="14"/>
      <color rgb="FF000000"/>
      <name val="Oswald"/>
      <charset val="134"/>
    </font>
    <font>
      <b/>
      <sz val="9"/>
      <color theme="1"/>
      <name val="Arial Narrow"/>
      <charset val="134"/>
    </font>
    <font>
      <b/>
      <i/>
      <sz val="8"/>
      <color theme="1"/>
      <name val="Arial Narrow"/>
      <charset val="134"/>
    </font>
    <font>
      <b/>
      <i/>
      <sz val="10"/>
      <color rgb="FF000000"/>
      <name val="Arial Narrow"/>
      <charset val="134"/>
    </font>
    <font>
      <b/>
      <i/>
      <sz val="12"/>
      <color rgb="FF000000"/>
      <name val="Arial Narrow"/>
      <charset val="134"/>
    </font>
    <font>
      <b/>
      <sz val="9"/>
      <color rgb="FF000000"/>
      <name val="Arial Narrow"/>
      <charset val="134"/>
    </font>
    <font>
      <b/>
      <sz val="12"/>
      <color rgb="FF000000"/>
      <name val="Arial Narrow"/>
      <charset val="134"/>
    </font>
    <font>
      <b/>
      <i/>
      <sz val="11"/>
      <color rgb="FFC00000"/>
      <name val="Arial Narrow"/>
      <charset val="134"/>
    </font>
    <font>
      <b/>
      <sz val="11"/>
      <color rgb="FF0000FF"/>
      <name val="Arial Narrow"/>
      <charset val="134"/>
    </font>
    <font>
      <b/>
      <sz val="11"/>
      <color theme="1"/>
      <name val="Arial Narrow"/>
      <charset val="134"/>
    </font>
    <font>
      <b/>
      <sz val="11"/>
      <color rgb="FFFF00FF"/>
      <name val="Arial Narrow"/>
      <charset val="134"/>
    </font>
    <font>
      <b/>
      <sz val="11"/>
      <color rgb="FF11982F"/>
      <name val="Arial Narrow"/>
      <charset val="134"/>
    </font>
    <font>
      <b/>
      <sz val="11"/>
      <color rgb="FF000000"/>
      <name val="Arial Narrow"/>
      <charset val="134"/>
    </font>
    <font>
      <b/>
      <sz val="12"/>
      <color rgb="FFFF00FF"/>
      <name val="Arial Narrow"/>
      <charset val="134"/>
    </font>
    <font>
      <b/>
      <sz val="10"/>
      <color theme="1"/>
      <name val="Arial Narrow"/>
      <charset val="134"/>
    </font>
    <font>
      <b/>
      <i/>
      <sz val="11"/>
      <color rgb="FF000000"/>
      <name val="Inconsolata"/>
      <charset val="134"/>
    </font>
    <font>
      <b/>
      <sz val="8"/>
      <color theme="1"/>
      <name val="Arial Narrow"/>
      <charset val="134"/>
    </font>
    <font>
      <sz val="10"/>
      <color theme="1"/>
      <name val="Arial"/>
      <charset val="134"/>
      <scheme val="minor"/>
    </font>
    <font>
      <b/>
      <i/>
      <sz val="14"/>
      <color theme="1"/>
      <name val="Arial Narrow"/>
      <charset val="134"/>
    </font>
    <font>
      <b/>
      <i/>
      <sz val="14"/>
      <color rgb="FF11982F"/>
      <name val="Arial Narrow"/>
      <charset val="134"/>
    </font>
    <font>
      <b/>
      <i/>
      <sz val="14"/>
      <color rgb="FF0000FF"/>
      <name val="Arial Narrow"/>
      <charset val="134"/>
    </font>
    <font>
      <b/>
      <i/>
      <sz val="14"/>
      <color rgb="FF000000"/>
      <name val="Arial Narrow"/>
      <charset val="134"/>
    </font>
    <font>
      <b/>
      <sz val="12"/>
      <color theme="1"/>
      <name val="Arial Narrow"/>
      <charset val="134"/>
    </font>
    <font>
      <b/>
      <sz val="10"/>
      <color rgb="FF000000"/>
      <name val="Arial Narrow"/>
      <charset val="134"/>
    </font>
    <font>
      <b/>
      <sz val="12"/>
      <color theme="0"/>
      <name val="Arial Narrow"/>
      <charset val="134"/>
    </font>
    <font>
      <b/>
      <i/>
      <sz val="14"/>
      <color rgb="FFC00000"/>
      <name val="Arial Narrow"/>
      <charset val="134"/>
    </font>
    <font>
      <b/>
      <i/>
      <sz val="12"/>
      <color theme="1"/>
      <name val="Arial Narrow"/>
      <charset val="134"/>
    </font>
    <font>
      <b/>
      <i/>
      <sz val="12"/>
      <color rgb="FF11982F"/>
      <name val="Arial Narrow"/>
      <charset val="134"/>
    </font>
    <font>
      <b/>
      <i/>
      <sz val="12"/>
      <color rgb="FF0000FF"/>
      <name val="Arial Narrow"/>
      <charset val="134"/>
    </font>
    <font>
      <b/>
      <sz val="12"/>
      <color rgb="FF0000FF"/>
      <name val="Arial Narrow"/>
      <charset val="134"/>
    </font>
    <font>
      <sz val="9"/>
      <color theme="1"/>
      <name val="Teko"/>
      <charset val="134"/>
    </font>
    <font>
      <i/>
      <sz val="14"/>
      <color theme="1"/>
      <name val="Teko"/>
      <charset val="134"/>
    </font>
    <font>
      <b/>
      <i/>
      <sz val="12"/>
      <color rgb="FFFF0000"/>
      <name val="Teko"/>
      <charset val="134"/>
    </font>
    <font>
      <i/>
      <sz val="12"/>
      <color theme="1"/>
      <name val="Teko"/>
      <charset val="134"/>
    </font>
    <font>
      <i/>
      <sz val="11"/>
      <color theme="1"/>
      <name val="Teko"/>
      <charset val="134"/>
    </font>
    <font>
      <i/>
      <sz val="10"/>
      <color theme="1"/>
      <name val="Teko"/>
      <charset val="134"/>
    </font>
    <font>
      <sz val="8"/>
      <color theme="1"/>
      <name val="Teko"/>
      <charset val="134"/>
    </font>
    <font>
      <b/>
      <i/>
      <sz val="20"/>
      <color theme="1"/>
      <name val="Teko"/>
      <charset val="134"/>
    </font>
    <font>
      <b/>
      <i/>
      <sz val="10"/>
      <color theme="1"/>
      <name val="Teko"/>
      <charset val="134"/>
    </font>
    <font>
      <i/>
      <sz val="16"/>
      <color theme="1"/>
      <name val="Teko"/>
      <charset val="134"/>
    </font>
    <font>
      <b/>
      <i/>
      <sz val="18"/>
      <color rgb="FFFF0000"/>
      <name val="Oswald"/>
      <charset val="134"/>
    </font>
    <font>
      <b/>
      <i/>
      <sz val="11"/>
      <color rgb="FFFF0000"/>
      <name val="Oswald"/>
      <charset val="134"/>
    </font>
    <font>
      <b/>
      <i/>
      <sz val="10"/>
      <color rgb="FFFF0000"/>
      <name val="Oswald"/>
      <charset val="134"/>
    </font>
    <font>
      <b/>
      <i/>
      <sz val="8"/>
      <color theme="1"/>
      <name val="Oswald"/>
      <charset val="134"/>
    </font>
    <font>
      <b/>
      <i/>
      <sz val="8"/>
      <color rgb="FF000000"/>
      <name val="Arial Narrow"/>
      <charset val="134"/>
    </font>
    <font>
      <b/>
      <i/>
      <sz val="12"/>
      <color rgb="FFFF0000"/>
      <name val="Arial Narrow"/>
      <charset val="134"/>
    </font>
    <font>
      <b/>
      <i/>
      <sz val="11"/>
      <color theme="1"/>
      <name val="Arial Narrow"/>
      <charset val="134"/>
    </font>
    <font>
      <b/>
      <i/>
      <sz val="10"/>
      <color theme="1"/>
      <name val="Arial Narrow"/>
      <charset val="134"/>
    </font>
    <font>
      <b/>
      <sz val="14"/>
      <color theme="1"/>
      <name val="Calibri"/>
      <charset val="134"/>
    </font>
    <font>
      <b/>
      <sz val="14"/>
      <color rgb="FFED7D31"/>
      <name val="Calibri"/>
      <charset val="134"/>
    </font>
    <font>
      <b/>
      <i/>
      <sz val="14"/>
      <color theme="1"/>
      <name val="Calibri"/>
      <charset val="134"/>
    </font>
    <font>
      <b/>
      <i/>
      <sz val="9"/>
      <color theme="1"/>
      <name val="Calibri"/>
      <charset val="134"/>
    </font>
    <font>
      <b/>
      <i/>
      <sz val="10"/>
      <color theme="1"/>
      <name val="Calibri"/>
      <charset val="134"/>
    </font>
    <font>
      <b/>
      <sz val="8"/>
      <color rgb="FF000000"/>
      <name val="Calibri"/>
      <charset val="134"/>
    </font>
    <font>
      <b/>
      <sz val="9"/>
      <color theme="1"/>
      <name val="Calibri"/>
      <charset val="134"/>
    </font>
    <font>
      <b/>
      <sz val="11"/>
      <color theme="1"/>
      <name val="Calibri"/>
      <charset val="134"/>
    </font>
    <font>
      <b/>
      <i/>
      <sz val="11"/>
      <color rgb="FFC00000"/>
      <name val="Calibri"/>
      <charset val="134"/>
    </font>
    <font>
      <sz val="10"/>
      <color theme="1"/>
      <name val="Calibri"/>
      <charset val="134"/>
    </font>
    <font>
      <b/>
      <i/>
      <sz val="11"/>
      <color rgb="FF0000FF"/>
      <name val="Calibri"/>
      <charset val="134"/>
    </font>
    <font>
      <b/>
      <i/>
      <sz val="11"/>
      <color theme="1"/>
      <name val="Calibri"/>
      <charset val="134"/>
    </font>
    <font>
      <b/>
      <i/>
      <sz val="11"/>
      <color rgb="FFFF00FF"/>
      <name val="Calibri"/>
      <charset val="134"/>
    </font>
    <font>
      <b/>
      <i/>
      <sz val="11"/>
      <color rgb="FFFF0000"/>
      <name val="Calibri"/>
      <charset val="134"/>
    </font>
    <font>
      <b/>
      <i/>
      <sz val="11"/>
      <color rgb="FF11982F"/>
      <name val="Calibri"/>
      <charset val="134"/>
    </font>
    <font>
      <b/>
      <sz val="8"/>
      <color theme="1"/>
      <name val="Calibri"/>
      <charset val="134"/>
    </font>
    <font>
      <b/>
      <i/>
      <sz val="8"/>
      <color theme="1"/>
      <name val="Calibri"/>
      <charset val="134"/>
    </font>
    <font>
      <b/>
      <sz val="11"/>
      <color rgb="FFE69138"/>
      <name val="Calibri"/>
      <charset val="134"/>
    </font>
    <font>
      <b/>
      <i/>
      <sz val="8"/>
      <color rgb="FF000000"/>
      <name val="Calibri"/>
      <charset val="134"/>
    </font>
    <font>
      <b/>
      <i/>
      <sz val="12"/>
      <color rgb="FFFF00FF"/>
      <name val="Calibri"/>
      <charset val="134"/>
    </font>
    <font>
      <b/>
      <i/>
      <sz val="11"/>
      <color rgb="FFC40000"/>
      <name val="Calibri"/>
      <charset val="134"/>
    </font>
    <font>
      <b/>
      <i/>
      <sz val="12"/>
      <color theme="1"/>
      <name val="Calibri"/>
      <charset val="134"/>
    </font>
    <font>
      <sz val="10"/>
      <color theme="1"/>
      <name val="Arial"/>
      <charset val="134"/>
    </font>
    <font>
      <b/>
      <sz val="10"/>
      <color theme="0"/>
      <name val="Arial Narrow"/>
      <charset val="134"/>
    </font>
    <font>
      <b/>
      <i/>
      <sz val="14"/>
      <color theme="0"/>
      <name val="Arial Narrow"/>
      <charset val="134"/>
    </font>
    <font>
      <b/>
      <i/>
      <sz val="12"/>
      <color theme="0"/>
      <name val="Arial Narrow"/>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SimSun"/>
      <charset val="134"/>
    </font>
  </fonts>
  <fills count="43">
    <fill>
      <patternFill patternType="none"/>
    </fill>
    <fill>
      <patternFill patternType="gray125"/>
    </fill>
    <fill>
      <patternFill patternType="solid">
        <fgColor rgb="FF6AA84F"/>
        <bgColor rgb="FF6AA84F"/>
      </patternFill>
    </fill>
    <fill>
      <patternFill patternType="solid">
        <fgColor rgb="FFB4A7D6"/>
        <bgColor rgb="FFB4A7D6"/>
      </patternFill>
    </fill>
    <fill>
      <patternFill patternType="solid">
        <fgColor rgb="FFFFF2CC"/>
        <bgColor rgb="FFFFF2CC"/>
      </patternFill>
    </fill>
    <fill>
      <patternFill patternType="solid">
        <fgColor rgb="FFFFFFFF"/>
        <bgColor rgb="FFFFFFFF"/>
      </patternFill>
    </fill>
    <fill>
      <patternFill patternType="solid">
        <fgColor rgb="FFD9EAD3"/>
        <bgColor rgb="FFD9EAD3"/>
      </patternFill>
    </fill>
    <fill>
      <patternFill patternType="solid">
        <fgColor rgb="FFE69138"/>
        <bgColor rgb="FFE69138"/>
      </patternFill>
    </fill>
    <fill>
      <patternFill patternType="solid">
        <fgColor rgb="FF00FFFF"/>
        <bgColor rgb="FF00FFFF"/>
      </patternFill>
    </fill>
    <fill>
      <patternFill patternType="solid">
        <fgColor rgb="FF00FF00"/>
        <bgColor rgb="FF00FF00"/>
      </patternFill>
    </fill>
    <fill>
      <patternFill patternType="solid">
        <fgColor rgb="FFFFFF00"/>
        <bgColor rgb="FFFFFF00"/>
      </patternFill>
    </fill>
    <fill>
      <patternFill patternType="solid">
        <fgColor rgb="FFB6D7A8"/>
        <bgColor rgb="FFB6D7A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3" fillId="0" borderId="0" applyFont="0" applyFill="0" applyBorder="0" applyAlignment="0" applyProtection="0">
      <alignment vertical="center"/>
    </xf>
    <xf numFmtId="177" fontId="33" fillId="0" borderId="0" applyFont="0" applyFill="0" applyBorder="0" applyAlignment="0" applyProtection="0">
      <alignment vertical="center"/>
    </xf>
    <xf numFmtId="9" fontId="33" fillId="0" borderId="0" applyFont="0" applyFill="0" applyBorder="0" applyAlignment="0" applyProtection="0">
      <alignment vertical="center"/>
    </xf>
    <xf numFmtId="178" fontId="33" fillId="0" borderId="0" applyFont="0" applyFill="0" applyBorder="0" applyAlignment="0" applyProtection="0">
      <alignment vertical="center"/>
    </xf>
    <xf numFmtId="179" fontId="33" fillId="0" borderId="0" applyFont="0" applyFill="0" applyBorder="0" applyAlignment="0" applyProtection="0">
      <alignment vertical="center"/>
    </xf>
    <xf numFmtId="0" fontId="90"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33" fillId="12" borderId="16" applyNumberFormat="0" applyFont="0" applyAlignment="0" applyProtection="0">
      <alignment vertical="center"/>
    </xf>
    <xf numFmtId="0" fontId="92" fillId="0" borderId="0" applyNumberFormat="0" applyFill="0" applyBorder="0" applyAlignment="0" applyProtection="0">
      <alignment vertical="center"/>
    </xf>
    <xf numFmtId="0" fontId="93" fillId="0" borderId="0" applyNumberFormat="0" applyFill="0" applyBorder="0" applyAlignment="0" applyProtection="0">
      <alignment vertical="center"/>
    </xf>
    <xf numFmtId="0" fontId="94" fillId="0" borderId="0" applyNumberFormat="0" applyFill="0" applyBorder="0" applyAlignment="0" applyProtection="0">
      <alignment vertical="center"/>
    </xf>
    <xf numFmtId="0" fontId="95" fillId="0" borderId="17" applyNumberFormat="0" applyFill="0" applyAlignment="0" applyProtection="0">
      <alignment vertical="center"/>
    </xf>
    <xf numFmtId="0" fontId="96" fillId="0" borderId="17" applyNumberFormat="0" applyFill="0" applyAlignment="0" applyProtection="0">
      <alignment vertical="center"/>
    </xf>
    <xf numFmtId="0" fontId="97" fillId="0" borderId="18" applyNumberFormat="0" applyFill="0" applyAlignment="0" applyProtection="0">
      <alignment vertical="center"/>
    </xf>
    <xf numFmtId="0" fontId="97" fillId="0" borderId="0" applyNumberFormat="0" applyFill="0" applyBorder="0" applyAlignment="0" applyProtection="0">
      <alignment vertical="center"/>
    </xf>
    <xf numFmtId="0" fontId="98" fillId="13" borderId="19" applyNumberFormat="0" applyAlignment="0" applyProtection="0">
      <alignment vertical="center"/>
    </xf>
    <xf numFmtId="0" fontId="99" fillId="14" borderId="20" applyNumberFormat="0" applyAlignment="0" applyProtection="0">
      <alignment vertical="center"/>
    </xf>
    <xf numFmtId="0" fontId="100" fillId="14" borderId="19" applyNumberFormat="0" applyAlignment="0" applyProtection="0">
      <alignment vertical="center"/>
    </xf>
    <xf numFmtId="0" fontId="101" fillId="15" borderId="21" applyNumberFormat="0" applyAlignment="0" applyProtection="0">
      <alignment vertical="center"/>
    </xf>
    <xf numFmtId="0" fontId="102" fillId="0" borderId="22" applyNumberFormat="0" applyFill="0" applyAlignment="0" applyProtection="0">
      <alignment vertical="center"/>
    </xf>
    <xf numFmtId="0" fontId="103" fillId="0" borderId="23" applyNumberFormat="0" applyFill="0" applyAlignment="0" applyProtection="0">
      <alignment vertical="center"/>
    </xf>
    <xf numFmtId="0" fontId="104" fillId="16" borderId="0" applyNumberFormat="0" applyBorder="0" applyAlignment="0" applyProtection="0">
      <alignment vertical="center"/>
    </xf>
    <xf numFmtId="0" fontId="105" fillId="17" borderId="0" applyNumberFormat="0" applyBorder="0" applyAlignment="0" applyProtection="0">
      <alignment vertical="center"/>
    </xf>
    <xf numFmtId="0" fontId="106" fillId="18" borderId="0" applyNumberFormat="0" applyBorder="0" applyAlignment="0" applyProtection="0">
      <alignment vertical="center"/>
    </xf>
    <xf numFmtId="0" fontId="107" fillId="19" borderId="0" applyNumberFormat="0" applyBorder="0" applyAlignment="0" applyProtection="0">
      <alignment vertical="center"/>
    </xf>
    <xf numFmtId="0" fontId="108" fillId="20" borderId="0" applyNumberFormat="0" applyBorder="0" applyAlignment="0" applyProtection="0">
      <alignment vertical="center"/>
    </xf>
    <xf numFmtId="0" fontId="108" fillId="21" borderId="0" applyNumberFormat="0" applyBorder="0" applyAlignment="0" applyProtection="0">
      <alignment vertical="center"/>
    </xf>
    <xf numFmtId="0" fontId="107" fillId="22" borderId="0" applyNumberFormat="0" applyBorder="0" applyAlignment="0" applyProtection="0">
      <alignment vertical="center"/>
    </xf>
    <xf numFmtId="0" fontId="107" fillId="23" borderId="0" applyNumberFormat="0" applyBorder="0" applyAlignment="0" applyProtection="0">
      <alignment vertical="center"/>
    </xf>
    <xf numFmtId="0" fontId="108" fillId="24" borderId="0" applyNumberFormat="0" applyBorder="0" applyAlignment="0" applyProtection="0">
      <alignment vertical="center"/>
    </xf>
    <xf numFmtId="0" fontId="108" fillId="25" borderId="0" applyNumberFormat="0" applyBorder="0" applyAlignment="0" applyProtection="0">
      <alignment vertical="center"/>
    </xf>
    <xf numFmtId="0" fontId="107" fillId="26" borderId="0" applyNumberFormat="0" applyBorder="0" applyAlignment="0" applyProtection="0">
      <alignment vertical="center"/>
    </xf>
    <xf numFmtId="0" fontId="107" fillId="27" borderId="0" applyNumberFormat="0" applyBorder="0" applyAlignment="0" applyProtection="0">
      <alignment vertical="center"/>
    </xf>
    <xf numFmtId="0" fontId="108" fillId="28" borderId="0" applyNumberFormat="0" applyBorder="0" applyAlignment="0" applyProtection="0">
      <alignment vertical="center"/>
    </xf>
    <xf numFmtId="0" fontId="108" fillId="29" borderId="0" applyNumberFormat="0" applyBorder="0" applyAlignment="0" applyProtection="0">
      <alignment vertical="center"/>
    </xf>
    <xf numFmtId="0" fontId="107" fillId="30" borderId="0" applyNumberFormat="0" applyBorder="0" applyAlignment="0" applyProtection="0">
      <alignment vertical="center"/>
    </xf>
    <xf numFmtId="0" fontId="107" fillId="31" borderId="0" applyNumberFormat="0" applyBorder="0" applyAlignment="0" applyProtection="0">
      <alignment vertical="center"/>
    </xf>
    <xf numFmtId="0" fontId="108" fillId="32" borderId="0" applyNumberFormat="0" applyBorder="0" applyAlignment="0" applyProtection="0">
      <alignment vertical="center"/>
    </xf>
    <xf numFmtId="0" fontId="108" fillId="33" borderId="0" applyNumberFormat="0" applyBorder="0" applyAlignment="0" applyProtection="0">
      <alignment vertical="center"/>
    </xf>
    <xf numFmtId="0" fontId="107" fillId="34" borderId="0" applyNumberFormat="0" applyBorder="0" applyAlignment="0" applyProtection="0">
      <alignment vertical="center"/>
    </xf>
    <xf numFmtId="0" fontId="107" fillId="35" borderId="0" applyNumberFormat="0" applyBorder="0" applyAlignment="0" applyProtection="0">
      <alignment vertical="center"/>
    </xf>
    <xf numFmtId="0" fontId="108" fillId="36" borderId="0" applyNumberFormat="0" applyBorder="0" applyAlignment="0" applyProtection="0">
      <alignment vertical="center"/>
    </xf>
    <xf numFmtId="0" fontId="108" fillId="37" borderId="0" applyNumberFormat="0" applyBorder="0" applyAlignment="0" applyProtection="0">
      <alignment vertical="center"/>
    </xf>
    <xf numFmtId="0" fontId="107" fillId="38" borderId="0" applyNumberFormat="0" applyBorder="0" applyAlignment="0" applyProtection="0">
      <alignment vertical="center"/>
    </xf>
    <xf numFmtId="0" fontId="107" fillId="39" borderId="0" applyNumberFormat="0" applyBorder="0" applyAlignment="0" applyProtection="0">
      <alignment vertical="center"/>
    </xf>
    <xf numFmtId="0" fontId="108" fillId="40" borderId="0" applyNumberFormat="0" applyBorder="0" applyAlignment="0" applyProtection="0">
      <alignment vertical="center"/>
    </xf>
    <xf numFmtId="0" fontId="108" fillId="41" borderId="0" applyNumberFormat="0" applyBorder="0" applyAlignment="0" applyProtection="0">
      <alignment vertical="center"/>
    </xf>
    <xf numFmtId="0" fontId="107" fillId="42" borderId="0" applyNumberFormat="0" applyBorder="0" applyAlignment="0" applyProtection="0">
      <alignment vertical="center"/>
    </xf>
  </cellStyleXfs>
  <cellXfs count="625">
    <xf numFmtId="0" fontId="0" fillId="0" borderId="0" xfId="0" applyFont="1" applyAlignment="1"/>
    <xf numFmtId="0" fontId="1" fillId="2" borderId="0" xfId="0" applyFont="1" applyFill="1" applyBorder="1" applyAlignment="1">
      <alignment horizontal="center"/>
    </xf>
    <xf numFmtId="180" fontId="2" fillId="2" borderId="0" xfId="0" applyNumberFormat="1" applyFont="1" applyFill="1" applyBorder="1" applyAlignment="1">
      <alignment horizontal="left"/>
    </xf>
    <xf numFmtId="0" fontId="3" fillId="2" borderId="0" xfId="0" applyFont="1" applyFill="1" applyBorder="1" applyAlignment="1">
      <alignment horizontal="center" vertical="center"/>
    </xf>
    <xf numFmtId="0" fontId="4" fillId="2" borderId="0" xfId="0" applyFont="1" applyFill="1" applyBorder="1" applyAlignment="1">
      <alignment horizontal="center"/>
    </xf>
    <xf numFmtId="0" fontId="5" fillId="2" borderId="0" xfId="0" applyFont="1" applyFill="1" applyBorder="1" applyAlignment="1">
      <alignment horizontal="center"/>
    </xf>
    <xf numFmtId="49" fontId="5" fillId="2" borderId="0" xfId="0" applyNumberFormat="1" applyFont="1" applyFill="1" applyBorder="1" applyAlignment="1">
      <alignment horizontal="center"/>
    </xf>
    <xf numFmtId="4" fontId="6" fillId="2" borderId="0" xfId="0" applyNumberFormat="1" applyFont="1" applyFill="1" applyBorder="1" applyAlignment="1">
      <alignment horizontal="center"/>
    </xf>
    <xf numFmtId="4" fontId="7" fillId="2" borderId="0" xfId="0" applyNumberFormat="1" applyFont="1" applyFill="1" applyBorder="1" applyAlignment="1">
      <alignment horizontal="center"/>
    </xf>
    <xf numFmtId="4" fontId="8" fillId="2" borderId="0" xfId="0" applyNumberFormat="1" applyFont="1" applyFill="1" applyBorder="1" applyAlignment="1">
      <alignment horizontal="center"/>
    </xf>
    <xf numFmtId="0" fontId="9" fillId="2" borderId="0" xfId="0" applyFont="1" applyFill="1" applyBorder="1" applyAlignment="1">
      <alignment horizontal="center"/>
    </xf>
    <xf numFmtId="0" fontId="10" fillId="2" borderId="0" xfId="0" applyFont="1" applyFill="1" applyBorder="1" applyAlignment="1">
      <alignment horizontal="center"/>
    </xf>
    <xf numFmtId="0" fontId="10" fillId="2" borderId="0" xfId="0" applyFont="1" applyFill="1" applyAlignment="1">
      <alignment horizontal="center"/>
    </xf>
    <xf numFmtId="0" fontId="11" fillId="2" borderId="0" xfId="0" applyFont="1" applyFill="1" applyBorder="1" applyAlignment="1">
      <alignment horizontal="center" vertical="center"/>
    </xf>
    <xf numFmtId="0" fontId="12" fillId="2" borderId="0" xfId="0" applyFont="1" applyFill="1" applyBorder="1" applyAlignment="1">
      <alignment horizontal="center"/>
    </xf>
    <xf numFmtId="0" fontId="13" fillId="0" borderId="0" xfId="0" applyFont="1" applyBorder="1"/>
    <xf numFmtId="0" fontId="2" fillId="2" borderId="0" xfId="0" applyFont="1" applyFill="1" applyBorder="1" applyAlignment="1">
      <alignment horizontal="center"/>
    </xf>
    <xf numFmtId="180" fontId="14" fillId="2" borderId="1" xfId="0" applyNumberFormat="1" applyFont="1" applyFill="1" applyBorder="1" applyAlignment="1">
      <alignment horizontal="center" vertical="center"/>
    </xf>
    <xf numFmtId="0" fontId="15" fillId="2" borderId="2" xfId="0" applyFont="1" applyFill="1" applyBorder="1" applyAlignment="1">
      <alignment horizontal="center" vertical="center" wrapText="1"/>
    </xf>
    <xf numFmtId="49" fontId="15" fillId="2" borderId="2" xfId="0" applyNumberFormat="1" applyFont="1" applyFill="1" applyBorder="1" applyAlignment="1">
      <alignment horizontal="center" vertical="center" wrapText="1"/>
    </xf>
    <xf numFmtId="4" fontId="15" fillId="2" borderId="2" xfId="0" applyNumberFormat="1" applyFont="1" applyFill="1" applyBorder="1" applyAlignment="1">
      <alignment horizontal="center" vertical="center" wrapText="1"/>
    </xf>
    <xf numFmtId="0" fontId="15" fillId="2" borderId="0" xfId="0" applyFont="1" applyFill="1" applyAlignment="1">
      <alignment horizontal="center" vertical="center" wrapText="1"/>
    </xf>
    <xf numFmtId="0" fontId="13" fillId="0" borderId="2" xfId="0" applyFont="1" applyBorder="1"/>
    <xf numFmtId="0" fontId="16" fillId="2" borderId="0" xfId="0" applyFont="1" applyFill="1" applyAlignment="1">
      <alignment horizontal="center" vertical="center"/>
    </xf>
    <xf numFmtId="0" fontId="17" fillId="2" borderId="0" xfId="0" applyFont="1" applyFill="1" applyBorder="1" applyAlignment="1">
      <alignment horizontal="center" vertical="center" wrapText="1"/>
    </xf>
    <xf numFmtId="180" fontId="18" fillId="2" borderId="1" xfId="0" applyNumberFormat="1" applyFont="1" applyFill="1" applyBorder="1" applyAlignment="1">
      <alignment horizontal="center" vertical="center" wrapText="1"/>
    </xf>
    <xf numFmtId="0" fontId="19" fillId="2" borderId="2" xfId="0" applyFont="1" applyFill="1" applyBorder="1" applyAlignment="1">
      <alignment horizontal="center" vertical="center" wrapText="1"/>
    </xf>
    <xf numFmtId="0" fontId="20" fillId="2" borderId="2" xfId="0" applyFont="1" applyFill="1" applyBorder="1" applyAlignment="1">
      <alignment horizontal="center" vertical="center" wrapText="1"/>
    </xf>
    <xf numFmtId="0" fontId="20" fillId="2" borderId="0" xfId="0" applyFont="1" applyFill="1" applyBorder="1" applyAlignment="1">
      <alignment horizontal="center" vertical="center" wrapText="1"/>
    </xf>
    <xf numFmtId="0" fontId="13" fillId="0" borderId="1" xfId="0" applyFont="1" applyBorder="1"/>
    <xf numFmtId="0" fontId="20" fillId="2" borderId="0" xfId="0" applyFont="1" applyFill="1" applyAlignment="1">
      <alignment horizontal="center" vertical="center" wrapText="1"/>
    </xf>
    <xf numFmtId="49" fontId="20" fillId="2" borderId="0" xfId="0" applyNumberFormat="1" applyFont="1" applyFill="1" applyBorder="1" applyAlignment="1">
      <alignment horizontal="center" vertical="center" wrapText="1"/>
    </xf>
    <xf numFmtId="4" fontId="20" fillId="2" borderId="0" xfId="0" applyNumberFormat="1" applyFont="1" applyFill="1" applyBorder="1" applyAlignment="1">
      <alignment horizontal="center" vertical="center" wrapText="1"/>
    </xf>
    <xf numFmtId="0" fontId="17" fillId="2" borderId="0" xfId="0" applyFont="1" applyFill="1" applyAlignment="1">
      <alignment horizontal="center" vertical="center" wrapText="1"/>
    </xf>
    <xf numFmtId="0" fontId="21" fillId="2" borderId="0" xfId="0" applyFont="1" applyFill="1" applyAlignment="1">
      <alignment horizontal="center" vertical="center" wrapText="1"/>
    </xf>
    <xf numFmtId="4" fontId="21" fillId="2" borderId="0" xfId="0" applyNumberFormat="1" applyFont="1" applyFill="1" applyAlignment="1">
      <alignment horizontal="center" vertical="center" wrapText="1"/>
    </xf>
    <xf numFmtId="180" fontId="22" fillId="2" borderId="3" xfId="0" applyNumberFormat="1" applyFont="1" applyFill="1" applyBorder="1" applyAlignment="1">
      <alignment horizontal="center" vertical="center" wrapText="1"/>
    </xf>
    <xf numFmtId="0" fontId="23" fillId="0" borderId="3" xfId="0" applyFont="1" applyBorder="1" applyAlignment="1">
      <alignment horizontal="center" vertical="center" wrapText="1"/>
    </xf>
    <xf numFmtId="2" fontId="24" fillId="0" borderId="3" xfId="0" applyNumberFormat="1" applyFont="1" applyBorder="1" applyAlignment="1">
      <alignment horizontal="center" vertical="center" wrapText="1"/>
    </xf>
    <xf numFmtId="181" fontId="25" fillId="0" borderId="3" xfId="0" applyNumberFormat="1" applyFont="1" applyBorder="1" applyAlignment="1">
      <alignment horizontal="center" vertical="center" wrapText="1"/>
    </xf>
    <xf numFmtId="49" fontId="26" fillId="0" borderId="3" xfId="0" applyNumberFormat="1" applyFont="1" applyBorder="1" applyAlignment="1">
      <alignment horizontal="center" vertical="center" wrapText="1"/>
    </xf>
    <xf numFmtId="4" fontId="27" fillId="0" borderId="3" xfId="0" applyNumberFormat="1" applyFont="1" applyBorder="1" applyAlignment="1">
      <alignment horizontal="center" vertical="center" wrapText="1"/>
    </xf>
    <xf numFmtId="4" fontId="24" fillId="0" borderId="3" xfId="0" applyNumberFormat="1" applyFont="1" applyBorder="1" applyAlignment="1">
      <alignment horizontal="center" vertical="center" wrapText="1"/>
    </xf>
    <xf numFmtId="3" fontId="28" fillId="0" borderId="3" xfId="0" applyNumberFormat="1" applyFont="1" applyBorder="1" applyAlignment="1">
      <alignment horizontal="center" vertical="center" wrapText="1"/>
    </xf>
    <xf numFmtId="0" fontId="29" fillId="0" borderId="3" xfId="0" applyFont="1" applyBorder="1" applyAlignment="1">
      <alignment horizontal="center" vertical="center" wrapText="1"/>
    </xf>
    <xf numFmtId="0" fontId="22" fillId="0" borderId="3" xfId="0" applyFont="1" applyBorder="1" applyAlignment="1">
      <alignment horizontal="center" vertical="center" wrapText="1"/>
    </xf>
    <xf numFmtId="180" fontId="30" fillId="2" borderId="0" xfId="0" applyNumberFormat="1" applyFont="1" applyFill="1" applyAlignment="1">
      <alignment horizontal="center" vertical="center" wrapText="1"/>
    </xf>
    <xf numFmtId="180" fontId="31" fillId="2" borderId="0" xfId="0" applyNumberFormat="1" applyFont="1" applyFill="1" applyAlignment="1">
      <alignment horizontal="center" vertical="center"/>
    </xf>
    <xf numFmtId="0" fontId="23" fillId="3" borderId="3" xfId="0" applyFont="1" applyFill="1" applyBorder="1" applyAlignment="1">
      <alignment horizontal="center" vertical="center" wrapText="1"/>
    </xf>
    <xf numFmtId="2" fontId="24" fillId="3" borderId="3" xfId="0" applyNumberFormat="1" applyFont="1" applyFill="1" applyBorder="1" applyAlignment="1">
      <alignment horizontal="center" vertical="center" wrapText="1"/>
    </xf>
    <xf numFmtId="181" fontId="25" fillId="3" borderId="3" xfId="0" applyNumberFormat="1" applyFont="1" applyFill="1" applyBorder="1" applyAlignment="1">
      <alignment horizontal="center" vertical="center" wrapText="1"/>
    </xf>
    <xf numFmtId="49" fontId="26" fillId="3" borderId="3" xfId="0" applyNumberFormat="1" applyFont="1" applyFill="1" applyBorder="1" applyAlignment="1">
      <alignment horizontal="center" vertical="center" wrapText="1"/>
    </xf>
    <xf numFmtId="4" fontId="27" fillId="3" borderId="3" xfId="0" applyNumberFormat="1" applyFont="1" applyFill="1" applyBorder="1" applyAlignment="1">
      <alignment horizontal="center" vertical="center" wrapText="1"/>
    </xf>
    <xf numFmtId="4" fontId="24" fillId="3" borderId="3" xfId="0" applyNumberFormat="1" applyFont="1" applyFill="1" applyBorder="1" applyAlignment="1">
      <alignment horizontal="center" vertical="center" wrapText="1"/>
    </xf>
    <xf numFmtId="3" fontId="28" fillId="3" borderId="3" xfId="0" applyNumberFormat="1" applyFont="1" applyFill="1" applyBorder="1" applyAlignment="1">
      <alignment horizontal="center" vertical="center" wrapText="1"/>
    </xf>
    <xf numFmtId="0" fontId="29" fillId="3" borderId="3" xfId="0" applyFont="1" applyFill="1" applyBorder="1" applyAlignment="1">
      <alignment horizontal="center" vertical="center" wrapText="1"/>
    </xf>
    <xf numFmtId="0" fontId="22" fillId="3" borderId="3" xfId="0" applyFont="1" applyFill="1" applyBorder="1" applyAlignment="1">
      <alignment horizontal="center" vertical="center" wrapText="1"/>
    </xf>
    <xf numFmtId="0" fontId="32" fillId="2" borderId="0" xfId="0" applyFont="1" applyFill="1" applyAlignment="1">
      <alignment horizontal="center" vertical="center" wrapText="1"/>
    </xf>
    <xf numFmtId="182" fontId="17" fillId="2" borderId="0" xfId="0" applyNumberFormat="1" applyFont="1" applyFill="1" applyAlignment="1">
      <alignment horizontal="center" vertical="center" wrapText="1"/>
    </xf>
    <xf numFmtId="0" fontId="33" fillId="2" borderId="0" xfId="0" applyFont="1" applyFill="1"/>
    <xf numFmtId="0" fontId="17" fillId="2" borderId="0" xfId="0" applyFont="1" applyFill="1" applyAlignment="1">
      <alignment horizontal="center" vertical="center" textRotation="45" wrapText="1"/>
    </xf>
    <xf numFmtId="180" fontId="22" fillId="2" borderId="4" xfId="0" applyNumberFormat="1" applyFont="1" applyFill="1" applyBorder="1" applyAlignment="1">
      <alignment horizontal="center" vertical="center" wrapText="1"/>
    </xf>
    <xf numFmtId="180" fontId="22" fillId="2" borderId="5" xfId="0" applyNumberFormat="1" applyFont="1" applyFill="1" applyBorder="1" applyAlignment="1">
      <alignment horizontal="center" vertical="center" wrapText="1"/>
    </xf>
    <xf numFmtId="0" fontId="23" fillId="0" borderId="5" xfId="0" applyFont="1" applyBorder="1" applyAlignment="1">
      <alignment horizontal="center" vertical="center" wrapText="1"/>
    </xf>
    <xf numFmtId="2" fontId="24" fillId="0" borderId="5" xfId="0" applyNumberFormat="1" applyFont="1" applyBorder="1" applyAlignment="1">
      <alignment horizontal="center" vertical="center" wrapText="1"/>
    </xf>
    <xf numFmtId="181" fontId="25" fillId="0" borderId="5" xfId="0" applyNumberFormat="1" applyFont="1" applyBorder="1" applyAlignment="1">
      <alignment horizontal="center" vertical="center" wrapText="1"/>
    </xf>
    <xf numFmtId="49" fontId="26" fillId="0" borderId="5" xfId="0" applyNumberFormat="1" applyFont="1" applyBorder="1" applyAlignment="1">
      <alignment horizontal="center" vertical="center" wrapText="1"/>
    </xf>
    <xf numFmtId="4" fontId="27" fillId="0" borderId="5" xfId="0" applyNumberFormat="1" applyFont="1" applyBorder="1" applyAlignment="1">
      <alignment horizontal="center" vertical="center" wrapText="1"/>
    </xf>
    <xf numFmtId="4" fontId="24" fillId="0" borderId="5" xfId="0" applyNumberFormat="1" applyFont="1" applyBorder="1" applyAlignment="1">
      <alignment horizontal="center" vertical="center" wrapText="1"/>
    </xf>
    <xf numFmtId="3" fontId="28" fillId="0" borderId="5" xfId="0" applyNumberFormat="1" applyFont="1" applyBorder="1" applyAlignment="1">
      <alignment horizontal="center" vertical="center" wrapText="1"/>
    </xf>
    <xf numFmtId="0" fontId="29" fillId="0" borderId="5" xfId="0" applyFont="1" applyBorder="1" applyAlignment="1">
      <alignment horizontal="center" vertical="center" wrapText="1"/>
    </xf>
    <xf numFmtId="0" fontId="22" fillId="0" borderId="5" xfId="0" applyFont="1" applyBorder="1" applyAlignment="1">
      <alignment horizontal="center" vertical="center" wrapText="1"/>
    </xf>
    <xf numFmtId="0" fontId="23" fillId="0" borderId="6" xfId="0" applyFont="1" applyBorder="1" applyAlignment="1">
      <alignment horizontal="center" vertical="center" wrapText="1"/>
    </xf>
    <xf numFmtId="2" fontId="24" fillId="0" borderId="6" xfId="0" applyNumberFormat="1" applyFont="1" applyBorder="1" applyAlignment="1">
      <alignment horizontal="center" vertical="center" wrapText="1"/>
    </xf>
    <xf numFmtId="181" fontId="25" fillId="0" borderId="6" xfId="0" applyNumberFormat="1" applyFont="1" applyBorder="1" applyAlignment="1">
      <alignment horizontal="center" vertical="center" wrapText="1"/>
    </xf>
    <xf numFmtId="49" fontId="26" fillId="0" borderId="6" xfId="0" applyNumberFormat="1" applyFont="1" applyBorder="1" applyAlignment="1">
      <alignment horizontal="center" vertical="center" wrapText="1"/>
    </xf>
    <xf numFmtId="4" fontId="27" fillId="0" borderId="6" xfId="0" applyNumberFormat="1" applyFont="1" applyBorder="1" applyAlignment="1">
      <alignment horizontal="center" vertical="center" wrapText="1"/>
    </xf>
    <xf numFmtId="4" fontId="24" fillId="0" borderId="6" xfId="0" applyNumberFormat="1" applyFont="1" applyBorder="1" applyAlignment="1">
      <alignment horizontal="center" vertical="center" wrapText="1"/>
    </xf>
    <xf numFmtId="3" fontId="28" fillId="0" borderId="6" xfId="0" applyNumberFormat="1" applyFont="1" applyBorder="1" applyAlignment="1">
      <alignment horizontal="center" vertical="center" wrapText="1"/>
    </xf>
    <xf numFmtId="0" fontId="29" fillId="0" borderId="6" xfId="0" applyFont="1" applyBorder="1" applyAlignment="1">
      <alignment horizontal="center" vertical="center" wrapText="1"/>
    </xf>
    <xf numFmtId="0" fontId="22" fillId="0" borderId="6" xfId="0" applyFont="1" applyBorder="1" applyAlignment="1">
      <alignment horizontal="center" vertical="center" wrapText="1"/>
    </xf>
    <xf numFmtId="2" fontId="24" fillId="3" borderId="6" xfId="0" applyNumberFormat="1" applyFont="1" applyFill="1" applyBorder="1" applyAlignment="1">
      <alignment horizontal="center" vertical="center" wrapText="1"/>
    </xf>
    <xf numFmtId="181" fontId="25" fillId="3" borderId="6" xfId="0" applyNumberFormat="1" applyFont="1" applyFill="1" applyBorder="1" applyAlignment="1">
      <alignment horizontal="center" vertical="center" wrapText="1"/>
    </xf>
    <xf numFmtId="49" fontId="26" fillId="3" borderId="6" xfId="0" applyNumberFormat="1" applyFont="1" applyFill="1" applyBorder="1" applyAlignment="1">
      <alignment horizontal="center" vertical="center" wrapText="1"/>
    </xf>
    <xf numFmtId="4" fontId="27" fillId="3" borderId="6" xfId="0" applyNumberFormat="1" applyFont="1" applyFill="1" applyBorder="1" applyAlignment="1">
      <alignment horizontal="center" vertical="center" wrapText="1"/>
    </xf>
    <xf numFmtId="4" fontId="24" fillId="3" borderId="6" xfId="0" applyNumberFormat="1" applyFont="1" applyFill="1" applyBorder="1" applyAlignment="1">
      <alignment horizontal="center" vertical="center" wrapText="1"/>
    </xf>
    <xf numFmtId="3" fontId="28" fillId="3" borderId="6" xfId="0" applyNumberFormat="1" applyFont="1" applyFill="1" applyBorder="1" applyAlignment="1">
      <alignment horizontal="center" vertical="center" wrapText="1"/>
    </xf>
    <xf numFmtId="0" fontId="29" fillId="3" borderId="6" xfId="0" applyFont="1" applyFill="1" applyBorder="1" applyAlignment="1">
      <alignment horizontal="center" vertical="center" wrapText="1"/>
    </xf>
    <xf numFmtId="0" fontId="22" fillId="3" borderId="6" xfId="0" applyFont="1" applyFill="1" applyBorder="1" applyAlignment="1">
      <alignment horizontal="center" vertical="center" wrapText="1"/>
    </xf>
    <xf numFmtId="0" fontId="34" fillId="2" borderId="0" xfId="0" applyFont="1" applyFill="1" applyAlignment="1">
      <alignment horizontal="center" vertical="center" wrapText="1"/>
    </xf>
    <xf numFmtId="0" fontId="35" fillId="2" borderId="0" xfId="0" applyFont="1" applyFill="1" applyAlignment="1">
      <alignment horizontal="center" vertical="center" wrapText="1"/>
    </xf>
    <xf numFmtId="0" fontId="36" fillId="2" borderId="0" xfId="0" applyFont="1" applyFill="1" applyAlignment="1">
      <alignment horizontal="center" vertical="center" wrapText="1"/>
    </xf>
    <xf numFmtId="4" fontId="36" fillId="2" borderId="0" xfId="0" applyNumberFormat="1" applyFont="1" applyFill="1" applyAlignment="1">
      <alignment horizontal="center" vertical="center" wrapText="1"/>
    </xf>
    <xf numFmtId="0" fontId="37" fillId="2" borderId="0" xfId="0" applyFont="1" applyFill="1" applyAlignment="1">
      <alignment horizontal="center" vertical="center" wrapText="1"/>
    </xf>
    <xf numFmtId="0" fontId="34" fillId="4" borderId="7" xfId="0" applyFont="1" applyFill="1" applyBorder="1" applyAlignment="1">
      <alignment horizontal="center" vertical="center" wrapText="1"/>
    </xf>
    <xf numFmtId="0" fontId="13" fillId="0" borderId="8" xfId="0" applyFont="1" applyBorder="1"/>
    <xf numFmtId="0" fontId="34" fillId="4" borderId="1" xfId="0" applyFont="1" applyFill="1" applyBorder="1" applyAlignment="1">
      <alignment horizontal="center" vertical="center" wrapText="1"/>
    </xf>
    <xf numFmtId="0" fontId="38" fillId="4" borderId="9" xfId="0" applyFont="1" applyFill="1" applyBorder="1" applyAlignment="1">
      <alignment horizontal="center" vertical="center" wrapText="1"/>
    </xf>
    <xf numFmtId="180" fontId="22" fillId="4" borderId="5" xfId="0" applyNumberFormat="1" applyFont="1" applyFill="1" applyBorder="1" applyAlignment="1">
      <alignment horizontal="center" vertical="center" wrapText="1"/>
    </xf>
    <xf numFmtId="0" fontId="23" fillId="4" borderId="10" xfId="0" applyFont="1" applyFill="1" applyBorder="1" applyAlignment="1">
      <alignment horizontal="center" vertical="center" wrapText="1"/>
    </xf>
    <xf numFmtId="2" fontId="24" fillId="4" borderId="3" xfId="0" applyNumberFormat="1" applyFont="1" applyFill="1" applyBorder="1" applyAlignment="1">
      <alignment horizontal="center" vertical="center" wrapText="1"/>
    </xf>
    <xf numFmtId="181" fontId="25" fillId="4" borderId="3" xfId="0" applyNumberFormat="1" applyFont="1" applyFill="1" applyBorder="1" applyAlignment="1">
      <alignment horizontal="center" vertical="center" wrapText="1"/>
    </xf>
    <xf numFmtId="49" fontId="26" fillId="4" borderId="3" xfId="0" applyNumberFormat="1" applyFont="1" applyFill="1" applyBorder="1" applyAlignment="1">
      <alignment horizontal="center" vertical="center" wrapText="1"/>
    </xf>
    <xf numFmtId="4" fontId="27" fillId="4" borderId="3" xfId="0" applyNumberFormat="1" applyFont="1" applyFill="1" applyBorder="1" applyAlignment="1">
      <alignment horizontal="center" vertical="center" wrapText="1"/>
    </xf>
    <xf numFmtId="4" fontId="24" fillId="4" borderId="3" xfId="0" applyNumberFormat="1" applyFont="1" applyFill="1" applyBorder="1" applyAlignment="1">
      <alignment horizontal="center" vertical="center" wrapText="1"/>
    </xf>
    <xf numFmtId="3" fontId="28" fillId="4" borderId="3" xfId="0" applyNumberFormat="1" applyFont="1" applyFill="1" applyBorder="1" applyAlignment="1">
      <alignment horizontal="center" vertical="center" wrapText="1"/>
    </xf>
    <xf numFmtId="0" fontId="29" fillId="4" borderId="3" xfId="0" applyFont="1" applyFill="1" applyBorder="1" applyAlignment="1">
      <alignment horizontal="center" vertical="center" wrapText="1"/>
    </xf>
    <xf numFmtId="0" fontId="22" fillId="4" borderId="3" xfId="0" applyFont="1" applyFill="1" applyBorder="1" applyAlignment="1">
      <alignment horizontal="center" vertical="center" wrapText="1"/>
    </xf>
    <xf numFmtId="0" fontId="38" fillId="0" borderId="11" xfId="0" applyFont="1" applyBorder="1" applyAlignment="1">
      <alignment horizontal="center" vertical="center" wrapText="1"/>
    </xf>
    <xf numFmtId="180" fontId="22" fillId="0" borderId="0" xfId="0" applyNumberFormat="1" applyFont="1" applyAlignment="1">
      <alignment horizontal="center" vertical="center" wrapText="1"/>
    </xf>
    <xf numFmtId="0" fontId="23" fillId="0" borderId="0" xfId="0" applyFont="1" applyAlignment="1">
      <alignment horizontal="center" vertical="center" wrapText="1"/>
    </xf>
    <xf numFmtId="2" fontId="24" fillId="0" borderId="0" xfId="0" applyNumberFormat="1" applyFont="1" applyAlignment="1">
      <alignment horizontal="center" vertical="center" wrapText="1"/>
    </xf>
    <xf numFmtId="181" fontId="25" fillId="0" borderId="0" xfId="0" applyNumberFormat="1" applyFont="1" applyAlignment="1">
      <alignment horizontal="center" vertical="center" wrapText="1"/>
    </xf>
    <xf numFmtId="49" fontId="26" fillId="0" borderId="0" xfId="0" applyNumberFormat="1" applyFont="1" applyAlignment="1">
      <alignment horizontal="center" vertical="center" wrapText="1"/>
    </xf>
    <xf numFmtId="4" fontId="27" fillId="0" borderId="0" xfId="0" applyNumberFormat="1" applyFont="1" applyAlignment="1">
      <alignment horizontal="center" vertical="center" wrapText="1"/>
    </xf>
    <xf numFmtId="4" fontId="24" fillId="0" borderId="0" xfId="0" applyNumberFormat="1" applyFont="1" applyAlignment="1">
      <alignment horizontal="center" vertical="center" wrapText="1"/>
    </xf>
    <xf numFmtId="3" fontId="28" fillId="0" borderId="0" xfId="0" applyNumberFormat="1" applyFont="1" applyAlignment="1">
      <alignment horizontal="center" vertical="center" wrapText="1"/>
    </xf>
    <xf numFmtId="0" fontId="29" fillId="0" borderId="0" xfId="0" applyFont="1" applyAlignment="1">
      <alignment horizontal="center" vertical="center" wrapText="1"/>
    </xf>
    <xf numFmtId="0" fontId="22" fillId="0" borderId="0" xfId="0" applyFont="1" applyAlignment="1">
      <alignment horizontal="center" vertical="center" wrapText="1"/>
    </xf>
    <xf numFmtId="181" fontId="38" fillId="4" borderId="9" xfId="0" applyNumberFormat="1" applyFont="1" applyFill="1" applyBorder="1" applyAlignment="1">
      <alignment horizontal="center" vertical="center" wrapText="1"/>
    </xf>
    <xf numFmtId="2" fontId="24" fillId="4" borderId="10" xfId="0" applyNumberFormat="1" applyFont="1" applyFill="1" applyBorder="1" applyAlignment="1">
      <alignment horizontal="center" vertical="center" wrapText="1"/>
    </xf>
    <xf numFmtId="181" fontId="38" fillId="4" borderId="11" xfId="0" applyNumberFormat="1" applyFont="1" applyFill="1" applyBorder="1" applyAlignment="1">
      <alignment horizontal="center" vertical="center" wrapText="1"/>
    </xf>
    <xf numFmtId="180" fontId="22" fillId="4" borderId="12" xfId="0" applyNumberFormat="1" applyFont="1" applyFill="1" applyBorder="1" applyAlignment="1">
      <alignment horizontal="center" vertical="center" wrapText="1"/>
    </xf>
    <xf numFmtId="0" fontId="23" fillId="4" borderId="13" xfId="0" applyFont="1" applyFill="1" applyBorder="1" applyAlignment="1">
      <alignment horizontal="center" vertical="center" wrapText="1"/>
    </xf>
    <xf numFmtId="0" fontId="13" fillId="0" borderId="7" xfId="0" applyFont="1" applyBorder="1"/>
    <xf numFmtId="180" fontId="22" fillId="4" borderId="14" xfId="0" applyNumberFormat="1" applyFont="1" applyFill="1" applyBorder="1" applyAlignment="1">
      <alignment horizontal="center" vertical="center" wrapText="1"/>
    </xf>
    <xf numFmtId="0" fontId="23" fillId="4" borderId="8" xfId="0" applyFont="1" applyFill="1" applyBorder="1" applyAlignment="1">
      <alignment horizontal="center" vertical="center" wrapText="1"/>
    </xf>
    <xf numFmtId="0" fontId="38" fillId="0" borderId="1" xfId="0" applyFont="1" applyBorder="1" applyAlignment="1">
      <alignment horizontal="center" vertical="center" wrapText="1"/>
    </xf>
    <xf numFmtId="180" fontId="22" fillId="4" borderId="0" xfId="0" applyNumberFormat="1" applyFont="1" applyFill="1" applyAlignment="1">
      <alignment horizontal="center" vertical="center" wrapText="1"/>
    </xf>
    <xf numFmtId="0" fontId="23" fillId="4" borderId="2" xfId="0" applyFont="1" applyFill="1" applyBorder="1" applyAlignment="1">
      <alignment horizontal="center" vertical="center" wrapText="1"/>
    </xf>
    <xf numFmtId="0" fontId="38" fillId="0" borderId="9" xfId="0" applyFont="1" applyBorder="1" applyAlignment="1">
      <alignment horizontal="center" vertical="center" wrapText="1"/>
    </xf>
    <xf numFmtId="180" fontId="29" fillId="0" borderId="5" xfId="0" applyNumberFormat="1" applyFont="1" applyBorder="1" applyAlignment="1">
      <alignment horizontal="center" vertical="center" wrapText="1"/>
    </xf>
    <xf numFmtId="0" fontId="17" fillId="2" borderId="2" xfId="0" applyFont="1" applyFill="1" applyBorder="1" applyAlignment="1">
      <alignment horizontal="center" vertical="center" textRotation="45" wrapText="1"/>
    </xf>
    <xf numFmtId="180" fontId="22" fillId="2" borderId="6" xfId="0" applyNumberFormat="1" applyFont="1" applyFill="1" applyBorder="1" applyAlignment="1">
      <alignment horizontal="center" vertical="center" wrapText="1"/>
    </xf>
    <xf numFmtId="4" fontId="35" fillId="2" borderId="0" xfId="0" applyNumberFormat="1" applyFont="1" applyFill="1" applyAlignment="1">
      <alignment horizontal="center" vertical="center" wrapText="1"/>
    </xf>
    <xf numFmtId="0" fontId="17" fillId="0" borderId="0" xfId="0" applyFont="1" applyAlignment="1">
      <alignment horizontal="center" vertical="center" textRotation="45" wrapText="1"/>
    </xf>
    <xf numFmtId="2" fontId="24" fillId="3" borderId="4" xfId="0" applyNumberFormat="1" applyFont="1" applyFill="1" applyBorder="1" applyAlignment="1">
      <alignment horizontal="center" vertical="center" wrapText="1"/>
    </xf>
    <xf numFmtId="181" fontId="25" fillId="3" borderId="4" xfId="0" applyNumberFormat="1" applyFont="1" applyFill="1" applyBorder="1" applyAlignment="1">
      <alignment horizontal="center" vertical="center" wrapText="1"/>
    </xf>
    <xf numFmtId="49" fontId="26" fillId="3" borderId="4" xfId="0" applyNumberFormat="1" applyFont="1" applyFill="1" applyBorder="1" applyAlignment="1">
      <alignment horizontal="center" vertical="center" wrapText="1"/>
    </xf>
    <xf numFmtId="4" fontId="27" fillId="3" borderId="4" xfId="0" applyNumberFormat="1" applyFont="1" applyFill="1" applyBorder="1" applyAlignment="1">
      <alignment horizontal="center" vertical="center" wrapText="1"/>
    </xf>
    <xf numFmtId="4" fontId="24" fillId="3" borderId="4" xfId="0" applyNumberFormat="1" applyFont="1" applyFill="1" applyBorder="1" applyAlignment="1">
      <alignment horizontal="center" vertical="center" wrapText="1"/>
    </xf>
    <xf numFmtId="3" fontId="28" fillId="3" borderId="4" xfId="0" applyNumberFormat="1" applyFont="1" applyFill="1" applyBorder="1" applyAlignment="1">
      <alignment horizontal="center" vertical="center" wrapText="1"/>
    </xf>
    <xf numFmtId="0" fontId="29" fillId="3" borderId="4" xfId="0" applyFont="1" applyFill="1" applyBorder="1" applyAlignment="1">
      <alignment horizontal="center" vertical="center" wrapText="1"/>
    </xf>
    <xf numFmtId="0" fontId="22" fillId="3" borderId="4" xfId="0" applyFont="1" applyFill="1" applyBorder="1" applyAlignment="1">
      <alignment horizontal="center" vertical="center" wrapText="1"/>
    </xf>
    <xf numFmtId="2" fontId="24" fillId="5" borderId="4" xfId="0" applyNumberFormat="1" applyFont="1" applyFill="1" applyBorder="1" applyAlignment="1">
      <alignment horizontal="center" vertical="center" wrapText="1"/>
    </xf>
    <xf numFmtId="181" fontId="25" fillId="5" borderId="4" xfId="0" applyNumberFormat="1" applyFont="1" applyFill="1" applyBorder="1" applyAlignment="1">
      <alignment horizontal="center" vertical="center" wrapText="1"/>
    </xf>
    <xf numFmtId="49" fontId="26" fillId="5" borderId="4" xfId="0" applyNumberFormat="1" applyFont="1" applyFill="1" applyBorder="1" applyAlignment="1">
      <alignment horizontal="center" vertical="center" wrapText="1"/>
    </xf>
    <xf numFmtId="4" fontId="27" fillId="5" borderId="4" xfId="0" applyNumberFormat="1" applyFont="1" applyFill="1" applyBorder="1" applyAlignment="1">
      <alignment horizontal="center" vertical="center" wrapText="1"/>
    </xf>
    <xf numFmtId="4" fontId="24" fillId="5" borderId="4" xfId="0" applyNumberFormat="1" applyFont="1" applyFill="1" applyBorder="1" applyAlignment="1">
      <alignment horizontal="center" vertical="center" wrapText="1"/>
    </xf>
    <xf numFmtId="3" fontId="28" fillId="5" borderId="4" xfId="0" applyNumberFormat="1" applyFont="1" applyFill="1" applyBorder="1" applyAlignment="1">
      <alignment horizontal="center" vertical="center" wrapText="1"/>
    </xf>
    <xf numFmtId="0" fontId="29" fillId="5" borderId="4" xfId="0" applyFont="1" applyFill="1" applyBorder="1" applyAlignment="1">
      <alignment horizontal="center" vertical="center" wrapText="1"/>
    </xf>
    <xf numFmtId="0" fontId="22" fillId="5" borderId="4" xfId="0" applyFont="1" applyFill="1" applyBorder="1" applyAlignment="1">
      <alignment horizontal="center" vertical="center" wrapText="1"/>
    </xf>
    <xf numFmtId="0" fontId="23" fillId="3" borderId="4" xfId="0" applyFont="1" applyFill="1" applyBorder="1" applyAlignment="1">
      <alignment horizontal="center" vertical="center" wrapText="1"/>
    </xf>
    <xf numFmtId="180" fontId="22" fillId="2" borderId="0" xfId="0" applyNumberFormat="1" applyFont="1" applyFill="1" applyAlignment="1">
      <alignment horizontal="center" vertical="center" wrapText="1"/>
    </xf>
    <xf numFmtId="0" fontId="23" fillId="2" borderId="0" xfId="0" applyFont="1" applyFill="1" applyAlignment="1">
      <alignment horizontal="center" vertical="center" wrapText="1"/>
    </xf>
    <xf numFmtId="2" fontId="24" fillId="2" borderId="0" xfId="0" applyNumberFormat="1" applyFont="1" applyFill="1" applyAlignment="1">
      <alignment horizontal="center" vertical="center" wrapText="1"/>
    </xf>
    <xf numFmtId="181" fontId="25" fillId="2" borderId="0" xfId="0" applyNumberFormat="1" applyFont="1" applyFill="1" applyAlignment="1">
      <alignment horizontal="center" vertical="center" wrapText="1"/>
    </xf>
    <xf numFmtId="49" fontId="26" fillId="2" borderId="0" xfId="0" applyNumberFormat="1" applyFont="1" applyFill="1" applyAlignment="1">
      <alignment horizontal="center" vertical="center" wrapText="1"/>
    </xf>
    <xf numFmtId="4" fontId="27" fillId="2" borderId="0" xfId="0" applyNumberFormat="1" applyFont="1" applyFill="1" applyAlignment="1">
      <alignment horizontal="center" vertical="center" wrapText="1"/>
    </xf>
    <xf numFmtId="4" fontId="24" fillId="2" borderId="0" xfId="0" applyNumberFormat="1" applyFont="1" applyFill="1" applyAlignment="1">
      <alignment horizontal="center" vertical="center" wrapText="1"/>
    </xf>
    <xf numFmtId="3" fontId="28" fillId="2" borderId="0" xfId="0" applyNumberFormat="1" applyFont="1" applyFill="1" applyAlignment="1">
      <alignment horizontal="center" vertical="center" wrapText="1"/>
    </xf>
    <xf numFmtId="0" fontId="29" fillId="2" borderId="0" xfId="0" applyFont="1" applyFill="1" applyAlignment="1">
      <alignment horizontal="center" vertical="center" wrapText="1"/>
    </xf>
    <xf numFmtId="0" fontId="22" fillId="2" borderId="0" xfId="0" applyFont="1" applyFill="1" applyAlignment="1">
      <alignment horizontal="center" vertical="center" wrapText="1"/>
    </xf>
    <xf numFmtId="0" fontId="38" fillId="5" borderId="0" xfId="0" applyFont="1" applyFill="1" applyAlignment="1">
      <alignment horizontal="center" vertical="center" wrapText="1"/>
    </xf>
    <xf numFmtId="180" fontId="22" fillId="5" borderId="0" xfId="0" applyNumberFormat="1" applyFont="1" applyFill="1" applyAlignment="1">
      <alignment horizontal="center" vertical="center" wrapText="1"/>
    </xf>
    <xf numFmtId="0" fontId="23" fillId="5" borderId="0" xfId="0" applyFont="1" applyFill="1" applyAlignment="1">
      <alignment horizontal="center" vertical="center" wrapText="1"/>
    </xf>
    <xf numFmtId="2" fontId="24" fillId="5" borderId="0" xfId="0" applyNumberFormat="1" applyFont="1" applyFill="1" applyAlignment="1">
      <alignment horizontal="center" vertical="center" wrapText="1"/>
    </xf>
    <xf numFmtId="181" fontId="25" fillId="5" borderId="0" xfId="0" applyNumberFormat="1" applyFont="1" applyFill="1" applyAlignment="1">
      <alignment horizontal="center" vertical="center" wrapText="1"/>
    </xf>
    <xf numFmtId="49" fontId="26" fillId="5" borderId="0" xfId="0" applyNumberFormat="1" applyFont="1" applyFill="1" applyAlignment="1">
      <alignment horizontal="center" vertical="center" wrapText="1"/>
    </xf>
    <xf numFmtId="4" fontId="27" fillId="5" borderId="0" xfId="0" applyNumberFormat="1" applyFont="1" applyFill="1" applyAlignment="1">
      <alignment horizontal="center" vertical="center" wrapText="1"/>
    </xf>
    <xf numFmtId="4" fontId="24" fillId="5" borderId="0" xfId="0" applyNumberFormat="1" applyFont="1" applyFill="1" applyAlignment="1">
      <alignment horizontal="center" vertical="center" wrapText="1"/>
    </xf>
    <xf numFmtId="3" fontId="28" fillId="5" borderId="0" xfId="0" applyNumberFormat="1" applyFont="1" applyFill="1" applyAlignment="1">
      <alignment horizontal="center" vertical="center" wrapText="1"/>
    </xf>
    <xf numFmtId="0" fontId="29" fillId="5" borderId="0" xfId="0" applyFont="1" applyFill="1" applyAlignment="1">
      <alignment horizontal="center" vertical="center" wrapText="1"/>
    </xf>
    <xf numFmtId="0" fontId="22" fillId="5" borderId="0" xfId="0" applyFont="1" applyFill="1" applyAlignment="1">
      <alignment horizontal="center" vertical="center" wrapText="1"/>
    </xf>
    <xf numFmtId="183" fontId="29" fillId="0" borderId="0" xfId="0" applyNumberFormat="1" applyFont="1" applyAlignment="1">
      <alignment horizontal="center" vertical="center" wrapText="1"/>
    </xf>
    <xf numFmtId="180" fontId="29" fillId="0" borderId="0" xfId="0" applyNumberFormat="1" applyFont="1" applyAlignment="1">
      <alignment horizontal="center" vertical="center" wrapText="1"/>
    </xf>
    <xf numFmtId="3" fontId="29" fillId="0" borderId="0" xfId="0" applyNumberFormat="1" applyFont="1" applyAlignment="1">
      <alignment horizontal="center" vertical="center" wrapText="1"/>
    </xf>
    <xf numFmtId="10" fontId="22" fillId="0" borderId="0" xfId="0" applyNumberFormat="1" applyFont="1" applyAlignment="1">
      <alignment horizontal="center" vertical="center" wrapText="1"/>
    </xf>
    <xf numFmtId="181" fontId="23" fillId="3" borderId="3" xfId="0" applyNumberFormat="1" applyFont="1" applyFill="1" applyBorder="1" applyAlignment="1">
      <alignment horizontal="center" vertical="center" wrapText="1"/>
    </xf>
    <xf numFmtId="181" fontId="23" fillId="0" borderId="3" xfId="0" applyNumberFormat="1" applyFont="1" applyBorder="1" applyAlignment="1">
      <alignment horizontal="center" vertical="center" wrapText="1"/>
    </xf>
    <xf numFmtId="2" fontId="24" fillId="5" borderId="3" xfId="0" applyNumberFormat="1" applyFont="1" applyFill="1" applyBorder="1" applyAlignment="1">
      <alignment horizontal="center" vertical="center" wrapText="1"/>
    </xf>
    <xf numFmtId="181" fontId="25" fillId="5" borderId="3" xfId="0" applyNumberFormat="1" applyFont="1" applyFill="1" applyBorder="1" applyAlignment="1">
      <alignment horizontal="center" vertical="center" wrapText="1"/>
    </xf>
    <xf numFmtId="49" fontId="26" fillId="5" borderId="3" xfId="0" applyNumberFormat="1" applyFont="1" applyFill="1" applyBorder="1" applyAlignment="1">
      <alignment horizontal="center" vertical="center" wrapText="1"/>
    </xf>
    <xf numFmtId="4" fontId="27" fillId="5" borderId="3" xfId="0" applyNumberFormat="1" applyFont="1" applyFill="1" applyBorder="1" applyAlignment="1">
      <alignment horizontal="center" vertical="center" wrapText="1"/>
    </xf>
    <xf numFmtId="4" fontId="24" fillId="5" borderId="3" xfId="0" applyNumberFormat="1" applyFont="1" applyFill="1" applyBorder="1" applyAlignment="1">
      <alignment horizontal="center" vertical="center" wrapText="1"/>
    </xf>
    <xf numFmtId="3" fontId="28" fillId="5" borderId="3" xfId="0" applyNumberFormat="1" applyFont="1" applyFill="1" applyBorder="1" applyAlignment="1">
      <alignment horizontal="center" vertical="center" wrapText="1"/>
    </xf>
    <xf numFmtId="0" fontId="29" fillId="5" borderId="3" xfId="0" applyFont="1" applyFill="1" applyBorder="1" applyAlignment="1">
      <alignment horizontal="center" vertical="center" wrapText="1"/>
    </xf>
    <xf numFmtId="0" fontId="22" fillId="5" borderId="3" xfId="0" applyFont="1" applyFill="1" applyBorder="1" applyAlignment="1">
      <alignment horizontal="center" vertical="center" wrapText="1"/>
    </xf>
    <xf numFmtId="0" fontId="23" fillId="5" borderId="3" xfId="0" applyFont="1" applyFill="1" applyBorder="1" applyAlignment="1">
      <alignment horizontal="center" vertical="center" wrapText="1"/>
    </xf>
    <xf numFmtId="0" fontId="23" fillId="3" borderId="5" xfId="0" applyFont="1" applyFill="1" applyBorder="1" applyAlignment="1">
      <alignment horizontal="center" vertical="center" wrapText="1"/>
    </xf>
    <xf numFmtId="2" fontId="24" fillId="3" borderId="5" xfId="0" applyNumberFormat="1" applyFont="1" applyFill="1" applyBorder="1" applyAlignment="1">
      <alignment horizontal="center" vertical="center" wrapText="1"/>
    </xf>
    <xf numFmtId="181" fontId="25" fillId="3" borderId="5" xfId="0" applyNumberFormat="1" applyFont="1" applyFill="1" applyBorder="1" applyAlignment="1">
      <alignment horizontal="center" vertical="center" wrapText="1"/>
    </xf>
    <xf numFmtId="49" fontId="26" fillId="3" borderId="5" xfId="0" applyNumberFormat="1" applyFont="1" applyFill="1" applyBorder="1" applyAlignment="1">
      <alignment horizontal="center" vertical="center" wrapText="1"/>
    </xf>
    <xf numFmtId="4" fontId="27" fillId="3" borderId="5" xfId="0" applyNumberFormat="1" applyFont="1" applyFill="1" applyBorder="1" applyAlignment="1">
      <alignment horizontal="center" vertical="center" wrapText="1"/>
    </xf>
    <xf numFmtId="4" fontId="24" fillId="3" borderId="5" xfId="0" applyNumberFormat="1" applyFont="1" applyFill="1" applyBorder="1" applyAlignment="1">
      <alignment horizontal="center" vertical="center" wrapText="1"/>
    </xf>
    <xf numFmtId="3" fontId="28" fillId="3" borderId="5" xfId="0" applyNumberFormat="1" applyFont="1" applyFill="1" applyBorder="1" applyAlignment="1">
      <alignment horizontal="center" vertical="center" wrapText="1"/>
    </xf>
    <xf numFmtId="0" fontId="29" fillId="3" borderId="5" xfId="0" applyFont="1" applyFill="1" applyBorder="1" applyAlignment="1">
      <alignment horizontal="center" vertical="center" wrapText="1"/>
    </xf>
    <xf numFmtId="0" fontId="22" fillId="3" borderId="5" xfId="0" applyFont="1" applyFill="1" applyBorder="1" applyAlignment="1">
      <alignment horizontal="center" vertical="center" wrapText="1"/>
    </xf>
    <xf numFmtId="0" fontId="34" fillId="4" borderId="11" xfId="0" applyFont="1" applyFill="1" applyBorder="1" applyAlignment="1">
      <alignment horizontal="center" vertical="center" wrapText="1"/>
    </xf>
    <xf numFmtId="0" fontId="13" fillId="0" borderId="13" xfId="0" applyFont="1" applyBorder="1"/>
    <xf numFmtId="3" fontId="29" fillId="4" borderId="3" xfId="0" applyNumberFormat="1" applyFont="1" applyFill="1" applyBorder="1" applyAlignment="1">
      <alignment horizontal="center" vertical="center" wrapText="1"/>
    </xf>
    <xf numFmtId="184" fontId="38" fillId="2" borderId="0" xfId="0" applyNumberFormat="1" applyFont="1" applyFill="1" applyAlignment="1">
      <alignment horizontal="center" vertical="center" wrapText="1"/>
    </xf>
    <xf numFmtId="0" fontId="23" fillId="6" borderId="3" xfId="0" applyFont="1" applyFill="1" applyBorder="1" applyAlignment="1">
      <alignment horizontal="center" vertical="center" wrapText="1"/>
    </xf>
    <xf numFmtId="2" fontId="24" fillId="6" borderId="3" xfId="0" applyNumberFormat="1" applyFont="1" applyFill="1" applyBorder="1" applyAlignment="1">
      <alignment horizontal="center" vertical="center" wrapText="1"/>
    </xf>
    <xf numFmtId="181" fontId="25" fillId="6" borderId="3" xfId="0" applyNumberFormat="1" applyFont="1" applyFill="1" applyBorder="1" applyAlignment="1">
      <alignment horizontal="center" vertical="center" wrapText="1"/>
    </xf>
    <xf numFmtId="49" fontId="26" fillId="6" borderId="3" xfId="0" applyNumberFormat="1" applyFont="1" applyFill="1" applyBorder="1" applyAlignment="1">
      <alignment horizontal="center" vertical="center" wrapText="1"/>
    </xf>
    <xf numFmtId="4" fontId="27" fillId="6" borderId="3" xfId="0" applyNumberFormat="1" applyFont="1" applyFill="1" applyBorder="1" applyAlignment="1">
      <alignment horizontal="center" vertical="center" wrapText="1"/>
    </xf>
    <xf numFmtId="4" fontId="24" fillId="6" borderId="3" xfId="0" applyNumberFormat="1" applyFont="1" applyFill="1" applyBorder="1" applyAlignment="1">
      <alignment horizontal="center" vertical="center" wrapText="1"/>
    </xf>
    <xf numFmtId="3" fontId="28" fillId="6" borderId="3" xfId="0" applyNumberFormat="1" applyFont="1" applyFill="1" applyBorder="1" applyAlignment="1">
      <alignment horizontal="center" vertical="center" wrapText="1"/>
    </xf>
    <xf numFmtId="0" fontId="29" fillId="6" borderId="3" xfId="0" applyFont="1" applyFill="1" applyBorder="1" applyAlignment="1">
      <alignment horizontal="center" vertical="center" wrapText="1"/>
    </xf>
    <xf numFmtId="0" fontId="22" fillId="6" borderId="3" xfId="0" applyFont="1" applyFill="1" applyBorder="1" applyAlignment="1">
      <alignment horizontal="center" vertical="center" wrapText="1"/>
    </xf>
    <xf numFmtId="180" fontId="39" fillId="2" borderId="0" xfId="0" applyNumberFormat="1" applyFont="1" applyFill="1" applyAlignment="1">
      <alignment horizontal="center" vertical="center" wrapText="1"/>
    </xf>
    <xf numFmtId="180" fontId="40" fillId="2" borderId="0" xfId="0" applyNumberFormat="1" applyFont="1" applyFill="1" applyAlignment="1">
      <alignment vertical="center" wrapText="1"/>
    </xf>
    <xf numFmtId="0" fontId="41" fillId="2" borderId="0" xfId="0" applyFont="1" applyFill="1" applyAlignment="1">
      <alignment horizontal="center" vertical="center" wrapText="1"/>
    </xf>
    <xf numFmtId="0" fontId="40" fillId="2" borderId="0" xfId="0" applyFont="1" applyFill="1" applyAlignment="1">
      <alignment horizontal="center" vertical="center" wrapText="1"/>
    </xf>
    <xf numFmtId="0" fontId="42" fillId="2" borderId="0" xfId="0" applyFont="1" applyFill="1" applyAlignment="1">
      <alignment horizontal="center" vertical="center" wrapText="1"/>
    </xf>
    <xf numFmtId="49" fontId="40" fillId="2" borderId="0" xfId="0" applyNumberFormat="1" applyFont="1" applyFill="1" applyAlignment="1">
      <alignment horizontal="center" vertical="center" wrapText="1"/>
    </xf>
    <xf numFmtId="4" fontId="43" fillId="2" borderId="0" xfId="0" applyNumberFormat="1" applyFont="1" applyFill="1" applyAlignment="1">
      <alignment horizontal="center" vertical="center" wrapText="1"/>
    </xf>
    <xf numFmtId="4" fontId="44" fillId="2" borderId="0" xfId="0" applyNumberFormat="1" applyFont="1" applyFill="1" applyAlignment="1">
      <alignment horizontal="center" vertical="center" wrapText="1"/>
    </xf>
    <xf numFmtId="4" fontId="45" fillId="2" borderId="0" xfId="0" applyNumberFormat="1" applyFont="1" applyFill="1" applyAlignment="1">
      <alignment horizontal="center" vertical="center" wrapText="1"/>
    </xf>
    <xf numFmtId="0" fontId="46" fillId="7" borderId="0" xfId="0" applyFont="1" applyFill="1" applyBorder="1" applyAlignment="1">
      <alignment horizontal="center"/>
    </xf>
    <xf numFmtId="180" fontId="2" fillId="7" borderId="0" xfId="0" applyNumberFormat="1" applyFont="1" applyFill="1" applyBorder="1" applyAlignment="1">
      <alignment horizontal="left"/>
    </xf>
    <xf numFmtId="180" fontId="1" fillId="7" borderId="0" xfId="0" applyNumberFormat="1" applyFont="1" applyFill="1" applyBorder="1" applyAlignment="1">
      <alignment horizontal="left"/>
    </xf>
    <xf numFmtId="180" fontId="1" fillId="7" borderId="0" xfId="0" applyNumberFormat="1" applyFont="1" applyFill="1" applyBorder="1" applyAlignment="1">
      <alignment horizontal="center"/>
    </xf>
    <xf numFmtId="180" fontId="1" fillId="7" borderId="0" xfId="0" applyNumberFormat="1" applyFont="1" applyFill="1" applyAlignment="1">
      <alignment horizontal="center"/>
    </xf>
    <xf numFmtId="0" fontId="47" fillId="7" borderId="0" xfId="0" applyFont="1" applyFill="1" applyAlignment="1">
      <alignment horizontal="center" vertical="center"/>
    </xf>
    <xf numFmtId="0" fontId="47" fillId="7" borderId="0" xfId="0" applyFont="1" applyFill="1" applyBorder="1" applyAlignment="1">
      <alignment horizontal="center" vertical="center"/>
    </xf>
    <xf numFmtId="0" fontId="5" fillId="7" borderId="0" xfId="0" applyFont="1" applyFill="1" applyBorder="1" applyAlignment="1">
      <alignment horizontal="center"/>
    </xf>
    <xf numFmtId="49" fontId="5" fillId="7" borderId="0" xfId="0" applyNumberFormat="1" applyFont="1" applyFill="1" applyBorder="1" applyAlignment="1">
      <alignment horizontal="center"/>
    </xf>
    <xf numFmtId="3" fontId="48" fillId="7" borderId="0" xfId="0" applyNumberFormat="1" applyFont="1" applyFill="1" applyBorder="1" applyAlignment="1">
      <alignment horizontal="center"/>
    </xf>
    <xf numFmtId="0" fontId="49" fillId="7" borderId="0" xfId="0" applyFont="1" applyFill="1" applyBorder="1" applyAlignment="1">
      <alignment horizontal="center" vertical="center"/>
    </xf>
    <xf numFmtId="181" fontId="49" fillId="7" borderId="0" xfId="0" applyNumberFormat="1" applyFont="1" applyFill="1" applyBorder="1" applyAlignment="1">
      <alignment horizontal="center"/>
    </xf>
    <xf numFmtId="0" fontId="49" fillId="7" borderId="0" xfId="0" applyFont="1" applyFill="1" applyBorder="1" applyAlignment="1">
      <alignment horizontal="center"/>
    </xf>
    <xf numFmtId="0" fontId="50" fillId="7" borderId="0" xfId="0" applyFont="1" applyFill="1" applyAlignment="1">
      <alignment horizontal="center"/>
    </xf>
    <xf numFmtId="0" fontId="49" fillId="7" borderId="0" xfId="0" applyFont="1" applyFill="1" applyAlignment="1">
      <alignment horizontal="center"/>
    </xf>
    <xf numFmtId="0" fontId="51" fillId="7" borderId="0" xfId="0" applyFont="1" applyFill="1" applyAlignment="1">
      <alignment horizontal="center"/>
    </xf>
    <xf numFmtId="0" fontId="52" fillId="7" borderId="0" xfId="0" applyFont="1" applyFill="1" applyAlignment="1">
      <alignment horizontal="center"/>
    </xf>
    <xf numFmtId="4" fontId="52" fillId="7" borderId="0" xfId="0" applyNumberFormat="1" applyFont="1" applyFill="1" applyAlignment="1">
      <alignment horizontal="center"/>
    </xf>
    <xf numFmtId="0" fontId="53" fillId="7" borderId="0" xfId="0" applyFont="1" applyFill="1" applyBorder="1" applyAlignment="1">
      <alignment horizontal="center" vertical="center"/>
    </xf>
    <xf numFmtId="0" fontId="12" fillId="7" borderId="0" xfId="0" applyFont="1" applyFill="1" applyBorder="1" applyAlignment="1">
      <alignment horizontal="center"/>
    </xf>
    <xf numFmtId="0" fontId="49" fillId="7" borderId="1" xfId="0" applyFont="1" applyFill="1" applyBorder="1" applyAlignment="1">
      <alignment horizontal="center" vertical="center"/>
    </xf>
    <xf numFmtId="180" fontId="14" fillId="7" borderId="2" xfId="0" applyNumberFormat="1" applyFont="1" applyFill="1" applyBorder="1" applyAlignment="1">
      <alignment horizontal="center" vertical="center"/>
    </xf>
    <xf numFmtId="0" fontId="54" fillId="7" borderId="2" xfId="0" applyFont="1" applyFill="1" applyBorder="1" applyAlignment="1">
      <alignment horizontal="center" vertical="center" wrapText="1"/>
    </xf>
    <xf numFmtId="0" fontId="54" fillId="7" borderId="1" xfId="0" applyFont="1" applyFill="1" applyBorder="1" applyAlignment="1">
      <alignment horizontal="center" vertical="center" wrapText="1"/>
    </xf>
    <xf numFmtId="0" fontId="14" fillId="7" borderId="1" xfId="0" applyFont="1" applyFill="1" applyBorder="1" applyAlignment="1">
      <alignment horizontal="center" vertical="center"/>
    </xf>
    <xf numFmtId="180" fontId="14" fillId="7" borderId="15" xfId="0" applyNumberFormat="1" applyFont="1" applyFill="1" applyBorder="1" applyAlignment="1">
      <alignment horizontal="center" vertical="center"/>
    </xf>
    <xf numFmtId="0" fontId="55" fillId="7" borderId="2" xfId="0" applyFont="1" applyFill="1" applyBorder="1" applyAlignment="1">
      <alignment horizontal="center" vertical="center"/>
    </xf>
    <xf numFmtId="0" fontId="56" fillId="7" borderId="2" xfId="0" applyFont="1" applyFill="1" applyBorder="1" applyAlignment="1">
      <alignment horizontal="center" vertical="center"/>
    </xf>
    <xf numFmtId="0" fontId="56" fillId="7" borderId="15" xfId="0" applyFont="1" applyFill="1" applyBorder="1" applyAlignment="1">
      <alignment horizontal="center" vertical="center"/>
    </xf>
    <xf numFmtId="0" fontId="56" fillId="7" borderId="0" xfId="0" applyFont="1" applyFill="1" applyBorder="1" applyAlignment="1">
      <alignment horizontal="center" vertical="center"/>
    </xf>
    <xf numFmtId="0" fontId="56" fillId="7" borderId="1" xfId="0" applyFont="1" applyFill="1" applyBorder="1" applyAlignment="1">
      <alignment horizontal="center" vertical="center"/>
    </xf>
    <xf numFmtId="3" fontId="56" fillId="7" borderId="0" xfId="0" applyNumberFormat="1" applyFont="1" applyFill="1" applyBorder="1" applyAlignment="1">
      <alignment horizontal="center" vertical="center"/>
    </xf>
    <xf numFmtId="181" fontId="56" fillId="7" borderId="0" xfId="0" applyNumberFormat="1" applyFont="1" applyFill="1" applyBorder="1" applyAlignment="1">
      <alignment horizontal="center" vertical="center"/>
    </xf>
    <xf numFmtId="0" fontId="20" fillId="7" borderId="0" xfId="0" applyFont="1" applyFill="1" applyBorder="1" applyAlignment="1">
      <alignment horizontal="center" vertical="center" wrapText="1"/>
    </xf>
    <xf numFmtId="0" fontId="57" fillId="7" borderId="0" xfId="0" applyFont="1" applyFill="1" applyBorder="1" applyAlignment="1">
      <alignment horizontal="center" vertical="center"/>
    </xf>
    <xf numFmtId="0" fontId="58" fillId="7" borderId="0" xfId="0" applyFont="1" applyFill="1" applyBorder="1" applyAlignment="1">
      <alignment horizontal="center" vertical="center"/>
    </xf>
    <xf numFmtId="0" fontId="59" fillId="7" borderId="0" xfId="0" applyFont="1" applyFill="1" applyBorder="1" applyAlignment="1">
      <alignment horizontal="center" vertical="center"/>
    </xf>
    <xf numFmtId="0" fontId="17" fillId="7" borderId="0"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18" fillId="7" borderId="2" xfId="0" applyFont="1" applyFill="1" applyBorder="1" applyAlignment="1">
      <alignment horizontal="center" vertical="center" wrapText="1"/>
    </xf>
    <xf numFmtId="0" fontId="18" fillId="7" borderId="0" xfId="0" applyFont="1" applyFill="1" applyBorder="1" applyAlignment="1">
      <alignment horizontal="center" vertical="center" wrapText="1"/>
    </xf>
    <xf numFmtId="180" fontId="18" fillId="7" borderId="1" xfId="0" applyNumberFormat="1" applyFont="1" applyFill="1" applyBorder="1" applyAlignment="1">
      <alignment horizontal="center" vertical="center" wrapText="1"/>
    </xf>
    <xf numFmtId="180" fontId="18" fillId="7" borderId="15" xfId="0" applyNumberFormat="1" applyFont="1" applyFill="1" applyBorder="1" applyAlignment="1">
      <alignment horizontal="center" vertical="center" wrapText="1"/>
    </xf>
    <xf numFmtId="0" fontId="18" fillId="7" borderId="15" xfId="0" applyFont="1" applyFill="1" applyBorder="1" applyAlignment="1">
      <alignment horizontal="center" vertical="center" wrapText="1"/>
    </xf>
    <xf numFmtId="0" fontId="20" fillId="7" borderId="2" xfId="0" applyFont="1" applyFill="1" applyBorder="1" applyAlignment="1">
      <alignment horizontal="center" vertical="center" wrapText="1"/>
    </xf>
    <xf numFmtId="0" fontId="20" fillId="7" borderId="15" xfId="0" applyFont="1" applyFill="1" applyBorder="1" applyAlignment="1">
      <alignment horizontal="center" vertical="center" wrapText="1"/>
    </xf>
    <xf numFmtId="0" fontId="42" fillId="7" borderId="2" xfId="0" applyFont="1" applyFill="1" applyBorder="1" applyAlignment="1">
      <alignment horizontal="center" vertical="center" wrapText="1"/>
    </xf>
    <xf numFmtId="49" fontId="20" fillId="7" borderId="2" xfId="0" applyNumberFormat="1" applyFont="1" applyFill="1" applyBorder="1" applyAlignment="1">
      <alignment horizontal="center" vertical="center" wrapText="1"/>
    </xf>
    <xf numFmtId="0" fontId="19" fillId="7" borderId="2" xfId="0" applyFont="1" applyFill="1" applyBorder="1" applyAlignment="1">
      <alignment horizontal="center" vertical="center" wrapText="1"/>
    </xf>
    <xf numFmtId="0" fontId="15" fillId="7" borderId="2" xfId="0" applyFont="1" applyFill="1" applyBorder="1" applyAlignment="1">
      <alignment horizontal="center" vertical="center" wrapText="1"/>
    </xf>
    <xf numFmtId="3" fontId="15" fillId="7" borderId="2" xfId="0" applyNumberFormat="1" applyFont="1" applyFill="1" applyBorder="1" applyAlignment="1">
      <alignment horizontal="center" vertical="center" wrapText="1"/>
    </xf>
    <xf numFmtId="181" fontId="20" fillId="7" borderId="2" xfId="0" applyNumberFormat="1" applyFont="1" applyFill="1" applyBorder="1" applyAlignment="1">
      <alignment horizontal="center" vertical="center" wrapText="1"/>
    </xf>
    <xf numFmtId="0" fontId="37" fillId="7" borderId="2" xfId="0" applyFont="1" applyFill="1" applyBorder="1" applyAlignment="1">
      <alignment horizontal="center" vertical="center" wrapText="1"/>
    </xf>
    <xf numFmtId="0" fontId="42" fillId="7" borderId="0" xfId="0" applyFont="1" applyFill="1" applyBorder="1" applyAlignment="1">
      <alignment horizontal="center" vertical="center" wrapText="1"/>
    </xf>
    <xf numFmtId="0" fontId="60" fillId="7" borderId="2" xfId="0" applyFont="1" applyFill="1" applyBorder="1" applyAlignment="1">
      <alignment horizontal="center" vertical="center" wrapText="1"/>
    </xf>
    <xf numFmtId="4" fontId="60" fillId="7" borderId="0" xfId="0" applyNumberFormat="1" applyFont="1" applyFill="1" applyBorder="1" applyAlignment="1">
      <alignment horizontal="center" vertical="center" wrapText="1"/>
    </xf>
    <xf numFmtId="0" fontId="60" fillId="7" borderId="0" xfId="0" applyFont="1" applyFill="1" applyBorder="1" applyAlignment="1">
      <alignment horizontal="center" vertical="center" wrapText="1"/>
    </xf>
    <xf numFmtId="0" fontId="13" fillId="0" borderId="15" xfId="0" applyFont="1" applyBorder="1"/>
    <xf numFmtId="0" fontId="20" fillId="7" borderId="0" xfId="0" applyFont="1" applyFill="1" applyAlignment="1">
      <alignment horizontal="center" vertical="center" wrapText="1"/>
    </xf>
    <xf numFmtId="49" fontId="20" fillId="7" borderId="0" xfId="0" applyNumberFormat="1" applyFont="1" applyFill="1" applyBorder="1" applyAlignment="1">
      <alignment horizontal="center" vertical="center" wrapText="1"/>
    </xf>
    <xf numFmtId="3" fontId="61" fillId="7" borderId="0" xfId="0" applyNumberFormat="1" applyFont="1" applyFill="1" applyBorder="1" applyAlignment="1">
      <alignment horizontal="center" vertical="center" wrapText="1"/>
    </xf>
    <xf numFmtId="181" fontId="20" fillId="7" borderId="0" xfId="0" applyNumberFormat="1" applyFont="1" applyFill="1" applyBorder="1" applyAlignment="1">
      <alignment horizontal="center" vertical="center" wrapText="1"/>
    </xf>
    <xf numFmtId="0" fontId="62" fillId="7" borderId="0" xfId="0" applyFont="1" applyFill="1" applyBorder="1" applyAlignment="1">
      <alignment horizontal="center" vertical="center" wrapText="1"/>
    </xf>
    <xf numFmtId="0" fontId="63" fillId="7" borderId="0" xfId="0" applyFont="1" applyFill="1" applyBorder="1" applyAlignment="1">
      <alignment horizontal="center" vertical="center" wrapText="1"/>
    </xf>
    <xf numFmtId="0" fontId="64" fillId="7" borderId="0" xfId="0" applyFont="1" applyFill="1" applyAlignment="1">
      <alignment horizontal="center" vertical="center" wrapText="1"/>
    </xf>
    <xf numFmtId="180" fontId="65" fillId="7" borderId="0" xfId="0" applyNumberFormat="1" applyFont="1" applyFill="1" applyAlignment="1">
      <alignment horizontal="center" vertical="center" wrapText="1"/>
    </xf>
    <xf numFmtId="0" fontId="66" fillId="7" borderId="0" xfId="0" applyFont="1" applyFill="1" applyAlignment="1">
      <alignment horizontal="center" vertical="center" wrapText="1"/>
    </xf>
    <xf numFmtId="0" fontId="67" fillId="7" borderId="0" xfId="0" applyFont="1" applyFill="1" applyAlignment="1">
      <alignment horizontal="center" vertical="center" wrapText="1"/>
    </xf>
    <xf numFmtId="0" fontId="68" fillId="7" borderId="0" xfId="0" applyFont="1" applyFill="1" applyAlignment="1">
      <alignment horizontal="center" vertical="center" wrapText="1"/>
    </xf>
    <xf numFmtId="4" fontId="69" fillId="7" borderId="0" xfId="0" applyNumberFormat="1" applyFont="1" applyFill="1" applyAlignment="1">
      <alignment horizontal="center" vertical="center" wrapText="1"/>
    </xf>
    <xf numFmtId="0" fontId="69" fillId="7" borderId="0" xfId="0" applyFont="1" applyFill="1" applyAlignment="1">
      <alignment horizontal="center" vertical="center" wrapText="1"/>
    </xf>
    <xf numFmtId="0" fontId="70" fillId="7" borderId="0" xfId="0" applyFont="1" applyFill="1" applyAlignment="1">
      <alignment horizontal="center" vertical="center" wrapText="1"/>
    </xf>
    <xf numFmtId="180" fontId="71" fillId="7" borderId="3" xfId="0" applyNumberFormat="1" applyFont="1" applyFill="1" applyBorder="1" applyAlignment="1">
      <alignment horizontal="center" vertical="center" wrapText="1"/>
    </xf>
    <xf numFmtId="180" fontId="71" fillId="0" borderId="0" xfId="0" applyNumberFormat="1" applyFont="1" applyAlignment="1">
      <alignment horizontal="center" vertical="center" wrapText="1"/>
    </xf>
    <xf numFmtId="0" fontId="72" fillId="0" borderId="2" xfId="0" applyFont="1" applyBorder="1" applyAlignment="1">
      <alignment horizontal="center" vertical="center" wrapText="1"/>
    </xf>
    <xf numFmtId="0" fontId="73" fillId="0" borderId="2" xfId="0" applyFont="1" applyBorder="1" applyAlignment="1">
      <alignment vertical="center"/>
    </xf>
    <xf numFmtId="0" fontId="72" fillId="0" borderId="3" xfId="0" applyFont="1" applyBorder="1" applyAlignment="1">
      <alignment horizontal="center" vertical="center" wrapText="1"/>
    </xf>
    <xf numFmtId="2" fontId="74" fillId="0" borderId="3" xfId="0" applyNumberFormat="1" applyFont="1" applyBorder="1" applyAlignment="1">
      <alignment horizontal="center" vertical="center" wrapText="1"/>
    </xf>
    <xf numFmtId="181" fontId="75" fillId="0" borderId="3" xfId="0" applyNumberFormat="1" applyFont="1" applyBorder="1" applyAlignment="1">
      <alignment horizontal="center" vertical="center" wrapText="1"/>
    </xf>
    <xf numFmtId="49" fontId="76" fillId="0" borderId="3" xfId="0" applyNumberFormat="1" applyFont="1" applyBorder="1" applyAlignment="1">
      <alignment horizontal="center" vertical="center" wrapText="1"/>
    </xf>
    <xf numFmtId="49" fontId="77" fillId="0" borderId="3" xfId="0" applyNumberFormat="1" applyFont="1" applyBorder="1" applyAlignment="1">
      <alignment horizontal="center" vertical="center" wrapText="1"/>
    </xf>
    <xf numFmtId="181" fontId="78" fillId="0" borderId="3" xfId="0" applyNumberFormat="1" applyFont="1" applyBorder="1" applyAlignment="1">
      <alignment horizontal="center" vertical="center" wrapText="1"/>
    </xf>
    <xf numFmtId="181" fontId="68" fillId="0" borderId="3" xfId="0" applyNumberFormat="1" applyFont="1" applyBorder="1" applyAlignment="1">
      <alignment horizontal="center" vertical="center" wrapText="1"/>
    </xf>
    <xf numFmtId="181" fontId="73" fillId="0" borderId="3" xfId="0" applyNumberFormat="1" applyFont="1" applyBorder="1" applyAlignment="1">
      <alignment vertical="center"/>
    </xf>
    <xf numFmtId="0" fontId="75" fillId="0" borderId="3" xfId="0" applyFont="1" applyBorder="1" applyAlignment="1">
      <alignment horizontal="center" vertical="center" wrapText="1"/>
    </xf>
    <xf numFmtId="3" fontId="73" fillId="0" borderId="3" xfId="0" applyNumberFormat="1" applyFont="1" applyBorder="1" applyAlignment="1">
      <alignment vertical="center"/>
    </xf>
    <xf numFmtId="0" fontId="77" fillId="0" borderId="3" xfId="0" applyFont="1" applyBorder="1" applyAlignment="1">
      <alignment horizontal="center" vertical="center" wrapText="1"/>
    </xf>
    <xf numFmtId="3" fontId="75" fillId="0" borderId="3" xfId="0" applyNumberFormat="1" applyFont="1" applyBorder="1" applyAlignment="1">
      <alignment horizontal="center" vertical="center" wrapText="1"/>
    </xf>
    <xf numFmtId="9" fontId="75" fillId="0" borderId="3" xfId="0" applyNumberFormat="1" applyFont="1" applyBorder="1" applyAlignment="1">
      <alignment horizontal="center" vertical="center" wrapText="1"/>
    </xf>
    <xf numFmtId="3" fontId="77" fillId="0" borderId="3" xfId="0" applyNumberFormat="1" applyFont="1" applyBorder="1" applyAlignment="1">
      <alignment horizontal="center" vertical="center" wrapText="1"/>
    </xf>
    <xf numFmtId="0" fontId="76" fillId="0" borderId="3" xfId="0" applyFont="1" applyBorder="1" applyAlignment="1">
      <alignment horizontal="center" vertical="center" wrapText="1"/>
    </xf>
    <xf numFmtId="0" fontId="75" fillId="0" borderId="3" xfId="0" applyFont="1" applyBorder="1" applyAlignment="1">
      <alignment horizontal="center" vertical="center"/>
    </xf>
    <xf numFmtId="185" fontId="75" fillId="0" borderId="3" xfId="0" applyNumberFormat="1" applyFont="1" applyBorder="1" applyAlignment="1">
      <alignment horizontal="center" vertical="center"/>
    </xf>
    <xf numFmtId="183" fontId="68" fillId="0" borderId="3" xfId="0" applyNumberFormat="1" applyFont="1" applyBorder="1" applyAlignment="1">
      <alignment horizontal="center" vertical="center"/>
    </xf>
    <xf numFmtId="180" fontId="79" fillId="7" borderId="0" xfId="0" applyNumberFormat="1" applyFont="1" applyFill="1" applyAlignment="1">
      <alignment horizontal="center" vertical="center" wrapText="1"/>
    </xf>
    <xf numFmtId="3" fontId="80" fillId="7" borderId="0" xfId="0" applyNumberFormat="1" applyFont="1" applyFill="1" applyAlignment="1">
      <alignment horizontal="center" vertical="center"/>
    </xf>
    <xf numFmtId="180" fontId="80" fillId="7" borderId="0" xfId="0" applyNumberFormat="1" applyFont="1" applyFill="1" applyAlignment="1">
      <alignment horizontal="center" vertical="center"/>
    </xf>
    <xf numFmtId="180" fontId="71" fillId="7" borderId="6" xfId="0" applyNumberFormat="1" applyFont="1" applyFill="1" applyBorder="1" applyAlignment="1">
      <alignment horizontal="center" vertical="center" wrapText="1"/>
    </xf>
    <xf numFmtId="0" fontId="72" fillId="8" borderId="2" xfId="0" applyFont="1" applyFill="1" applyBorder="1" applyAlignment="1">
      <alignment horizontal="center" vertical="center" wrapText="1"/>
    </xf>
    <xf numFmtId="0" fontId="72" fillId="3" borderId="8" xfId="0" applyFont="1" applyFill="1" applyBorder="1" applyAlignment="1">
      <alignment horizontal="center" vertical="center" wrapText="1"/>
    </xf>
    <xf numFmtId="2" fontId="74" fillId="3" borderId="8" xfId="0" applyNumberFormat="1" applyFont="1" applyFill="1" applyBorder="1" applyAlignment="1">
      <alignment horizontal="center" vertical="center" wrapText="1"/>
    </xf>
    <xf numFmtId="181" fontId="75" fillId="3" borderId="8" xfId="0" applyNumberFormat="1" applyFont="1" applyFill="1" applyBorder="1" applyAlignment="1">
      <alignment horizontal="center" vertical="center" wrapText="1"/>
    </xf>
    <xf numFmtId="49" fontId="76" fillId="3" borderId="8" xfId="0" applyNumberFormat="1" applyFont="1" applyFill="1" applyBorder="1" applyAlignment="1">
      <alignment horizontal="center" vertical="center" wrapText="1"/>
    </xf>
    <xf numFmtId="49" fontId="77" fillId="3" borderId="8" xfId="0" applyNumberFormat="1" applyFont="1" applyFill="1" applyBorder="1" applyAlignment="1">
      <alignment horizontal="center" vertical="center" wrapText="1"/>
    </xf>
    <xf numFmtId="181" fontId="78" fillId="3" borderId="8" xfId="0" applyNumberFormat="1" applyFont="1" applyFill="1" applyBorder="1" applyAlignment="1">
      <alignment horizontal="center" vertical="center" wrapText="1"/>
    </xf>
    <xf numFmtId="181" fontId="68" fillId="8" borderId="3" xfId="0" applyNumberFormat="1" applyFont="1" applyFill="1" applyBorder="1" applyAlignment="1">
      <alignment horizontal="center" vertical="center" wrapText="1"/>
    </xf>
    <xf numFmtId="181" fontId="73" fillId="3" borderId="8" xfId="0" applyNumberFormat="1" applyFont="1" applyFill="1" applyBorder="1" applyAlignment="1">
      <alignment vertical="center"/>
    </xf>
    <xf numFmtId="0" fontId="75" fillId="3" borderId="8" xfId="0" applyFont="1" applyFill="1" applyBorder="1" applyAlignment="1">
      <alignment horizontal="center" vertical="center" wrapText="1"/>
    </xf>
    <xf numFmtId="3" fontId="73" fillId="3" borderId="8" xfId="0" applyNumberFormat="1" applyFont="1" applyFill="1" applyBorder="1" applyAlignment="1">
      <alignment vertical="center"/>
    </xf>
    <xf numFmtId="0" fontId="77" fillId="3" borderId="8" xfId="0" applyFont="1" applyFill="1" applyBorder="1" applyAlignment="1">
      <alignment horizontal="center" vertical="center" wrapText="1"/>
    </xf>
    <xf numFmtId="3" fontId="75" fillId="3" borderId="8" xfId="0" applyNumberFormat="1" applyFont="1" applyFill="1" applyBorder="1" applyAlignment="1">
      <alignment horizontal="center" vertical="center" wrapText="1"/>
    </xf>
    <xf numFmtId="9" fontId="75" fillId="3" borderId="8" xfId="0" applyNumberFormat="1" applyFont="1" applyFill="1" applyBorder="1" applyAlignment="1">
      <alignment horizontal="center" vertical="center" wrapText="1"/>
    </xf>
    <xf numFmtId="3" fontId="77" fillId="3" borderId="8" xfId="0" applyNumberFormat="1" applyFont="1" applyFill="1" applyBorder="1" applyAlignment="1">
      <alignment horizontal="center" vertical="center" wrapText="1"/>
    </xf>
    <xf numFmtId="0" fontId="76" fillId="3" borderId="8" xfId="0" applyFont="1" applyFill="1" applyBorder="1" applyAlignment="1">
      <alignment horizontal="center" vertical="center" wrapText="1"/>
    </xf>
    <xf numFmtId="0" fontId="75" fillId="3" borderId="8" xfId="0" applyFont="1" applyFill="1" applyBorder="1" applyAlignment="1">
      <alignment horizontal="center" vertical="center"/>
    </xf>
    <xf numFmtId="185" fontId="75" fillId="3" borderId="8" xfId="0" applyNumberFormat="1" applyFont="1" applyFill="1" applyBorder="1" applyAlignment="1">
      <alignment horizontal="center" vertical="center"/>
    </xf>
    <xf numFmtId="183" fontId="68" fillId="3" borderId="8" xfId="0" applyNumberFormat="1" applyFont="1" applyFill="1" applyBorder="1" applyAlignment="1">
      <alignment horizontal="center" vertical="center"/>
    </xf>
    <xf numFmtId="0" fontId="72" fillId="0" borderId="8" xfId="0" applyFont="1" applyBorder="1" applyAlignment="1">
      <alignment horizontal="center" vertical="center" wrapText="1"/>
    </xf>
    <xf numFmtId="2" fontId="74" fillId="0" borderId="8" xfId="0" applyNumberFormat="1" applyFont="1" applyBorder="1" applyAlignment="1">
      <alignment horizontal="center" vertical="center" wrapText="1"/>
    </xf>
    <xf numFmtId="181" fontId="75" fillId="0" borderId="8" xfId="0" applyNumberFormat="1" applyFont="1" applyBorder="1" applyAlignment="1">
      <alignment horizontal="center" vertical="center" wrapText="1"/>
    </xf>
    <xf numFmtId="49" fontId="76" fillId="0" borderId="8" xfId="0" applyNumberFormat="1" applyFont="1" applyBorder="1" applyAlignment="1">
      <alignment horizontal="center" vertical="center" wrapText="1"/>
    </xf>
    <xf numFmtId="49" fontId="77" fillId="0" borderId="8" xfId="0" applyNumberFormat="1" applyFont="1" applyBorder="1" applyAlignment="1">
      <alignment horizontal="center" vertical="center" wrapText="1"/>
    </xf>
    <xf numFmtId="181" fontId="78" fillId="0" borderId="8" xfId="0" applyNumberFormat="1" applyFont="1" applyBorder="1" applyAlignment="1">
      <alignment horizontal="center" vertical="center" wrapText="1"/>
    </xf>
    <xf numFmtId="181" fontId="68" fillId="0" borderId="8" xfId="0" applyNumberFormat="1" applyFont="1" applyBorder="1" applyAlignment="1">
      <alignment horizontal="center" vertical="center" wrapText="1"/>
    </xf>
    <xf numFmtId="181" fontId="73" fillId="0" borderId="8" xfId="0" applyNumberFormat="1" applyFont="1" applyBorder="1" applyAlignment="1">
      <alignment vertical="center"/>
    </xf>
    <xf numFmtId="0" fontId="75" fillId="0" borderId="8" xfId="0" applyFont="1" applyBorder="1" applyAlignment="1">
      <alignment horizontal="center" vertical="center" wrapText="1"/>
    </xf>
    <xf numFmtId="3" fontId="77" fillId="0" borderId="8" xfId="0" applyNumberFormat="1" applyFont="1" applyBorder="1" applyAlignment="1">
      <alignment horizontal="center" vertical="center" wrapText="1"/>
    </xf>
    <xf numFmtId="0" fontId="77" fillId="0" borderId="8" xfId="0" applyFont="1" applyBorder="1" applyAlignment="1">
      <alignment horizontal="center" vertical="center" wrapText="1"/>
    </xf>
    <xf numFmtId="3" fontId="75" fillId="0" borderId="8" xfId="0" applyNumberFormat="1" applyFont="1" applyBorder="1" applyAlignment="1">
      <alignment horizontal="center" vertical="center" wrapText="1"/>
    </xf>
    <xf numFmtId="9" fontId="75" fillId="0" borderId="8" xfId="0" applyNumberFormat="1" applyFont="1" applyBorder="1" applyAlignment="1">
      <alignment horizontal="center" vertical="center" wrapText="1"/>
    </xf>
    <xf numFmtId="0" fontId="76" fillId="0" borderId="8" xfId="0" applyFont="1" applyBorder="1" applyAlignment="1">
      <alignment horizontal="center" vertical="center" wrapText="1"/>
    </xf>
    <xf numFmtId="0" fontId="75" fillId="0" borderId="8" xfId="0" applyFont="1" applyBorder="1" applyAlignment="1">
      <alignment horizontal="center" vertical="center"/>
    </xf>
    <xf numFmtId="185" fontId="75" fillId="0" borderId="8" xfId="0" applyNumberFormat="1" applyFont="1" applyBorder="1" applyAlignment="1">
      <alignment horizontal="center" vertical="center"/>
    </xf>
    <xf numFmtId="183" fontId="68" fillId="0" borderId="8" xfId="0" applyNumberFormat="1" applyFont="1" applyBorder="1" applyAlignment="1">
      <alignment horizontal="center" vertical="center"/>
    </xf>
    <xf numFmtId="3" fontId="73" fillId="0" borderId="8" xfId="0" applyNumberFormat="1" applyFont="1" applyBorder="1" applyAlignment="1">
      <alignment vertical="center"/>
    </xf>
    <xf numFmtId="3" fontId="73" fillId="3" borderId="3" xfId="0" applyNumberFormat="1" applyFont="1" applyFill="1" applyBorder="1" applyAlignment="1">
      <alignment vertical="center"/>
    </xf>
    <xf numFmtId="3" fontId="75" fillId="3" borderId="3" xfId="0" applyNumberFormat="1" applyFont="1" applyFill="1" applyBorder="1" applyAlignment="1">
      <alignment horizontal="center" vertical="center" wrapText="1"/>
    </xf>
    <xf numFmtId="9" fontId="75" fillId="3" borderId="3" xfId="0" applyNumberFormat="1" applyFont="1" applyFill="1" applyBorder="1" applyAlignment="1">
      <alignment horizontal="center" vertical="center" wrapText="1"/>
    </xf>
    <xf numFmtId="3" fontId="77" fillId="3" borderId="3" xfId="0" applyNumberFormat="1" applyFont="1" applyFill="1" applyBorder="1" applyAlignment="1">
      <alignment horizontal="center" vertical="center" wrapText="1"/>
    </xf>
    <xf numFmtId="0" fontId="76" fillId="3" borderId="3" xfId="0" applyFont="1" applyFill="1" applyBorder="1" applyAlignment="1">
      <alignment horizontal="center" vertical="center" wrapText="1"/>
    </xf>
    <xf numFmtId="0" fontId="75" fillId="3" borderId="3" xfId="0" applyFont="1" applyFill="1" applyBorder="1" applyAlignment="1">
      <alignment horizontal="center" vertical="center" wrapText="1"/>
    </xf>
    <xf numFmtId="181" fontId="70" fillId="7" borderId="0" xfId="0" applyNumberFormat="1" applyFont="1" applyFill="1" applyAlignment="1">
      <alignment horizontal="center" vertical="center" wrapText="1"/>
    </xf>
    <xf numFmtId="0" fontId="33" fillId="7" borderId="0" xfId="0" applyFont="1" applyFill="1"/>
    <xf numFmtId="0" fontId="70" fillId="7" borderId="0" xfId="0" applyFont="1" applyFill="1" applyAlignment="1">
      <alignment horizontal="center" vertical="center" textRotation="45" wrapText="1"/>
    </xf>
    <xf numFmtId="20" fontId="71" fillId="7" borderId="6" xfId="0" applyNumberFormat="1" applyFont="1" applyFill="1" applyBorder="1" applyAlignment="1">
      <alignment horizontal="center" vertical="center" wrapText="1"/>
    </xf>
    <xf numFmtId="180" fontId="73" fillId="7" borderId="14" xfId="0" applyNumberFormat="1" applyFont="1" applyFill="1" applyBorder="1" applyAlignment="1">
      <alignment vertical="center"/>
    </xf>
    <xf numFmtId="0" fontId="73" fillId="0" borderId="0" xfId="0" applyFont="1" applyAlignment="1">
      <alignment vertical="center"/>
    </xf>
    <xf numFmtId="0" fontId="73" fillId="0" borderId="14" xfId="0" applyFont="1" applyBorder="1" applyAlignment="1">
      <alignment vertical="center"/>
    </xf>
    <xf numFmtId="2" fontId="73" fillId="0" borderId="14" xfId="0" applyNumberFormat="1" applyFont="1" applyBorder="1" applyAlignment="1">
      <alignment vertical="center"/>
    </xf>
    <xf numFmtId="181" fontId="73" fillId="0" borderId="14" xfId="0" applyNumberFormat="1" applyFont="1" applyBorder="1" applyAlignment="1">
      <alignment vertical="center"/>
    </xf>
    <xf numFmtId="49" fontId="73" fillId="0" borderId="14" xfId="0" applyNumberFormat="1" applyFont="1" applyBorder="1" applyAlignment="1">
      <alignment vertical="center"/>
    </xf>
    <xf numFmtId="9" fontId="73" fillId="0" borderId="14" xfId="0" applyNumberFormat="1" applyFont="1" applyBorder="1" applyAlignment="1">
      <alignment vertical="center"/>
    </xf>
    <xf numFmtId="3" fontId="73" fillId="0" borderId="14" xfId="0" applyNumberFormat="1" applyFont="1" applyBorder="1" applyAlignment="1">
      <alignment vertical="center"/>
    </xf>
    <xf numFmtId="183" fontId="73" fillId="0" borderId="14" xfId="0" applyNumberFormat="1" applyFont="1" applyBorder="1" applyAlignment="1">
      <alignment vertical="center"/>
    </xf>
    <xf numFmtId="3" fontId="73" fillId="7" borderId="0" xfId="0" applyNumberFormat="1" applyFont="1" applyFill="1" applyAlignment="1">
      <alignment vertical="center"/>
    </xf>
    <xf numFmtId="181" fontId="68" fillId="3" borderId="8" xfId="0" applyNumberFormat="1" applyFont="1" applyFill="1" applyBorder="1" applyAlignment="1">
      <alignment horizontal="center" vertical="center" wrapText="1"/>
    </xf>
    <xf numFmtId="183" fontId="68" fillId="3" borderId="3" xfId="0" applyNumberFormat="1" applyFont="1" applyFill="1" applyBorder="1" applyAlignment="1">
      <alignment horizontal="center" vertical="center"/>
    </xf>
    <xf numFmtId="181" fontId="68" fillId="8" borderId="8" xfId="0" applyNumberFormat="1" applyFont="1" applyFill="1" applyBorder="1" applyAlignment="1">
      <alignment horizontal="center" vertical="center" wrapText="1"/>
    </xf>
    <xf numFmtId="185" fontId="73" fillId="0" borderId="8" xfId="0" applyNumberFormat="1" applyFont="1" applyBorder="1" applyAlignment="1">
      <alignment vertical="center"/>
    </xf>
    <xf numFmtId="180" fontId="73" fillId="7" borderId="12" xfId="0" applyNumberFormat="1" applyFont="1" applyFill="1" applyBorder="1" applyAlignment="1">
      <alignment vertical="center"/>
    </xf>
    <xf numFmtId="0" fontId="75" fillId="7" borderId="0" xfId="0" applyFont="1" applyFill="1" applyAlignment="1">
      <alignment horizontal="center" vertical="center" wrapText="1"/>
    </xf>
    <xf numFmtId="0" fontId="73" fillId="0" borderId="1" xfId="0" applyFont="1" applyBorder="1" applyAlignment="1">
      <alignment vertical="center"/>
    </xf>
    <xf numFmtId="0" fontId="73" fillId="7" borderId="0" xfId="0" applyFont="1" applyFill="1" applyAlignment="1">
      <alignment vertical="center"/>
    </xf>
    <xf numFmtId="180" fontId="73" fillId="7" borderId="0" xfId="0" applyNumberFormat="1" applyFont="1" applyFill="1" applyAlignment="1">
      <alignment vertical="center"/>
    </xf>
    <xf numFmtId="0" fontId="72" fillId="4" borderId="9" xfId="0" applyFont="1" applyFill="1" applyBorder="1" applyAlignment="1">
      <alignment horizontal="center" vertical="center" wrapText="1"/>
    </xf>
    <xf numFmtId="0" fontId="73" fillId="4" borderId="5" xfId="0" applyFont="1" applyFill="1" applyBorder="1" applyAlignment="1">
      <alignment vertical="center"/>
    </xf>
    <xf numFmtId="0" fontId="72" fillId="4" borderId="10" xfId="0" applyFont="1" applyFill="1" applyBorder="1" applyAlignment="1">
      <alignment horizontal="center" vertical="center" wrapText="1"/>
    </xf>
    <xf numFmtId="2" fontId="74" fillId="4" borderId="10" xfId="0" applyNumberFormat="1" applyFont="1" applyFill="1" applyBorder="1" applyAlignment="1">
      <alignment horizontal="center" vertical="center" wrapText="1"/>
    </xf>
    <xf numFmtId="181" fontId="75" fillId="4" borderId="10" xfId="0" applyNumberFormat="1" applyFont="1" applyFill="1" applyBorder="1" applyAlignment="1">
      <alignment horizontal="center" vertical="center" wrapText="1"/>
    </xf>
    <xf numFmtId="49" fontId="76" fillId="4" borderId="10" xfId="0" applyNumberFormat="1" applyFont="1" applyFill="1" applyBorder="1" applyAlignment="1">
      <alignment horizontal="center" vertical="center" wrapText="1"/>
    </xf>
    <xf numFmtId="49" fontId="77" fillId="4" borderId="10" xfId="0" applyNumberFormat="1" applyFont="1" applyFill="1" applyBorder="1" applyAlignment="1">
      <alignment horizontal="center" vertical="center" wrapText="1"/>
    </xf>
    <xf numFmtId="181" fontId="78" fillId="4" borderId="10" xfId="0" applyNumberFormat="1" applyFont="1" applyFill="1" applyBorder="1" applyAlignment="1">
      <alignment horizontal="center" vertical="center" wrapText="1"/>
    </xf>
    <xf numFmtId="0" fontId="75" fillId="4" borderId="10" xfId="0" applyFont="1" applyFill="1" applyBorder="1" applyAlignment="1">
      <alignment horizontal="center" vertical="center" wrapText="1"/>
    </xf>
    <xf numFmtId="0" fontId="73" fillId="4" borderId="10" xfId="0" applyFont="1" applyFill="1" applyBorder="1" applyAlignment="1">
      <alignment vertical="center"/>
    </xf>
    <xf numFmtId="9" fontId="75" fillId="4" borderId="10" xfId="0" applyNumberFormat="1" applyFont="1" applyFill="1" applyBorder="1" applyAlignment="1">
      <alignment horizontal="center" vertical="center" wrapText="1"/>
    </xf>
    <xf numFmtId="3" fontId="73" fillId="4" borderId="10" xfId="0" applyNumberFormat="1" applyFont="1" applyFill="1" applyBorder="1" applyAlignment="1">
      <alignment vertical="center"/>
    </xf>
    <xf numFmtId="0" fontId="77" fillId="4" borderId="10" xfId="0" applyFont="1" applyFill="1" applyBorder="1" applyAlignment="1">
      <alignment horizontal="center" vertical="center" wrapText="1"/>
    </xf>
    <xf numFmtId="3" fontId="75" fillId="4" borderId="10" xfId="0" applyNumberFormat="1" applyFont="1" applyFill="1" applyBorder="1" applyAlignment="1">
      <alignment horizontal="center" vertical="center" wrapText="1"/>
    </xf>
    <xf numFmtId="180" fontId="75" fillId="4" borderId="10" xfId="0" applyNumberFormat="1" applyFont="1" applyFill="1" applyBorder="1" applyAlignment="1">
      <alignment horizontal="center" vertical="center" wrapText="1"/>
    </xf>
    <xf numFmtId="3" fontId="77" fillId="4" borderId="10" xfId="0" applyNumberFormat="1" applyFont="1" applyFill="1" applyBorder="1" applyAlignment="1">
      <alignment horizontal="center" vertical="center" wrapText="1"/>
    </xf>
    <xf numFmtId="0" fontId="76" fillId="4" borderId="10" xfId="0" applyFont="1" applyFill="1" applyBorder="1" applyAlignment="1">
      <alignment horizontal="center" vertical="center" wrapText="1"/>
    </xf>
    <xf numFmtId="0" fontId="75" fillId="4" borderId="10" xfId="0" applyFont="1" applyFill="1" applyBorder="1" applyAlignment="1">
      <alignment horizontal="center" vertical="center"/>
    </xf>
    <xf numFmtId="185" fontId="75" fillId="4" borderId="10" xfId="0" applyNumberFormat="1" applyFont="1" applyFill="1" applyBorder="1" applyAlignment="1">
      <alignment horizontal="center" vertical="center"/>
    </xf>
    <xf numFmtId="183" fontId="68" fillId="4" borderId="10" xfId="0" applyNumberFormat="1" applyFont="1" applyFill="1" applyBorder="1" applyAlignment="1">
      <alignment horizontal="center" vertical="center"/>
    </xf>
    <xf numFmtId="180" fontId="73" fillId="0" borderId="14" xfId="0" applyNumberFormat="1" applyFont="1" applyBorder="1" applyAlignment="1">
      <alignment vertical="center"/>
    </xf>
    <xf numFmtId="181" fontId="72" fillId="4" borderId="7" xfId="0" applyNumberFormat="1" applyFont="1" applyFill="1" applyBorder="1" applyAlignment="1">
      <alignment horizontal="center" vertical="center" wrapText="1"/>
    </xf>
    <xf numFmtId="0" fontId="73" fillId="4" borderId="14" xfId="0" applyFont="1" applyFill="1" applyBorder="1" applyAlignment="1">
      <alignment vertical="center"/>
    </xf>
    <xf numFmtId="0" fontId="72" fillId="4" borderId="8" xfId="0" applyFont="1" applyFill="1" applyBorder="1" applyAlignment="1">
      <alignment horizontal="center" vertical="center" wrapText="1"/>
    </xf>
    <xf numFmtId="2" fontId="74" fillId="4" borderId="8" xfId="0" applyNumberFormat="1" applyFont="1" applyFill="1" applyBorder="1" applyAlignment="1">
      <alignment horizontal="center" vertical="center" wrapText="1"/>
    </xf>
    <xf numFmtId="181" fontId="75" fillId="4" borderId="8" xfId="0" applyNumberFormat="1" applyFont="1" applyFill="1" applyBorder="1" applyAlignment="1">
      <alignment horizontal="center" vertical="center" wrapText="1"/>
    </xf>
    <xf numFmtId="49" fontId="76" fillId="4" borderId="8" xfId="0" applyNumberFormat="1" applyFont="1" applyFill="1" applyBorder="1" applyAlignment="1">
      <alignment horizontal="center" vertical="center" wrapText="1"/>
    </xf>
    <xf numFmtId="49" fontId="77" fillId="4" borderId="8" xfId="0" applyNumberFormat="1" applyFont="1" applyFill="1" applyBorder="1" applyAlignment="1">
      <alignment horizontal="center" vertical="center" wrapText="1"/>
    </xf>
    <xf numFmtId="181" fontId="78" fillId="4" borderId="8" xfId="0" applyNumberFormat="1" applyFont="1" applyFill="1" applyBorder="1" applyAlignment="1">
      <alignment horizontal="center" vertical="center" wrapText="1"/>
    </xf>
    <xf numFmtId="9" fontId="73" fillId="4" borderId="8" xfId="0" applyNumberFormat="1" applyFont="1" applyFill="1" applyBorder="1" applyAlignment="1">
      <alignment vertical="center"/>
    </xf>
    <xf numFmtId="9" fontId="75" fillId="4" borderId="8" xfId="0" applyNumberFormat="1" applyFont="1" applyFill="1" applyBorder="1" applyAlignment="1">
      <alignment horizontal="center" vertical="center" wrapText="1"/>
    </xf>
    <xf numFmtId="3" fontId="73" fillId="4" borderId="8" xfId="0" applyNumberFormat="1" applyFont="1" applyFill="1" applyBorder="1" applyAlignment="1">
      <alignment vertical="center"/>
    </xf>
    <xf numFmtId="0" fontId="77" fillId="4" borderId="8" xfId="0" applyFont="1" applyFill="1" applyBorder="1" applyAlignment="1">
      <alignment horizontal="center" vertical="center" wrapText="1"/>
    </xf>
    <xf numFmtId="3" fontId="75" fillId="4" borderId="8" xfId="0" applyNumberFormat="1" applyFont="1" applyFill="1" applyBorder="1" applyAlignment="1">
      <alignment horizontal="center" vertical="center" wrapText="1"/>
    </xf>
    <xf numFmtId="0" fontId="75" fillId="4" borderId="8" xfId="0" applyFont="1" applyFill="1" applyBorder="1" applyAlignment="1">
      <alignment horizontal="center" vertical="center" wrapText="1"/>
    </xf>
    <xf numFmtId="3" fontId="77" fillId="4" borderId="8" xfId="0" applyNumberFormat="1" applyFont="1" applyFill="1" applyBorder="1" applyAlignment="1">
      <alignment horizontal="center" vertical="center" wrapText="1"/>
    </xf>
    <xf numFmtId="0" fontId="76" fillId="4" borderId="8" xfId="0" applyFont="1" applyFill="1" applyBorder="1" applyAlignment="1">
      <alignment horizontal="center" vertical="center" wrapText="1"/>
    </xf>
    <xf numFmtId="183" fontId="75" fillId="4" borderId="8" xfId="0" applyNumberFormat="1" applyFont="1" applyFill="1" applyBorder="1" applyAlignment="1">
      <alignment horizontal="center" vertical="center"/>
    </xf>
    <xf numFmtId="183" fontId="68" fillId="4" borderId="8" xfId="0" applyNumberFormat="1" applyFont="1" applyFill="1" applyBorder="1" applyAlignment="1">
      <alignment horizontal="center" vertical="center"/>
    </xf>
    <xf numFmtId="181" fontId="72" fillId="4" borderId="11" xfId="0" applyNumberFormat="1" applyFont="1" applyFill="1" applyBorder="1" applyAlignment="1">
      <alignment horizontal="center" vertical="center" wrapText="1"/>
    </xf>
    <xf numFmtId="0" fontId="73" fillId="4" borderId="12" xfId="0" applyFont="1" applyFill="1" applyBorder="1" applyAlignment="1">
      <alignment vertical="center"/>
    </xf>
    <xf numFmtId="0" fontId="72" fillId="4" borderId="13" xfId="0" applyFont="1" applyFill="1" applyBorder="1" applyAlignment="1">
      <alignment horizontal="center" vertical="center" wrapText="1"/>
    </xf>
    <xf numFmtId="181" fontId="73" fillId="4" borderId="8" xfId="0" applyNumberFormat="1" applyFont="1" applyFill="1" applyBorder="1" applyAlignment="1">
      <alignment vertical="center"/>
    </xf>
    <xf numFmtId="180" fontId="75" fillId="4" borderId="8" xfId="0" applyNumberFormat="1" applyFont="1" applyFill="1" applyBorder="1" applyAlignment="1">
      <alignment horizontal="center" vertical="center" wrapText="1"/>
    </xf>
    <xf numFmtId="185" fontId="75" fillId="4" borderId="8" xfId="0" applyNumberFormat="1" applyFont="1" applyFill="1" applyBorder="1" applyAlignment="1">
      <alignment horizontal="center" vertical="center"/>
    </xf>
    <xf numFmtId="0" fontId="75" fillId="4" borderId="8" xfId="0" applyFont="1" applyFill="1" applyBorder="1" applyAlignment="1">
      <alignment horizontal="center" vertical="center"/>
    </xf>
    <xf numFmtId="181" fontId="72" fillId="4" borderId="1" xfId="0" applyNumberFormat="1" applyFont="1" applyFill="1" applyBorder="1" applyAlignment="1">
      <alignment horizontal="center" vertical="center" wrapText="1"/>
    </xf>
    <xf numFmtId="0" fontId="73" fillId="4" borderId="0" xfId="0" applyFont="1" applyFill="1" applyAlignment="1">
      <alignment vertical="center"/>
    </xf>
    <xf numFmtId="0" fontId="72" fillId="4" borderId="2" xfId="0" applyFont="1" applyFill="1" applyBorder="1" applyAlignment="1">
      <alignment horizontal="center" vertical="center" wrapText="1"/>
    </xf>
    <xf numFmtId="181" fontId="72" fillId="4" borderId="9" xfId="0" applyNumberFormat="1" applyFont="1" applyFill="1" applyBorder="1" applyAlignment="1">
      <alignment horizontal="center" vertical="center" wrapText="1"/>
    </xf>
    <xf numFmtId="180" fontId="73" fillId="0" borderId="0" xfId="0" applyNumberFormat="1" applyFont="1" applyAlignment="1">
      <alignment vertical="center"/>
    </xf>
    <xf numFmtId="2" fontId="73" fillId="0" borderId="0" xfId="0" applyNumberFormat="1" applyFont="1" applyAlignment="1">
      <alignment vertical="center"/>
    </xf>
    <xf numFmtId="181" fontId="73" fillId="0" borderId="0" xfId="0" applyNumberFormat="1" applyFont="1" applyAlignment="1">
      <alignment vertical="center"/>
    </xf>
    <xf numFmtId="49" fontId="73" fillId="0" borderId="0" xfId="0" applyNumberFormat="1" applyFont="1" applyAlignment="1">
      <alignment vertical="center"/>
    </xf>
    <xf numFmtId="9" fontId="73" fillId="0" borderId="0" xfId="0" applyNumberFormat="1" applyFont="1" applyAlignment="1">
      <alignment vertical="center"/>
    </xf>
    <xf numFmtId="3" fontId="73" fillId="0" borderId="0" xfId="0" applyNumberFormat="1" applyFont="1" applyAlignment="1">
      <alignment vertical="center"/>
    </xf>
    <xf numFmtId="183" fontId="73" fillId="0" borderId="0" xfId="0" applyNumberFormat="1" applyFont="1" applyAlignment="1">
      <alignment vertical="center"/>
    </xf>
    <xf numFmtId="2" fontId="74" fillId="4" borderId="3" xfId="0" applyNumberFormat="1" applyFont="1" applyFill="1" applyBorder="1" applyAlignment="1">
      <alignment horizontal="center" vertical="center" wrapText="1"/>
    </xf>
    <xf numFmtId="181" fontId="75" fillId="4" borderId="3" xfId="0" applyNumberFormat="1" applyFont="1" applyFill="1" applyBorder="1" applyAlignment="1">
      <alignment horizontal="center" vertical="center" wrapText="1"/>
    </xf>
    <xf numFmtId="49" fontId="76" fillId="4" borderId="3" xfId="0" applyNumberFormat="1" applyFont="1" applyFill="1" applyBorder="1" applyAlignment="1">
      <alignment horizontal="center" vertical="center" wrapText="1"/>
    </xf>
    <xf numFmtId="49" fontId="77" fillId="4" borderId="3" xfId="0" applyNumberFormat="1" applyFont="1" applyFill="1" applyBorder="1" applyAlignment="1">
      <alignment horizontal="center" vertical="center" wrapText="1"/>
    </xf>
    <xf numFmtId="181" fontId="78" fillId="4" borderId="3" xfId="0" applyNumberFormat="1" applyFont="1" applyFill="1" applyBorder="1" applyAlignment="1">
      <alignment horizontal="center" vertical="center" wrapText="1"/>
    </xf>
    <xf numFmtId="9" fontId="75" fillId="4" borderId="3" xfId="0" applyNumberFormat="1" applyFont="1" applyFill="1" applyBorder="1" applyAlignment="1">
      <alignment horizontal="center" vertical="center" wrapText="1"/>
    </xf>
    <xf numFmtId="9" fontId="73" fillId="4" borderId="3" xfId="0" applyNumberFormat="1" applyFont="1" applyFill="1" applyBorder="1" applyAlignment="1">
      <alignment vertical="center"/>
    </xf>
    <xf numFmtId="3" fontId="77" fillId="4" borderId="3" xfId="0" applyNumberFormat="1" applyFont="1" applyFill="1" applyBorder="1" applyAlignment="1">
      <alignment horizontal="center" vertical="center" wrapText="1"/>
    </xf>
    <xf numFmtId="0" fontId="77" fillId="4" borderId="3" xfId="0" applyFont="1" applyFill="1" applyBorder="1" applyAlignment="1">
      <alignment horizontal="center" vertical="center" wrapText="1"/>
    </xf>
    <xf numFmtId="3" fontId="75" fillId="4" borderId="3" xfId="0" applyNumberFormat="1" applyFont="1" applyFill="1" applyBorder="1" applyAlignment="1">
      <alignment horizontal="center" vertical="center" wrapText="1"/>
    </xf>
    <xf numFmtId="0" fontId="75" fillId="4" borderId="3" xfId="0" applyFont="1" applyFill="1" applyBorder="1" applyAlignment="1">
      <alignment horizontal="center" vertical="center" wrapText="1"/>
    </xf>
    <xf numFmtId="0" fontId="76" fillId="4" borderId="3" xfId="0" applyFont="1" applyFill="1" applyBorder="1" applyAlignment="1">
      <alignment horizontal="center" vertical="center" wrapText="1"/>
    </xf>
    <xf numFmtId="183" fontId="75" fillId="4" borderId="3" xfId="0" applyNumberFormat="1" applyFont="1" applyFill="1" applyBorder="1" applyAlignment="1">
      <alignment horizontal="center" vertical="center"/>
    </xf>
    <xf numFmtId="185" fontId="75" fillId="4" borderId="3" xfId="0" applyNumberFormat="1" applyFont="1" applyFill="1" applyBorder="1" applyAlignment="1">
      <alignment horizontal="center" vertical="center"/>
    </xf>
    <xf numFmtId="183" fontId="68" fillId="4" borderId="3" xfId="0" applyNumberFormat="1" applyFont="1" applyFill="1" applyBorder="1" applyAlignment="1">
      <alignment horizontal="center" vertical="center"/>
    </xf>
    <xf numFmtId="9" fontId="73" fillId="4" borderId="10" xfId="0" applyNumberFormat="1" applyFont="1" applyFill="1" applyBorder="1" applyAlignment="1">
      <alignment vertical="center"/>
    </xf>
    <xf numFmtId="183" fontId="75" fillId="4" borderId="10" xfId="0" applyNumberFormat="1" applyFont="1" applyFill="1" applyBorder="1" applyAlignment="1">
      <alignment horizontal="center" vertical="center"/>
    </xf>
    <xf numFmtId="0" fontId="71" fillId="7" borderId="0" xfId="0" applyFont="1" applyFill="1" applyAlignment="1">
      <alignment horizontal="center" vertical="center" wrapText="1"/>
    </xf>
    <xf numFmtId="180" fontId="81" fillId="7" borderId="0" xfId="0" applyNumberFormat="1" applyFont="1" applyFill="1" applyAlignment="1">
      <alignment horizontal="center" vertical="center" wrapText="1"/>
    </xf>
    <xf numFmtId="180" fontId="71" fillId="7" borderId="0" xfId="0" applyNumberFormat="1" applyFont="1" applyFill="1" applyAlignment="1">
      <alignment horizontal="center" vertical="center" wrapText="1"/>
    </xf>
    <xf numFmtId="0" fontId="75" fillId="7" borderId="14" xfId="0" applyFont="1" applyFill="1" applyBorder="1" applyAlignment="1">
      <alignment horizontal="center" vertical="center" wrapText="1"/>
    </xf>
    <xf numFmtId="0" fontId="13" fillId="0" borderId="14" xfId="0" applyFont="1" applyBorder="1"/>
    <xf numFmtId="3" fontId="82" fillId="7" borderId="0" xfId="0" applyNumberFormat="1" applyFont="1" applyFill="1" applyAlignment="1">
      <alignment horizontal="center" vertical="center"/>
    </xf>
    <xf numFmtId="180" fontId="82" fillId="7" borderId="0" xfId="0" applyNumberFormat="1" applyFont="1" applyFill="1" applyAlignment="1">
      <alignment horizontal="center" vertical="center"/>
    </xf>
    <xf numFmtId="180" fontId="75" fillId="0" borderId="3" xfId="0" applyNumberFormat="1" applyFont="1" applyBorder="1" applyAlignment="1">
      <alignment horizontal="center" vertical="center" wrapText="1"/>
    </xf>
    <xf numFmtId="0" fontId="72" fillId="3" borderId="3" xfId="0" applyFont="1" applyFill="1" applyBorder="1" applyAlignment="1">
      <alignment horizontal="center" vertical="center" wrapText="1"/>
    </xf>
    <xf numFmtId="2" fontId="74" fillId="3" borderId="3" xfId="0" applyNumberFormat="1" applyFont="1" applyFill="1" applyBorder="1" applyAlignment="1">
      <alignment horizontal="center" vertical="center" wrapText="1"/>
    </xf>
    <xf numFmtId="181" fontId="75" fillId="3" borderId="3" xfId="0" applyNumberFormat="1" applyFont="1" applyFill="1" applyBorder="1" applyAlignment="1">
      <alignment horizontal="center" vertical="center" wrapText="1"/>
    </xf>
    <xf numFmtId="49" fontId="76" fillId="3" borderId="3" xfId="0" applyNumberFormat="1" applyFont="1" applyFill="1" applyBorder="1" applyAlignment="1">
      <alignment horizontal="center" vertical="center" wrapText="1"/>
    </xf>
    <xf numFmtId="49" fontId="77" fillId="3" borderId="3" xfId="0" applyNumberFormat="1" applyFont="1" applyFill="1" applyBorder="1" applyAlignment="1">
      <alignment horizontal="center" vertical="center" wrapText="1"/>
    </xf>
    <xf numFmtId="181" fontId="78" fillId="3" borderId="3" xfId="0" applyNumberFormat="1" applyFont="1" applyFill="1" applyBorder="1" applyAlignment="1">
      <alignment horizontal="center" vertical="center" wrapText="1"/>
    </xf>
    <xf numFmtId="181" fontId="68" fillId="3" borderId="3" xfId="0" applyNumberFormat="1" applyFont="1" applyFill="1" applyBorder="1" applyAlignment="1">
      <alignment horizontal="center" vertical="center" wrapText="1"/>
    </xf>
    <xf numFmtId="181" fontId="73" fillId="3" borderId="3" xfId="0" applyNumberFormat="1" applyFont="1" applyFill="1" applyBorder="1" applyAlignment="1">
      <alignment vertical="center"/>
    </xf>
    <xf numFmtId="0" fontId="77" fillId="3" borderId="3" xfId="0" applyFont="1" applyFill="1" applyBorder="1" applyAlignment="1">
      <alignment horizontal="center" vertical="center" wrapText="1"/>
    </xf>
    <xf numFmtId="0" fontId="75" fillId="3" borderId="3" xfId="0" applyFont="1" applyFill="1" applyBorder="1" applyAlignment="1">
      <alignment horizontal="center" vertical="center"/>
    </xf>
    <xf numFmtId="185" fontId="75" fillId="3" borderId="3" xfId="0" applyNumberFormat="1" applyFont="1" applyFill="1" applyBorder="1" applyAlignment="1">
      <alignment horizontal="center" vertical="center"/>
    </xf>
    <xf numFmtId="180" fontId="75" fillId="3" borderId="3" xfId="0" applyNumberFormat="1" applyFont="1" applyFill="1" applyBorder="1" applyAlignment="1">
      <alignment horizontal="center" vertical="center" wrapText="1"/>
    </xf>
    <xf numFmtId="183" fontId="75" fillId="3" borderId="3" xfId="0" applyNumberFormat="1" applyFont="1" applyFill="1" applyBorder="1" applyAlignment="1">
      <alignment horizontal="center" vertical="center"/>
    </xf>
    <xf numFmtId="180" fontId="73" fillId="7" borderId="8" xfId="0" applyNumberFormat="1" applyFont="1" applyFill="1" applyBorder="1" applyAlignment="1">
      <alignment vertical="center"/>
    </xf>
    <xf numFmtId="183" fontId="75" fillId="3" borderId="8" xfId="0" applyNumberFormat="1" applyFont="1" applyFill="1" applyBorder="1" applyAlignment="1">
      <alignment horizontal="center" vertical="center"/>
    </xf>
    <xf numFmtId="180" fontId="75" fillId="0" borderId="8" xfId="0" applyNumberFormat="1" applyFont="1" applyBorder="1" applyAlignment="1">
      <alignment horizontal="center" vertical="center" wrapText="1"/>
    </xf>
    <xf numFmtId="180" fontId="75" fillId="3" borderId="8" xfId="0" applyNumberFormat="1" applyFont="1" applyFill="1" applyBorder="1" applyAlignment="1">
      <alignment horizontal="center" vertical="center" wrapText="1"/>
    </xf>
    <xf numFmtId="180" fontId="73" fillId="7" borderId="14" xfId="0" applyNumberFormat="1" applyFont="1" applyFill="1" applyBorder="1" applyAlignment="1">
      <alignment horizontal="center" vertical="center"/>
    </xf>
    <xf numFmtId="185" fontId="73" fillId="0" borderId="14" xfId="0" applyNumberFormat="1" applyFont="1" applyBorder="1" applyAlignment="1">
      <alignment vertical="center"/>
    </xf>
    <xf numFmtId="181" fontId="73" fillId="0" borderId="2" xfId="0" applyNumberFormat="1" applyFont="1" applyBorder="1" applyAlignment="1">
      <alignment vertical="center"/>
    </xf>
    <xf numFmtId="180" fontId="73" fillId="7" borderId="0" xfId="0" applyNumberFormat="1" applyFont="1" applyFill="1" applyAlignment="1">
      <alignment horizontal="center" vertical="center"/>
    </xf>
    <xf numFmtId="180" fontId="73" fillId="0" borderId="2" xfId="0" applyNumberFormat="1" applyFont="1" applyBorder="1" applyAlignment="1">
      <alignment vertical="center"/>
    </xf>
    <xf numFmtId="0" fontId="73" fillId="3" borderId="14" xfId="0" applyFont="1" applyFill="1" applyBorder="1" applyAlignment="1">
      <alignment vertical="center"/>
    </xf>
    <xf numFmtId="2" fontId="73" fillId="3" borderId="14" xfId="0" applyNumberFormat="1" applyFont="1" applyFill="1" applyBorder="1" applyAlignment="1">
      <alignment vertical="center"/>
    </xf>
    <xf numFmtId="181" fontId="73" fillId="3" borderId="14" xfId="0" applyNumberFormat="1" applyFont="1" applyFill="1" applyBorder="1" applyAlignment="1">
      <alignment vertical="center"/>
    </xf>
    <xf numFmtId="49" fontId="73" fillId="3" borderId="14" xfId="0" applyNumberFormat="1" applyFont="1" applyFill="1" applyBorder="1" applyAlignment="1">
      <alignment vertical="center"/>
    </xf>
    <xf numFmtId="3" fontId="73" fillId="3" borderId="14" xfId="0" applyNumberFormat="1" applyFont="1" applyFill="1" applyBorder="1" applyAlignment="1">
      <alignment vertical="center"/>
    </xf>
    <xf numFmtId="9" fontId="73" fillId="3" borderId="14" xfId="0" applyNumberFormat="1" applyFont="1" applyFill="1" applyBorder="1" applyAlignment="1">
      <alignment vertical="center"/>
    </xf>
    <xf numFmtId="185" fontId="73" fillId="3" borderId="14" xfId="0" applyNumberFormat="1" applyFont="1" applyFill="1" applyBorder="1" applyAlignment="1">
      <alignment vertical="center"/>
    </xf>
    <xf numFmtId="183" fontId="73" fillId="3" borderId="14" xfId="0" applyNumberFormat="1" applyFont="1" applyFill="1" applyBorder="1" applyAlignment="1">
      <alignment vertical="center"/>
    </xf>
    <xf numFmtId="185" fontId="73" fillId="3" borderId="8" xfId="0" applyNumberFormat="1" applyFont="1" applyFill="1" applyBorder="1" applyAlignment="1">
      <alignment vertical="center"/>
    </xf>
    <xf numFmtId="20" fontId="71" fillId="7" borderId="3" xfId="0" applyNumberFormat="1" applyFont="1" applyFill="1" applyBorder="1" applyAlignment="1">
      <alignment horizontal="center" vertical="center" wrapText="1"/>
    </xf>
    <xf numFmtId="20" fontId="73" fillId="7" borderId="14" xfId="0" applyNumberFormat="1" applyFont="1" applyFill="1" applyBorder="1" applyAlignment="1">
      <alignment vertical="center"/>
    </xf>
    <xf numFmtId="3" fontId="73" fillId="4" borderId="3" xfId="0" applyNumberFormat="1" applyFont="1" applyFill="1" applyBorder="1" applyAlignment="1">
      <alignment vertical="center"/>
    </xf>
    <xf numFmtId="181" fontId="73" fillId="0" borderId="8" xfId="0" applyNumberFormat="1" applyFont="1" applyBorder="1" applyAlignment="1">
      <alignment horizontal="center" vertical="center"/>
    </xf>
    <xf numFmtId="0" fontId="73" fillId="0" borderId="14" xfId="0" applyFont="1" applyBorder="1" applyAlignment="1">
      <alignment horizontal="center" vertical="center"/>
    </xf>
    <xf numFmtId="2" fontId="73" fillId="0" borderId="0" xfId="0" applyNumberFormat="1" applyFont="1" applyAlignment="1">
      <alignment horizontal="center" vertical="center"/>
    </xf>
    <xf numFmtId="181" fontId="73" fillId="0" borderId="0" xfId="0" applyNumberFormat="1" applyFont="1" applyAlignment="1">
      <alignment horizontal="center" vertical="center"/>
    </xf>
    <xf numFmtId="49" fontId="73" fillId="0" borderId="0" xfId="0" applyNumberFormat="1" applyFont="1" applyAlignment="1">
      <alignment horizontal="center" vertical="center"/>
    </xf>
    <xf numFmtId="9" fontId="73" fillId="0" borderId="0" xfId="0" applyNumberFormat="1" applyFont="1" applyAlignment="1">
      <alignment horizontal="center" vertical="center"/>
    </xf>
    <xf numFmtId="0" fontId="73" fillId="0" borderId="0" xfId="0" applyFont="1" applyAlignment="1">
      <alignment horizontal="center" vertical="center"/>
    </xf>
    <xf numFmtId="3" fontId="73" fillId="0" borderId="0" xfId="0" applyNumberFormat="1" applyFont="1" applyAlignment="1">
      <alignment horizontal="center" vertical="center"/>
    </xf>
    <xf numFmtId="183" fontId="73" fillId="0" borderId="0" xfId="0" applyNumberFormat="1" applyFont="1" applyAlignment="1">
      <alignment horizontal="center" vertical="center"/>
    </xf>
    <xf numFmtId="3" fontId="73" fillId="7" borderId="0" xfId="0" applyNumberFormat="1" applyFont="1" applyFill="1" applyAlignment="1">
      <alignment horizontal="center" vertical="center"/>
    </xf>
    <xf numFmtId="0" fontId="72" fillId="8" borderId="0" xfId="0" applyFont="1" applyFill="1" applyAlignment="1">
      <alignment horizontal="center" vertical="center" wrapText="1"/>
    </xf>
    <xf numFmtId="0" fontId="33" fillId="7" borderId="0" xfId="0" applyFont="1" applyFill="1" applyAlignment="1">
      <alignment vertical="center"/>
    </xf>
    <xf numFmtId="2" fontId="73" fillId="0" borderId="3" xfId="0" applyNumberFormat="1" applyFont="1" applyBorder="1" applyAlignment="1">
      <alignment vertical="center"/>
    </xf>
    <xf numFmtId="0" fontId="72" fillId="3" borderId="10" xfId="0" applyFont="1" applyFill="1" applyBorder="1" applyAlignment="1">
      <alignment horizontal="center" vertical="center" wrapText="1"/>
    </xf>
    <xf numFmtId="2" fontId="74" fillId="3" borderId="10" xfId="0" applyNumberFormat="1" applyFont="1" applyFill="1" applyBorder="1" applyAlignment="1">
      <alignment horizontal="center" vertical="center" wrapText="1"/>
    </xf>
    <xf numFmtId="181" fontId="75" fillId="3" borderId="10" xfId="0" applyNumberFormat="1" applyFont="1" applyFill="1" applyBorder="1" applyAlignment="1">
      <alignment horizontal="center" vertical="center" wrapText="1"/>
    </xf>
    <xf numFmtId="49" fontId="76" fillId="3" borderId="10" xfId="0" applyNumberFormat="1" applyFont="1" applyFill="1" applyBorder="1" applyAlignment="1">
      <alignment horizontal="center" vertical="center" wrapText="1"/>
    </xf>
    <xf numFmtId="49" fontId="77" fillId="3" borderId="10" xfId="0" applyNumberFormat="1" applyFont="1" applyFill="1" applyBorder="1" applyAlignment="1">
      <alignment horizontal="center" vertical="center" wrapText="1"/>
    </xf>
    <xf numFmtId="181" fontId="78" fillId="3" borderId="10" xfId="0" applyNumberFormat="1" applyFont="1" applyFill="1" applyBorder="1" applyAlignment="1">
      <alignment horizontal="center" vertical="center" wrapText="1"/>
    </xf>
    <xf numFmtId="181" fontId="73" fillId="3" borderId="10" xfId="0" applyNumberFormat="1" applyFont="1" applyFill="1" applyBorder="1" applyAlignment="1">
      <alignment vertical="center"/>
    </xf>
    <xf numFmtId="9" fontId="75" fillId="3" borderId="10" xfId="0" applyNumberFormat="1" applyFont="1" applyFill="1" applyBorder="1" applyAlignment="1">
      <alignment horizontal="center" vertical="center" wrapText="1"/>
    </xf>
    <xf numFmtId="3" fontId="73" fillId="3" borderId="10" xfId="0" applyNumberFormat="1" applyFont="1" applyFill="1" applyBorder="1" applyAlignment="1">
      <alignment vertical="center"/>
    </xf>
    <xf numFmtId="0" fontId="77" fillId="3" borderId="10" xfId="0" applyFont="1" applyFill="1" applyBorder="1" applyAlignment="1">
      <alignment horizontal="center" vertical="center" wrapText="1"/>
    </xf>
    <xf numFmtId="3" fontId="75" fillId="3" borderId="10" xfId="0" applyNumberFormat="1" applyFont="1" applyFill="1" applyBorder="1" applyAlignment="1">
      <alignment horizontal="center" vertical="center" wrapText="1"/>
    </xf>
    <xf numFmtId="3" fontId="77" fillId="3" borderId="10" xfId="0" applyNumberFormat="1" applyFont="1" applyFill="1" applyBorder="1" applyAlignment="1">
      <alignment horizontal="center" vertical="center" wrapText="1"/>
    </xf>
    <xf numFmtId="0" fontId="76" fillId="3" borderId="10" xfId="0" applyFont="1" applyFill="1" applyBorder="1" applyAlignment="1">
      <alignment horizontal="center" vertical="center" wrapText="1"/>
    </xf>
    <xf numFmtId="0" fontId="75" fillId="3" borderId="10" xfId="0" applyFont="1" applyFill="1" applyBorder="1" applyAlignment="1">
      <alignment horizontal="center" vertical="center" wrapText="1"/>
    </xf>
    <xf numFmtId="183" fontId="75" fillId="3" borderId="10" xfId="0" applyNumberFormat="1" applyFont="1" applyFill="1" applyBorder="1" applyAlignment="1">
      <alignment horizontal="center" vertical="center"/>
    </xf>
    <xf numFmtId="183" fontId="68" fillId="3" borderId="10" xfId="0" applyNumberFormat="1" applyFont="1" applyFill="1" applyBorder="1" applyAlignment="1">
      <alignment horizontal="center" vertical="center"/>
    </xf>
    <xf numFmtId="49" fontId="83" fillId="4" borderId="10" xfId="0" applyNumberFormat="1" applyFont="1" applyFill="1" applyBorder="1" applyAlignment="1">
      <alignment horizontal="center" vertical="center" wrapText="1"/>
    </xf>
    <xf numFmtId="181" fontId="73" fillId="4" borderId="10" xfId="0" applyNumberFormat="1" applyFont="1" applyFill="1" applyBorder="1" applyAlignment="1">
      <alignment vertical="center"/>
    </xf>
    <xf numFmtId="0" fontId="73" fillId="4" borderId="8" xfId="0" applyFont="1" applyFill="1" applyBorder="1" applyAlignment="1">
      <alignment vertical="center"/>
    </xf>
    <xf numFmtId="2" fontId="73" fillId="4" borderId="8" xfId="0" applyNumberFormat="1" applyFont="1" applyFill="1" applyBorder="1" applyAlignment="1">
      <alignment vertical="center"/>
    </xf>
    <xf numFmtId="185" fontId="75" fillId="0" borderId="3" xfId="0" applyNumberFormat="1" applyFont="1" applyBorder="1" applyAlignment="1">
      <alignment horizontal="center" vertical="center" wrapText="1"/>
    </xf>
    <xf numFmtId="185" fontId="75" fillId="3" borderId="8" xfId="0" applyNumberFormat="1" applyFont="1" applyFill="1" applyBorder="1" applyAlignment="1">
      <alignment horizontal="center" vertical="center" wrapText="1"/>
    </xf>
    <xf numFmtId="185" fontId="75" fillId="0" borderId="8" xfId="0" applyNumberFormat="1" applyFont="1" applyBorder="1" applyAlignment="1">
      <alignment horizontal="center" vertical="center" wrapText="1"/>
    </xf>
    <xf numFmtId="10" fontId="73" fillId="0" borderId="14" xfId="0" applyNumberFormat="1" applyFont="1" applyBorder="1" applyAlignment="1">
      <alignment vertical="center"/>
    </xf>
    <xf numFmtId="181" fontId="72" fillId="0" borderId="2" xfId="0" applyNumberFormat="1" applyFont="1" applyBorder="1" applyAlignment="1">
      <alignment horizontal="center" vertical="center" wrapText="1"/>
    </xf>
    <xf numFmtId="181" fontId="77" fillId="0" borderId="8" xfId="0" applyNumberFormat="1" applyFont="1" applyBorder="1" applyAlignment="1">
      <alignment horizontal="center" vertical="center" wrapText="1"/>
    </xf>
    <xf numFmtId="181" fontId="77" fillId="3" borderId="8" xfId="0" applyNumberFormat="1" applyFont="1" applyFill="1" applyBorder="1" applyAlignment="1">
      <alignment horizontal="center" vertical="center" wrapText="1"/>
    </xf>
    <xf numFmtId="181" fontId="72" fillId="8" borderId="2" xfId="0" applyNumberFormat="1" applyFont="1" applyFill="1" applyBorder="1" applyAlignment="1">
      <alignment horizontal="center" vertical="center" wrapText="1"/>
    </xf>
    <xf numFmtId="183" fontId="75" fillId="3" borderId="8" xfId="0" applyNumberFormat="1" applyFont="1" applyFill="1" applyBorder="1" applyAlignment="1">
      <alignment horizontal="center" vertical="center" wrapText="1"/>
    </xf>
    <xf numFmtId="183" fontId="75" fillId="0" borderId="8" xfId="0" applyNumberFormat="1" applyFont="1" applyBorder="1" applyAlignment="1">
      <alignment horizontal="center" vertical="center" wrapText="1"/>
    </xf>
    <xf numFmtId="183" fontId="73" fillId="7" borderId="0" xfId="0" applyNumberFormat="1" applyFont="1" applyFill="1" applyAlignment="1">
      <alignment vertical="center"/>
    </xf>
    <xf numFmtId="0" fontId="72" fillId="4" borderId="7" xfId="0" applyFont="1" applyFill="1" applyBorder="1" applyAlignment="1">
      <alignment horizontal="center" vertical="center" wrapText="1"/>
    </xf>
    <xf numFmtId="181" fontId="77" fillId="4" borderId="8" xfId="0" applyNumberFormat="1" applyFont="1" applyFill="1" applyBorder="1" applyAlignment="1">
      <alignment horizontal="center" vertical="center" wrapText="1"/>
    </xf>
    <xf numFmtId="0" fontId="72" fillId="0" borderId="10" xfId="0" applyFont="1" applyBorder="1" applyAlignment="1">
      <alignment horizontal="center" vertical="center" wrapText="1"/>
    </xf>
    <xf numFmtId="2" fontId="74" fillId="0" borderId="10" xfId="0" applyNumberFormat="1" applyFont="1" applyBorder="1" applyAlignment="1">
      <alignment horizontal="center" vertical="center" wrapText="1"/>
    </xf>
    <xf numFmtId="181" fontId="75" fillId="0" borderId="10" xfId="0" applyNumberFormat="1" applyFont="1" applyBorder="1" applyAlignment="1">
      <alignment horizontal="center" vertical="center" wrapText="1"/>
    </xf>
    <xf numFmtId="49" fontId="76" fillId="0" borderId="10" xfId="0" applyNumberFormat="1" applyFont="1" applyBorder="1" applyAlignment="1">
      <alignment horizontal="center" vertical="center" wrapText="1"/>
    </xf>
    <xf numFmtId="49" fontId="77" fillId="0" borderId="10" xfId="0" applyNumberFormat="1" applyFont="1" applyBorder="1" applyAlignment="1">
      <alignment horizontal="center" vertical="center" wrapText="1"/>
    </xf>
    <xf numFmtId="181" fontId="78" fillId="0" borderId="10" xfId="0" applyNumberFormat="1" applyFont="1" applyBorder="1" applyAlignment="1">
      <alignment horizontal="center" vertical="center" wrapText="1"/>
    </xf>
    <xf numFmtId="181" fontId="73" fillId="0" borderId="10" xfId="0" applyNumberFormat="1" applyFont="1" applyBorder="1" applyAlignment="1">
      <alignment vertical="center"/>
    </xf>
    <xf numFmtId="0" fontId="75" fillId="0" borderId="10" xfId="0" applyFont="1" applyBorder="1" applyAlignment="1">
      <alignment horizontal="center" vertical="center" wrapText="1"/>
    </xf>
    <xf numFmtId="3" fontId="73" fillId="0" borderId="10" xfId="0" applyNumberFormat="1" applyFont="1" applyBorder="1" applyAlignment="1">
      <alignment vertical="center"/>
    </xf>
    <xf numFmtId="0" fontId="77" fillId="0" borderId="10" xfId="0" applyFont="1" applyBorder="1" applyAlignment="1">
      <alignment horizontal="center" vertical="center" wrapText="1"/>
    </xf>
    <xf numFmtId="3" fontId="75" fillId="0" borderId="10" xfId="0" applyNumberFormat="1" applyFont="1" applyBorder="1" applyAlignment="1">
      <alignment horizontal="center" vertical="center" wrapText="1"/>
    </xf>
    <xf numFmtId="9" fontId="75" fillId="0" borderId="10" xfId="0" applyNumberFormat="1" applyFont="1" applyBorder="1" applyAlignment="1">
      <alignment horizontal="center" vertical="center" wrapText="1"/>
    </xf>
    <xf numFmtId="3" fontId="77" fillId="0" borderId="10" xfId="0" applyNumberFormat="1" applyFont="1" applyBorder="1" applyAlignment="1">
      <alignment horizontal="center" vertical="center" wrapText="1"/>
    </xf>
    <xf numFmtId="0" fontId="76" fillId="0" borderId="10" xfId="0" applyFont="1" applyBorder="1" applyAlignment="1">
      <alignment horizontal="center" vertical="center" wrapText="1"/>
    </xf>
    <xf numFmtId="185" fontId="75" fillId="0" borderId="10" xfId="0" applyNumberFormat="1" applyFont="1" applyBorder="1" applyAlignment="1">
      <alignment horizontal="center" vertical="center"/>
    </xf>
    <xf numFmtId="183" fontId="68" fillId="0" borderId="10" xfId="0" applyNumberFormat="1" applyFont="1" applyBorder="1" applyAlignment="1">
      <alignment horizontal="center" vertical="center"/>
    </xf>
    <xf numFmtId="181" fontId="72" fillId="0" borderId="8" xfId="0" applyNumberFormat="1" applyFont="1" applyBorder="1" applyAlignment="1">
      <alignment horizontal="center" vertical="center" wrapText="1"/>
    </xf>
    <xf numFmtId="181" fontId="72" fillId="3" borderId="8" xfId="0" applyNumberFormat="1" applyFont="1" applyFill="1" applyBorder="1" applyAlignment="1">
      <alignment horizontal="center" vertical="center" wrapText="1"/>
    </xf>
    <xf numFmtId="0" fontId="84" fillId="4" borderId="2" xfId="0" applyFont="1" applyFill="1" applyBorder="1" applyAlignment="1">
      <alignment horizontal="center" vertical="center" wrapText="1"/>
    </xf>
    <xf numFmtId="0" fontId="72" fillId="9" borderId="2" xfId="0" applyFont="1" applyFill="1" applyBorder="1" applyAlignment="1">
      <alignment horizontal="center" vertical="center" wrapText="1"/>
    </xf>
    <xf numFmtId="181" fontId="68" fillId="0" borderId="10" xfId="0" applyNumberFormat="1" applyFont="1" applyBorder="1" applyAlignment="1">
      <alignment horizontal="center" vertical="center" wrapText="1"/>
    </xf>
    <xf numFmtId="2" fontId="73" fillId="0" borderId="8" xfId="0" applyNumberFormat="1" applyFont="1" applyBorder="1" applyAlignment="1">
      <alignment vertical="center"/>
    </xf>
    <xf numFmtId="3" fontId="75" fillId="10" borderId="8" xfId="0" applyNumberFormat="1" applyFont="1" applyFill="1" applyBorder="1" applyAlignment="1">
      <alignment horizontal="center" vertical="center" wrapText="1"/>
    </xf>
    <xf numFmtId="185" fontId="75" fillId="10" borderId="8" xfId="0" applyNumberFormat="1" applyFont="1" applyFill="1" applyBorder="1" applyAlignment="1">
      <alignment horizontal="center" vertical="center"/>
    </xf>
    <xf numFmtId="180" fontId="73" fillId="7" borderId="5" xfId="0" applyNumberFormat="1" applyFont="1" applyFill="1" applyBorder="1" applyAlignment="1">
      <alignment vertical="center"/>
    </xf>
    <xf numFmtId="181" fontId="75" fillId="7" borderId="14" xfId="0" applyNumberFormat="1" applyFont="1" applyFill="1" applyBorder="1" applyAlignment="1">
      <alignment horizontal="center" vertical="center" wrapText="1"/>
    </xf>
    <xf numFmtId="0" fontId="73" fillId="7" borderId="14" xfId="0" applyFont="1" applyFill="1" applyBorder="1" applyAlignment="1">
      <alignment vertical="center"/>
    </xf>
    <xf numFmtId="0" fontId="75" fillId="7" borderId="5" xfId="0" applyFont="1" applyFill="1" applyBorder="1" applyAlignment="1">
      <alignment horizontal="center" vertical="center" wrapText="1"/>
    </xf>
    <xf numFmtId="0" fontId="73" fillId="7" borderId="5" xfId="0" applyFont="1" applyFill="1" applyBorder="1" applyAlignment="1">
      <alignment vertical="center"/>
    </xf>
    <xf numFmtId="183" fontId="73" fillId="7" borderId="5" xfId="0" applyNumberFormat="1" applyFont="1" applyFill="1" applyBorder="1" applyAlignment="1">
      <alignment vertical="center"/>
    </xf>
    <xf numFmtId="0" fontId="73" fillId="4" borderId="13" xfId="0" applyFont="1" applyFill="1" applyBorder="1" applyAlignment="1">
      <alignment vertical="center"/>
    </xf>
    <xf numFmtId="180" fontId="73" fillId="7" borderId="6" xfId="0" applyNumberFormat="1" applyFont="1" applyFill="1" applyBorder="1" applyAlignment="1">
      <alignment vertical="center"/>
    </xf>
    <xf numFmtId="181" fontId="72" fillId="11" borderId="9" xfId="0" applyNumberFormat="1" applyFont="1" applyFill="1" applyBorder="1" applyAlignment="1">
      <alignment horizontal="center" vertical="center" wrapText="1"/>
    </xf>
    <xf numFmtId="0" fontId="73" fillId="11" borderId="5" xfId="0" applyFont="1" applyFill="1" applyBorder="1" applyAlignment="1">
      <alignment vertical="center"/>
    </xf>
    <xf numFmtId="0" fontId="72" fillId="11" borderId="10" xfId="0" applyFont="1" applyFill="1" applyBorder="1" applyAlignment="1">
      <alignment horizontal="center" vertical="center" wrapText="1"/>
    </xf>
    <xf numFmtId="183" fontId="75" fillId="4" borderId="8" xfId="0" applyNumberFormat="1" applyFont="1" applyFill="1" applyBorder="1" applyAlignment="1">
      <alignment horizontal="center" vertical="center" wrapText="1"/>
    </xf>
    <xf numFmtId="3" fontId="76" fillId="4" borderId="8" xfId="0" applyNumberFormat="1" applyFont="1" applyFill="1" applyBorder="1" applyAlignment="1">
      <alignment horizontal="center" vertical="center" wrapText="1"/>
    </xf>
    <xf numFmtId="180" fontId="73" fillId="7" borderId="3" xfId="0" applyNumberFormat="1" applyFont="1" applyFill="1" applyBorder="1" applyAlignment="1">
      <alignment vertical="center"/>
    </xf>
    <xf numFmtId="181" fontId="73" fillId="4" borderId="3" xfId="0" applyNumberFormat="1" applyFont="1" applyFill="1" applyBorder="1" applyAlignment="1">
      <alignment vertical="center"/>
    </xf>
    <xf numFmtId="0" fontId="73" fillId="4" borderId="2" xfId="0" applyFont="1" applyFill="1" applyBorder="1" applyAlignment="1">
      <alignment vertical="center"/>
    </xf>
    <xf numFmtId="0" fontId="73" fillId="5" borderId="0" xfId="0" applyFont="1" applyFill="1" applyAlignment="1">
      <alignment vertical="center"/>
    </xf>
    <xf numFmtId="2" fontId="73" fillId="5" borderId="0" xfId="0" applyNumberFormat="1" applyFont="1" applyFill="1" applyAlignment="1">
      <alignment vertical="center"/>
    </xf>
    <xf numFmtId="181" fontId="73" fillId="5" borderId="0" xfId="0" applyNumberFormat="1" applyFont="1" applyFill="1" applyAlignment="1">
      <alignment vertical="center"/>
    </xf>
    <xf numFmtId="49" fontId="73" fillId="5" borderId="0" xfId="0" applyNumberFormat="1" applyFont="1" applyFill="1" applyAlignment="1">
      <alignment vertical="center"/>
    </xf>
    <xf numFmtId="180" fontId="71" fillId="7" borderId="9" xfId="0" applyNumberFormat="1" applyFont="1" applyFill="1" applyBorder="1" applyAlignment="1">
      <alignment horizontal="center" vertical="center" wrapText="1"/>
    </xf>
    <xf numFmtId="0" fontId="72" fillId="0" borderId="0" xfId="0" applyFont="1" applyAlignment="1">
      <alignment horizontal="center" vertical="center" wrapText="1"/>
    </xf>
    <xf numFmtId="2" fontId="74" fillId="0" borderId="0" xfId="0" applyNumberFormat="1" applyFont="1" applyAlignment="1">
      <alignment horizontal="center" vertical="center" wrapText="1"/>
    </xf>
    <xf numFmtId="181" fontId="75" fillId="0" borderId="0" xfId="0" applyNumberFormat="1" applyFont="1" applyAlignment="1">
      <alignment horizontal="center" vertical="center" wrapText="1"/>
    </xf>
    <xf numFmtId="49" fontId="76" fillId="0" borderId="0" xfId="0" applyNumberFormat="1" applyFont="1" applyAlignment="1">
      <alignment horizontal="center" vertical="center" wrapText="1"/>
    </xf>
    <xf numFmtId="49" fontId="77" fillId="0" borderId="0" xfId="0" applyNumberFormat="1" applyFont="1" applyAlignment="1">
      <alignment horizontal="center" vertical="center" wrapText="1"/>
    </xf>
    <xf numFmtId="181" fontId="78" fillId="0" borderId="0" xfId="0" applyNumberFormat="1" applyFont="1" applyAlignment="1">
      <alignment horizontal="center" vertical="center" wrapText="1"/>
    </xf>
    <xf numFmtId="0" fontId="75" fillId="0" borderId="0" xfId="0" applyFont="1" applyAlignment="1">
      <alignment horizontal="center" vertical="center" wrapText="1"/>
    </xf>
    <xf numFmtId="3" fontId="77" fillId="0" borderId="0" xfId="0" applyNumberFormat="1" applyFont="1" applyAlignment="1">
      <alignment horizontal="center" vertical="center" wrapText="1"/>
    </xf>
    <xf numFmtId="0" fontId="77" fillId="0" borderId="0" xfId="0" applyFont="1" applyAlignment="1">
      <alignment horizontal="center" vertical="center" wrapText="1"/>
    </xf>
    <xf numFmtId="3" fontId="75" fillId="0" borderId="0" xfId="0" applyNumberFormat="1" applyFont="1" applyAlignment="1">
      <alignment horizontal="center" vertical="center" wrapText="1"/>
    </xf>
    <xf numFmtId="9" fontId="75" fillId="0" borderId="0" xfId="0" applyNumberFormat="1" applyFont="1" applyAlignment="1">
      <alignment horizontal="center" vertical="center" wrapText="1"/>
    </xf>
    <xf numFmtId="0" fontId="83" fillId="0" borderId="0" xfId="0" applyFont="1" applyAlignment="1">
      <alignment horizontal="center" vertical="center" wrapText="1"/>
    </xf>
    <xf numFmtId="0" fontId="85" fillId="0" borderId="0" xfId="0" applyFont="1" applyAlignment="1">
      <alignment horizontal="center" vertical="center" wrapText="1"/>
    </xf>
    <xf numFmtId="185" fontId="75" fillId="0" borderId="0" xfId="0" applyNumberFormat="1" applyFont="1" applyAlignment="1">
      <alignment horizontal="center" vertical="center"/>
    </xf>
    <xf numFmtId="0" fontId="75" fillId="0" borderId="0" xfId="0" applyFont="1" applyAlignment="1">
      <alignment horizontal="center" vertical="center"/>
    </xf>
    <xf numFmtId="183" fontId="68" fillId="0" borderId="0" xfId="0" applyNumberFormat="1" applyFont="1" applyAlignment="1">
      <alignment horizontal="center" vertical="center"/>
    </xf>
    <xf numFmtId="184" fontId="70" fillId="7" borderId="0" xfId="0" applyNumberFormat="1" applyFont="1" applyFill="1" applyAlignment="1">
      <alignment horizontal="center" vertical="center" wrapText="1"/>
    </xf>
    <xf numFmtId="180" fontId="71" fillId="7" borderId="7" xfId="0" applyNumberFormat="1" applyFont="1" applyFill="1" applyBorder="1" applyAlignment="1">
      <alignment horizontal="center" vertical="center" wrapText="1"/>
    </xf>
    <xf numFmtId="0" fontId="72" fillId="11" borderId="0" xfId="0" applyFont="1" applyFill="1" applyAlignment="1">
      <alignment horizontal="center" vertical="center" wrapText="1"/>
    </xf>
    <xf numFmtId="0" fontId="73" fillId="11" borderId="1" xfId="0" applyFont="1" applyFill="1" applyBorder="1" applyAlignment="1">
      <alignment vertical="center"/>
    </xf>
    <xf numFmtId="0" fontId="68" fillId="0" borderId="0" xfId="0" applyFont="1" applyAlignment="1">
      <alignment horizontal="center" vertical="center"/>
    </xf>
    <xf numFmtId="0" fontId="86" fillId="11" borderId="1" xfId="0" applyFont="1" applyFill="1" applyBorder="1" applyAlignment="1">
      <alignment vertical="center"/>
    </xf>
    <xf numFmtId="181" fontId="86" fillId="0" borderId="0" xfId="0" applyNumberFormat="1" applyFont="1" applyAlignment="1">
      <alignment vertical="center"/>
    </xf>
    <xf numFmtId="186" fontId="75" fillId="0" borderId="0" xfId="0" applyNumberFormat="1" applyFont="1" applyAlignment="1">
      <alignment horizontal="center" vertical="center"/>
    </xf>
    <xf numFmtId="0" fontId="17" fillId="7" borderId="0" xfId="0" applyFont="1" applyFill="1" applyAlignment="1">
      <alignment horizontal="center" vertical="center" textRotation="45" wrapText="1"/>
    </xf>
    <xf numFmtId="180" fontId="40" fillId="7" borderId="0" xfId="0" applyNumberFormat="1" applyFont="1" applyFill="1" applyAlignment="1">
      <alignment vertical="center" wrapText="1"/>
    </xf>
    <xf numFmtId="180" fontId="87" fillId="7" borderId="0" xfId="0" applyNumberFormat="1" applyFont="1" applyFill="1" applyBorder="1" applyAlignment="1">
      <alignment horizontal="center" vertical="center" wrapText="1"/>
    </xf>
    <xf numFmtId="180" fontId="87" fillId="7" borderId="0" xfId="0" applyNumberFormat="1" applyFont="1" applyFill="1" applyAlignment="1">
      <alignment horizontal="center" vertical="center" wrapText="1"/>
    </xf>
    <xf numFmtId="0" fontId="88" fillId="7" borderId="0" xfId="0" applyFont="1" applyFill="1" applyAlignment="1">
      <alignment horizontal="center" vertical="center" wrapText="1"/>
    </xf>
    <xf numFmtId="0" fontId="88" fillId="7" borderId="1" xfId="0" applyFont="1" applyFill="1" applyBorder="1" applyAlignment="1">
      <alignment horizontal="center" vertical="center" wrapText="1"/>
    </xf>
    <xf numFmtId="0" fontId="89" fillId="7" borderId="0" xfId="0" applyFont="1" applyFill="1" applyBorder="1" applyAlignment="1">
      <alignment horizontal="center" vertical="center" wrapText="1"/>
    </xf>
    <xf numFmtId="49" fontId="89" fillId="7" borderId="0" xfId="0" applyNumberFormat="1" applyFont="1" applyFill="1" applyBorder="1" applyAlignment="1">
      <alignment horizontal="center" vertical="center" wrapText="1"/>
    </xf>
    <xf numFmtId="181" fontId="89" fillId="7" borderId="0" xfId="0" applyNumberFormat="1" applyFont="1" applyFill="1" applyBorder="1" applyAlignment="1">
      <alignment horizontal="center" vertical="center" wrapText="1"/>
    </xf>
    <xf numFmtId="0" fontId="63" fillId="7" borderId="0" xfId="0" applyFont="1" applyFill="1" applyAlignment="1">
      <alignment horizontal="center" vertical="center" wrapText="1"/>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dxfs count="31">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ill>
        <patternFill patternType="solid">
          <fgColor rgb="FFB4A7D6"/>
          <bgColor rgb="FFB4A7D6"/>
        </patternFill>
      </fill>
    </dxf>
    <dxf>
      <fill>
        <patternFill patternType="solid">
          <fgColor rgb="FFFFFFFF"/>
          <bgColor rgb="FFFFFFFF"/>
        </patternFill>
      </fill>
    </dxf>
    <dxf>
      <fill>
        <patternFill patternType="solid">
          <fgColor rgb="FFFFFFFF"/>
          <bgColor rgb="FFFFFFFF"/>
        </patternFill>
      </fill>
    </dxf>
    <dxf>
      <fill>
        <patternFill patternType="solid">
          <fgColor rgb="FFB4A7D6"/>
          <bgColor rgb="FFB4A7D6"/>
        </patternFill>
      </fill>
    </dxf>
    <dxf>
      <fill>
        <patternFill patternType="solid">
          <fgColor rgb="FFFFFFFF"/>
          <bgColor rgb="FFFFFFFF"/>
        </patternFill>
      </fill>
    </dxf>
    <dxf>
      <fill>
        <patternFill patternType="solid">
          <fgColor rgb="FFB4A7D6"/>
          <bgColor rgb="FFB4A7D6"/>
        </patternFill>
      </fill>
    </dxf>
    <dxf>
      <fill>
        <patternFill patternType="solid">
          <fgColor rgb="FFFFFFFF"/>
          <bgColor rgb="FFFFFFFF"/>
        </patternFill>
      </fill>
    </dxf>
    <dxf>
      <fill>
        <patternFill patternType="solid">
          <fgColor rgb="FFB4A7D6"/>
          <bgColor rgb="FFB4A7D6"/>
        </patternFill>
      </fill>
    </dxf>
    <dxf>
      <fill>
        <patternFill patternType="solid">
          <fgColor rgb="FFFFFFFF"/>
          <bgColor rgb="FFFFFFFF"/>
        </patternFill>
      </fill>
    </dxf>
    <dxf>
      <fill>
        <patternFill patternType="solid">
          <fgColor rgb="FFB4A7D6"/>
          <bgColor rgb="FFB4A7D6"/>
        </patternFill>
      </fill>
    </dxf>
    <dxf>
      <fill>
        <patternFill patternType="solid">
          <fgColor rgb="FFFFFFFF"/>
          <bgColor rgb="FFFFFFFF"/>
        </patternFill>
      </fill>
    </dxf>
    <dxf>
      <fill>
        <patternFill patternType="solid">
          <fgColor rgb="FFB4A7D6"/>
          <bgColor rgb="FFB4A7D6"/>
        </patternFill>
      </fill>
    </dxf>
    <dxf>
      <fill>
        <patternFill patternType="solid">
          <fgColor rgb="FFFFFFFF"/>
          <bgColor rgb="FFFFFFFF"/>
        </patternFill>
      </fill>
    </dxf>
    <dxf>
      <fill>
        <patternFill patternType="solid">
          <fgColor rgb="FFB4A7D6"/>
          <bgColor rgb="FFB4A7D6"/>
        </patternFill>
      </fill>
    </dxf>
    <dxf>
      <fill>
        <patternFill patternType="solid">
          <fgColor rgb="FFFFFFFF"/>
          <bgColor rgb="FFFFFFFF"/>
        </patternFill>
      </fill>
    </dxf>
    <dxf>
      <fill>
        <patternFill patternType="solid">
          <fgColor rgb="FFB4A7D6"/>
          <bgColor rgb="FFB4A7D6"/>
        </patternFill>
      </fill>
    </dxf>
  </dxfs>
  <tableStyles count="8">
    <tableStyle name="MTTS BRAZIL-style" pivot="0" count="2" xr9:uid="{ED6E9F3B-2819-46EF-B175-38FD83F45F45}">
      <tableStyleElement type="firstRowStripe" dxfId="16"/>
      <tableStyleElement type="secondRowStripe" dxfId="15"/>
    </tableStyle>
    <tableStyle name="MTTS ARGUY-style" pivot="0" count="2" xr9:uid="{01C46074-A428-41FE-BAE9-3120F4DD3D82}">
      <tableStyleElement type="firstRowStripe" dxfId="18"/>
      <tableStyleElement type="secondRowStripe" dxfId="17"/>
    </tableStyle>
    <tableStyle name="MTTS VENEZUELA-style" pivot="0" count="2" xr9:uid="{C2902596-AA88-4575-A440-749FD4E8DE3A}">
      <tableStyleElement type="firstRowStripe" dxfId="20"/>
      <tableStyleElement type="secondRowStripe" dxfId="19"/>
    </tableStyle>
    <tableStyle name="MTTS BOLIVIA-style" pivot="0" count="2" xr9:uid="{A4B4DB31-8B56-4B82-9082-458FF540AD9B}">
      <tableStyleElement type="firstRowStripe" dxfId="22"/>
      <tableStyleElement type="secondRowStripe" dxfId="21"/>
    </tableStyle>
    <tableStyle name="MTTS PERU-style" pivot="0" count="2" xr9:uid="{8EFD77AC-D7A7-4BFD-9FE7-4DE11A0A62ED}">
      <tableStyleElement type="firstRowStripe" dxfId="24"/>
      <tableStyleElement type="secondRowStripe" dxfId="23"/>
    </tableStyle>
    <tableStyle name="MTTS PANAMÁ-style" pivot="0" count="2" xr9:uid="{96A7A168-C2B3-4117-A62F-28C079864BBD}">
      <tableStyleElement type="firstRowStripe" dxfId="26"/>
      <tableStyleElement type="secondRowStripe" dxfId="25"/>
    </tableStyle>
    <tableStyle name="MTTS COL-style" pivot="0" count="2" xr9:uid="{9C509E50-390F-4C84-B5F6-4544EE2350BB}">
      <tableStyleElement type="firstRowStripe" dxfId="28"/>
      <tableStyleElement type="secondRowStripe" dxfId="27"/>
    </tableStyle>
    <tableStyle name="MTTS MÉX-style" pivot="0" count="2" xr9:uid="{565C7E09-2D9B-4495-8CE1-98118906C9D9}">
      <tableStyleElement type="firstRowStripe" dxfId="30"/>
      <tableStyleElement type="secondRowStripe" dxfId="2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523875</xdr:colOff>
      <xdr:row>0</xdr:row>
      <xdr:rowOff>0</xdr:rowOff>
    </xdr:from>
    <xdr:ext cx="1895475" cy="1066800"/>
    <xdr:pic>
      <xdr:nvPicPr>
        <xdr:cNvPr id="2" name="image1.png" title="Imagem"/>
        <xdr:cNvPicPr preferRelativeResize="0"/>
      </xdr:nvPicPr>
      <xdr:blipFill>
        <a:blip r:embed="rId1" cstate="print"/>
        <a:stretch>
          <a:fillRect/>
        </a:stretch>
      </xdr:blipFill>
      <xdr:spPr>
        <a:xfrm>
          <a:off x="1066800" y="0"/>
          <a:ext cx="1895475" cy="1066800"/>
        </a:xfrm>
        <a:prstGeom prst="rect">
          <a:avLst/>
        </a:prstGeom>
        <a:noFill/>
      </xdr:spPr>
    </xdr:pic>
    <xdr:clientData fLocksWithSheet="0"/>
  </xdr:oneCellAnchor>
  <xdr:oneCellAnchor>
    <xdr:from>
      <xdr:col>37</xdr:col>
      <xdr:colOff>876300</xdr:colOff>
      <xdr:row>0</xdr:row>
      <xdr:rowOff>0</xdr:rowOff>
    </xdr:from>
    <xdr:ext cx="1952625" cy="1114425"/>
    <xdr:pic>
      <xdr:nvPicPr>
        <xdr:cNvPr id="3" name="image1.png" title="Imagem"/>
        <xdr:cNvPicPr preferRelativeResize="0"/>
      </xdr:nvPicPr>
      <xdr:blipFill>
        <a:blip r:embed="rId1" cstate="print"/>
        <a:stretch>
          <a:fillRect/>
        </a:stretch>
      </xdr:blipFill>
      <xdr:spPr>
        <a:xfrm>
          <a:off x="24709755" y="0"/>
          <a:ext cx="1952625" cy="1114425"/>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2</xdr:col>
      <xdr:colOff>-9525</xdr:colOff>
      <xdr:row>0</xdr:row>
      <xdr:rowOff>0</xdr:rowOff>
    </xdr:from>
    <xdr:ext cx="1895475" cy="1066800"/>
    <xdr:pic>
      <xdr:nvPicPr>
        <xdr:cNvPr id="2" name="image1.png" title="Imagem"/>
        <xdr:cNvPicPr preferRelativeResize="0"/>
      </xdr:nvPicPr>
      <xdr:blipFill>
        <a:blip r:embed="rId1" cstate="print"/>
        <a:stretch>
          <a:fillRect/>
        </a:stretch>
      </xdr:blipFill>
      <xdr:spPr>
        <a:xfrm>
          <a:off x="1532255" y="0"/>
          <a:ext cx="1895475" cy="1066800"/>
        </a:xfrm>
        <a:prstGeom prst="rect">
          <a:avLst/>
        </a:prstGeom>
        <a:noFill/>
      </xdr:spPr>
    </xdr:pic>
    <xdr:clientData fLocksWithSheet="0"/>
  </xdr:oneCellAnchor>
  <xdr:oneCellAnchor>
    <xdr:from>
      <xdr:col>13</xdr:col>
      <xdr:colOff>390525</xdr:colOff>
      <xdr:row>0</xdr:row>
      <xdr:rowOff>0</xdr:rowOff>
    </xdr:from>
    <xdr:ext cx="1895475" cy="1066800"/>
    <xdr:pic>
      <xdr:nvPicPr>
        <xdr:cNvPr id="3" name="image1.png" title="Imagem"/>
        <xdr:cNvPicPr preferRelativeResize="0"/>
      </xdr:nvPicPr>
      <xdr:blipFill>
        <a:blip r:embed="rId1" cstate="print"/>
        <a:stretch>
          <a:fillRect/>
        </a:stretch>
      </xdr:blipFill>
      <xdr:spPr>
        <a:xfrm>
          <a:off x="10735310" y="0"/>
          <a:ext cx="1895475" cy="1066800"/>
        </a:xfrm>
        <a:prstGeom prst="rect">
          <a:avLst/>
        </a:prstGeom>
        <a:noFill/>
      </xdr:spPr>
    </xdr:pic>
    <xdr:clientData fLocksWithSheet="0"/>
  </xdr:oneCellAnchor>
</xdr:wsDr>
</file>

<file path=xl/tables/table1.xml><?xml version="1.0" encoding="utf-8"?>
<table xmlns="http://schemas.openxmlformats.org/spreadsheetml/2006/main" id="1" name="Table_1" displayName="Table_1" ref="C250:Q336" headerRowCount="0">
  <tableColumns count="15">
    <tableColumn id="1" name="Column1" dataDxfId="0"/>
    <tableColumn id="2" name="Column2" dataDxfId="1"/>
    <tableColumn id="3" name="Column3" dataDxfId="2"/>
    <tableColumn id="4" name="Column4" dataDxfId="3"/>
    <tableColumn id="5" name="Column5" dataDxfId="4"/>
    <tableColumn id="6" name="Column6" dataDxfId="5"/>
    <tableColumn id="7" name="Column7" dataDxfId="6"/>
    <tableColumn id="8" name="Column8" dataDxfId="7"/>
    <tableColumn id="9" name="Column9" dataDxfId="8"/>
    <tableColumn id="10" name="Column10" dataDxfId="9"/>
    <tableColumn id="11" name="Column11" dataDxfId="10"/>
    <tableColumn id="12" name="Column12" dataDxfId="11"/>
    <tableColumn id="13" name="Column13" dataDxfId="12"/>
    <tableColumn id="14" name="Column14" dataDxfId="13"/>
    <tableColumn id="15" name="Column15" dataDxfId="14"/>
  </tableColumns>
  <tableStyleInfo name="MTTS BRAZIL-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4" Type="http://schemas.openxmlformats.org/officeDocument/2006/relationships/table" Target="../tables/table1.xml"/><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E69138"/>
    <outlinePr summaryBelow="0" summaryRight="0"/>
  </sheetPr>
  <dimension ref="A1:AQ1132"/>
  <sheetViews>
    <sheetView showGridLines="0" workbookViewId="0">
      <pane xSplit="2" ySplit="5" topLeftCell="C6" activePane="bottomRight" state="frozen"/>
      <selection/>
      <selection pane="topRight"/>
      <selection pane="bottomLeft"/>
      <selection pane="bottomRight" activeCell="C6" sqref="C6"/>
    </sheetView>
  </sheetViews>
  <sheetFormatPr defaultColWidth="12.6285714285714" defaultRowHeight="15.75" customHeight="1"/>
  <cols>
    <col min="1" max="1" width="9" customWidth="1"/>
    <col min="2" max="2" width="7" customWidth="1"/>
    <col min="3" max="3" width="5.75238095238095" hidden="1" customWidth="1"/>
    <col min="4" max="5" width="6.38095238095238" hidden="1" customWidth="1"/>
    <col min="6" max="6" width="7.38095238095238" hidden="1" customWidth="1"/>
    <col min="7" max="9" width="5.75238095238095" hidden="1" customWidth="1"/>
    <col min="10" max="10" width="21.8761904761905" customWidth="1"/>
    <col min="11" max="11" width="2.62857142857143" customWidth="1"/>
    <col min="12" max="12" width="20.3809523809524" customWidth="1"/>
    <col min="13" max="13" width="11.5047619047619" customWidth="1"/>
    <col min="14" max="14" width="9.75238095238095" customWidth="1"/>
    <col min="15" max="15" width="12.8761904761905" customWidth="1"/>
    <col min="16" max="16" width="7.38095238095238" customWidth="1"/>
    <col min="17" max="17" width="11.6285714285714" customWidth="1"/>
    <col min="18" max="18" width="13.8761904761905" customWidth="1"/>
    <col min="19" max="19" width="11.8761904761905" customWidth="1"/>
    <col min="20" max="20" width="14.752380952381" customWidth="1"/>
    <col min="21" max="21" width="14.6285714285714" customWidth="1"/>
    <col min="22" max="24" width="13.8761904761905" customWidth="1"/>
    <col min="25" max="25" width="19.3809523809524" customWidth="1"/>
    <col min="26" max="27" width="8.75238095238095" customWidth="1"/>
    <col min="28" max="31" width="13.752380952381" customWidth="1"/>
    <col min="32" max="32" width="8.62857142857143" customWidth="1"/>
    <col min="33" max="35" width="9.13333333333333" customWidth="1"/>
    <col min="36" max="36" width="5.75238095238095" customWidth="1"/>
    <col min="37" max="37" width="13.752380952381" customWidth="1"/>
    <col min="38" max="38" width="12.3809523809524" customWidth="1"/>
    <col min="39" max="39" width="25.5047619047619" customWidth="1"/>
    <col min="40" max="40" width="13" customWidth="1"/>
    <col min="41" max="41" width="5.75238095238095" customWidth="1"/>
    <col min="42" max="43" width="5" customWidth="1"/>
  </cols>
  <sheetData>
    <row r="1" ht="6" customHeight="1" spans="1:43">
      <c r="A1" s="220"/>
      <c r="B1" s="221"/>
      <c r="C1" s="222"/>
      <c r="D1" s="223"/>
      <c r="E1" s="223"/>
      <c r="F1" s="223"/>
      <c r="G1" s="223"/>
      <c r="H1" s="223"/>
      <c r="I1" s="224"/>
      <c r="J1" s="225"/>
      <c r="K1" s="226"/>
      <c r="L1" s="226"/>
      <c r="M1" s="227"/>
      <c r="N1" s="227"/>
      <c r="O1" s="228"/>
      <c r="P1" s="228"/>
      <c r="Q1" s="228"/>
      <c r="R1" s="227"/>
      <c r="S1" s="227"/>
      <c r="T1" s="227"/>
      <c r="U1" s="227"/>
      <c r="V1" s="227"/>
      <c r="W1" s="227"/>
      <c r="X1" s="229"/>
      <c r="Y1" s="230"/>
      <c r="Z1" s="231"/>
      <c r="AA1" s="232"/>
      <c r="AB1" s="232"/>
      <c r="AC1" s="232"/>
      <c r="AD1" s="232"/>
      <c r="AE1" s="232"/>
      <c r="AF1" s="232"/>
      <c r="AG1" s="232"/>
      <c r="AH1" s="232"/>
      <c r="AI1" s="232"/>
      <c r="AJ1" s="232"/>
      <c r="AK1" s="233"/>
      <c r="AL1" s="234"/>
      <c r="AM1" s="235"/>
      <c r="AN1" s="235"/>
      <c r="AO1" s="236"/>
      <c r="AP1" s="237"/>
      <c r="AQ1" s="236"/>
    </row>
    <row r="2" ht="61.5" customHeight="1" spans="1:43">
      <c r="A2" s="238">
        <f>SUM(AO3:AP3)</f>
        <v>556</v>
      </c>
      <c r="B2" s="239"/>
      <c r="C2" s="239" t="s">
        <v>0</v>
      </c>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row>
    <row r="3" ht="27" customHeight="1" spans="1:43">
      <c r="A3" s="220"/>
      <c r="B3" s="240" t="s">
        <v>1</v>
      </c>
      <c r="C3" s="241" t="s">
        <v>2</v>
      </c>
      <c r="D3" s="242" t="s">
        <v>3</v>
      </c>
      <c r="E3" s="243" t="s">
        <v>4</v>
      </c>
      <c r="F3" s="243" t="s">
        <v>5</v>
      </c>
      <c r="G3" s="244" t="s">
        <v>6</v>
      </c>
      <c r="H3" s="245" t="s">
        <v>7</v>
      </c>
      <c r="I3" s="246" t="s">
        <v>8</v>
      </c>
      <c r="J3" s="247"/>
      <c r="K3" s="248"/>
      <c r="L3" s="249"/>
      <c r="M3" s="15"/>
      <c r="N3" s="22"/>
      <c r="O3" s="249"/>
      <c r="P3" s="22"/>
      <c r="Q3" s="249" t="s">
        <v>9</v>
      </c>
      <c r="R3" s="15"/>
      <c r="S3" s="15"/>
      <c r="T3" s="15"/>
      <c r="U3" s="15"/>
      <c r="V3" s="250" t="s">
        <v>10</v>
      </c>
      <c r="W3" s="15"/>
      <c r="X3" s="251"/>
      <c r="Y3" s="249"/>
      <c r="Z3" s="252" t="s">
        <v>10</v>
      </c>
      <c r="AA3" s="249"/>
      <c r="AB3" s="249"/>
      <c r="AC3" s="249"/>
      <c r="AD3" s="249"/>
      <c r="AE3" s="249"/>
      <c r="AF3" s="249"/>
      <c r="AG3" s="253" t="s">
        <v>11</v>
      </c>
      <c r="AH3" s="15"/>
      <c r="AI3" s="22"/>
      <c r="AJ3" s="247"/>
      <c r="AK3" s="254"/>
      <c r="AL3" s="249"/>
      <c r="AM3" s="255"/>
      <c r="AN3" s="255"/>
      <c r="AO3" s="256">
        <f>COUNTIF($M$1:$M$990,"main event")</f>
        <v>65</v>
      </c>
      <c r="AP3" s="256">
        <f>COUNTIF($M$1:$M$990,"side event")</f>
        <v>491</v>
      </c>
      <c r="AQ3" s="256">
        <f>COUNTIF($M$1:$M$990,"sat")</f>
        <v>266</v>
      </c>
    </row>
    <row r="4" ht="34.5" customHeight="1" spans="1:43">
      <c r="A4" s="257" t="s">
        <v>12</v>
      </c>
      <c r="B4" s="258" t="s">
        <v>13</v>
      </c>
      <c r="C4" s="259" t="s">
        <v>14</v>
      </c>
      <c r="D4" s="259" t="s">
        <v>15</v>
      </c>
      <c r="E4" s="260" t="s">
        <v>16</v>
      </c>
      <c r="F4" s="261" t="s">
        <v>14</v>
      </c>
      <c r="G4" s="258" t="s">
        <v>17</v>
      </c>
      <c r="H4" s="262" t="s">
        <v>18</v>
      </c>
      <c r="I4" s="263" t="s">
        <v>19</v>
      </c>
      <c r="J4" s="264" t="s">
        <v>20</v>
      </c>
      <c r="K4" s="265"/>
      <c r="L4" s="264" t="s">
        <v>21</v>
      </c>
      <c r="M4" s="264" t="s">
        <v>22</v>
      </c>
      <c r="N4" s="266" t="s">
        <v>23</v>
      </c>
      <c r="O4" s="267" t="s">
        <v>24</v>
      </c>
      <c r="P4" s="267" t="s">
        <v>25</v>
      </c>
      <c r="Q4" s="264" t="s">
        <v>26</v>
      </c>
      <c r="R4" s="264" t="s">
        <v>27</v>
      </c>
      <c r="S4" s="268" t="s">
        <v>28</v>
      </c>
      <c r="T4" s="264" t="s">
        <v>29</v>
      </c>
      <c r="U4" s="266" t="s">
        <v>30</v>
      </c>
      <c r="V4" s="266" t="s">
        <v>31</v>
      </c>
      <c r="W4" s="269" t="s">
        <v>32</v>
      </c>
      <c r="X4" s="270" t="s">
        <v>33</v>
      </c>
      <c r="Y4" s="264" t="s">
        <v>34</v>
      </c>
      <c r="Z4" s="271" t="s">
        <v>35</v>
      </c>
      <c r="AA4" s="264" t="s">
        <v>36</v>
      </c>
      <c r="AB4" s="269" t="s">
        <v>37</v>
      </c>
      <c r="AC4" s="272" t="s">
        <v>38</v>
      </c>
      <c r="AD4" s="264" t="s">
        <v>39</v>
      </c>
      <c r="AE4" s="264" t="s">
        <v>40</v>
      </c>
      <c r="AF4" s="264" t="s">
        <v>41</v>
      </c>
      <c r="AG4" s="264" t="s">
        <v>42</v>
      </c>
      <c r="AH4" s="264" t="s">
        <v>43</v>
      </c>
      <c r="AI4" s="264" t="s">
        <v>44</v>
      </c>
      <c r="AJ4" s="264" t="s">
        <v>45</v>
      </c>
      <c r="AK4" s="264" t="s">
        <v>46</v>
      </c>
      <c r="AL4" s="273" t="s">
        <v>47</v>
      </c>
      <c r="AM4" s="273" t="s">
        <v>48</v>
      </c>
      <c r="AN4" s="273" t="s">
        <v>49</v>
      </c>
      <c r="AO4" s="274" t="s">
        <v>50</v>
      </c>
      <c r="AP4" s="275" t="s">
        <v>51</v>
      </c>
      <c r="AQ4" s="276" t="s">
        <v>52</v>
      </c>
    </row>
    <row r="5" ht="6.75" customHeight="1" spans="1:43">
      <c r="A5" s="15"/>
      <c r="B5" s="29"/>
      <c r="C5" s="22"/>
      <c r="D5" s="22"/>
      <c r="F5" s="29"/>
      <c r="G5" s="29"/>
      <c r="H5" s="277"/>
      <c r="I5" s="277"/>
      <c r="J5" s="278"/>
      <c r="K5" s="278"/>
      <c r="L5" s="278"/>
      <c r="M5" s="253"/>
      <c r="N5" s="273"/>
      <c r="O5" s="279"/>
      <c r="P5" s="279"/>
      <c r="Q5" s="279"/>
      <c r="R5" s="273"/>
      <c r="S5" s="273"/>
      <c r="T5" s="273"/>
      <c r="U5" s="273"/>
      <c r="V5" s="273"/>
      <c r="W5" s="273"/>
      <c r="X5" s="280"/>
      <c r="Y5" s="253"/>
      <c r="Z5" s="281"/>
      <c r="AA5" s="253"/>
      <c r="AB5" s="253"/>
      <c r="AC5" s="253"/>
      <c r="AD5" s="253"/>
      <c r="AE5" s="253"/>
      <c r="AF5" s="253"/>
      <c r="AG5" s="253"/>
      <c r="AH5" s="253"/>
      <c r="AI5" s="253"/>
      <c r="AJ5" s="253"/>
      <c r="AK5" s="282"/>
      <c r="AL5" s="273"/>
      <c r="AM5" s="283"/>
      <c r="AN5" s="283"/>
      <c r="AO5" s="276"/>
      <c r="AP5" s="275"/>
      <c r="AQ5" s="276"/>
    </row>
    <row r="6" ht="24" customHeight="1" spans="1:43">
      <c r="A6" s="284" t="s">
        <v>53</v>
      </c>
      <c r="C6" s="285">
        <v>0.0833333333333333</v>
      </c>
      <c r="D6" s="285">
        <v>0.166666666666667</v>
      </c>
      <c r="E6" s="285">
        <v>0.125</v>
      </c>
      <c r="F6" s="285">
        <v>0.0833333333333333</v>
      </c>
      <c r="G6" s="285">
        <v>0.0416666666666667</v>
      </c>
      <c r="H6" s="285">
        <v>0.25</v>
      </c>
      <c r="I6" s="285">
        <v>0.458333333333333</v>
      </c>
      <c r="J6" s="286" t="s">
        <v>53</v>
      </c>
      <c r="K6" s="287"/>
      <c r="L6" s="286" t="s">
        <v>53</v>
      </c>
      <c r="O6" s="286"/>
      <c r="Q6" s="286" t="s">
        <v>53</v>
      </c>
      <c r="V6" s="286" t="s">
        <v>53</v>
      </c>
      <c r="AB6" s="286" t="s">
        <v>53</v>
      </c>
      <c r="AE6" s="286" t="s">
        <v>53</v>
      </c>
      <c r="AF6" s="286"/>
      <c r="AG6" s="286"/>
      <c r="AH6" s="286"/>
      <c r="AI6" s="286"/>
      <c r="AJ6" s="286" t="s">
        <v>53</v>
      </c>
      <c r="AM6" s="288"/>
      <c r="AN6" s="288"/>
      <c r="AO6" s="286"/>
      <c r="AP6" s="289"/>
      <c r="AQ6" s="290"/>
    </row>
    <row r="7" ht="33" customHeight="1" outlineLevel="1" spans="1:43">
      <c r="A7" s="291" t="s">
        <v>53</v>
      </c>
      <c r="B7" s="292">
        <v>0.583344907407407</v>
      </c>
      <c r="C7" s="293" t="str">
        <f t="shared" ref="C7:G7" si="0">TEXT(IF($B7=0," ",$B7-C$6),"hh:mm am/pm")</f>
        <v>12:00 001/p1</v>
      </c>
      <c r="D7" s="293" t="str">
        <f t="shared" si="0"/>
        <v>10:00 001/p1</v>
      </c>
      <c r="E7" s="293" t="str">
        <f t="shared" si="0"/>
        <v>11:00 001/p1</v>
      </c>
      <c r="F7" s="293" t="str">
        <f t="shared" si="0"/>
        <v>12:00 001/p1</v>
      </c>
      <c r="G7" s="293" t="str">
        <f t="shared" si="0"/>
        <v>13:00 001/p1</v>
      </c>
      <c r="H7" s="293" t="str">
        <f t="shared" ref="H7:I7" si="1">TEXT(IF($B7=0," ",$B7+H$6),"hh:mm am/pm")</f>
        <v>20:00 001/p1</v>
      </c>
      <c r="I7" s="293" t="str">
        <f t="shared" si="1"/>
        <v>01:00 001/p1</v>
      </c>
      <c r="J7" s="294" t="s">
        <v>54</v>
      </c>
      <c r="K7" s="295"/>
      <c r="L7" s="296" t="s">
        <v>55</v>
      </c>
      <c r="M7" s="297" t="s">
        <v>56</v>
      </c>
      <c r="N7" s="298" t="s">
        <v>57</v>
      </c>
      <c r="O7" s="299" t="s">
        <v>58</v>
      </c>
      <c r="P7" s="300" t="s">
        <v>59</v>
      </c>
      <c r="Q7" s="301">
        <v>5000</v>
      </c>
      <c r="R7" s="302" t="s">
        <v>60</v>
      </c>
      <c r="S7" s="303"/>
      <c r="T7" s="304" t="s">
        <v>61</v>
      </c>
      <c r="U7" s="298" t="s">
        <v>62</v>
      </c>
      <c r="V7" s="298">
        <v>22</v>
      </c>
      <c r="W7" s="298">
        <v>22</v>
      </c>
      <c r="X7" s="305"/>
      <c r="Y7" s="306" t="s">
        <v>63</v>
      </c>
      <c r="Z7" s="303"/>
      <c r="AA7" s="307" t="s">
        <v>64</v>
      </c>
      <c r="AB7" s="307" t="s">
        <v>65</v>
      </c>
      <c r="AC7" s="308">
        <v>0.1</v>
      </c>
      <c r="AD7" s="308">
        <v>0.02</v>
      </c>
      <c r="AE7" s="307" t="s">
        <v>66</v>
      </c>
      <c r="AF7" s="309">
        <v>50000</v>
      </c>
      <c r="AG7" s="310">
        <v>12</v>
      </c>
      <c r="AH7" s="310">
        <v>10</v>
      </c>
      <c r="AI7" s="310">
        <v>10</v>
      </c>
      <c r="AJ7" s="304">
        <v>15</v>
      </c>
      <c r="AK7" s="311" t="s">
        <v>67</v>
      </c>
      <c r="AL7" s="312" t="s">
        <v>68</v>
      </c>
      <c r="AM7" s="313" t="s">
        <v>69</v>
      </c>
      <c r="AN7" s="313" t="s">
        <v>70</v>
      </c>
      <c r="AO7" s="314">
        <f t="shared" ref="AO7:AO77" si="2">IF(B7=0," ",TIME(,ROUNDDOWN(AG7*AJ7/60,0)*5+(AG7*AJ7),)+B7)</f>
        <v>0.718761574074074</v>
      </c>
      <c r="AP7" s="315">
        <f t="shared" ref="AP7:AP77" si="3">IF(Q7=0,,ROUNDUP(Q7/(V7*(1-AC7-AD7)),0))</f>
        <v>259</v>
      </c>
      <c r="AQ7" s="316" t="str">
        <f t="shared" ref="AQ7:AQ77" si="4">IFERROR(IF(V7=0," ",IF(V7&lt;=5,"MICRO",IF(V7&lt;=19.8,"LOW",IF(V7&lt;=99.8,"MEDIUM",IF(V7&lt;=500,"HIGH",IF(V7&gt;500,"SUPER HIGH",)))))),"")</f>
        <v>MEDIUM</v>
      </c>
    </row>
    <row r="8" ht="29.25" customHeight="1" outlineLevel="1" spans="1:43">
      <c r="A8" s="291" t="s">
        <v>71</v>
      </c>
      <c r="B8" s="317">
        <v>0.625011574074074</v>
      </c>
      <c r="C8" s="293" t="str">
        <f t="shared" ref="C8:G8" si="5">TEXT(IF($B8=0," ",$B8-C$6),"hh:mm am/pm")</f>
        <v>13:00 001/p1</v>
      </c>
      <c r="D8" s="293" t="str">
        <f t="shared" si="5"/>
        <v>11:00 001/p1</v>
      </c>
      <c r="E8" s="293" t="str">
        <f t="shared" si="5"/>
        <v>12:00 001/p1</v>
      </c>
      <c r="F8" s="293" t="str">
        <f t="shared" si="5"/>
        <v>13:00 001/p1</v>
      </c>
      <c r="G8" s="293" t="str">
        <f t="shared" si="5"/>
        <v>14:00 001/p1</v>
      </c>
      <c r="H8" s="293" t="str">
        <f t="shared" ref="H8:I8" si="6">TEXT(IF($B8=0," ",$B8+H$6),"hh:mm am/pm")</f>
        <v>21:00 001/p1</v>
      </c>
      <c r="I8" s="293" t="str">
        <f t="shared" si="6"/>
        <v>02:00 001/p1</v>
      </c>
      <c r="J8" s="318" t="s">
        <v>72</v>
      </c>
      <c r="K8" s="295"/>
      <c r="L8" s="319" t="s">
        <v>73</v>
      </c>
      <c r="M8" s="320" t="s">
        <v>56</v>
      </c>
      <c r="N8" s="321" t="s">
        <v>57</v>
      </c>
      <c r="O8" s="322" t="s">
        <v>74</v>
      </c>
      <c r="P8" s="323" t="s">
        <v>75</v>
      </c>
      <c r="Q8" s="324">
        <v>5200</v>
      </c>
      <c r="R8" s="325" t="s">
        <v>76</v>
      </c>
      <c r="S8" s="326"/>
      <c r="T8" s="327" t="s">
        <v>77</v>
      </c>
      <c r="U8" s="321" t="s">
        <v>78</v>
      </c>
      <c r="V8" s="321">
        <v>11</v>
      </c>
      <c r="W8" s="321">
        <v>11</v>
      </c>
      <c r="X8" s="328"/>
      <c r="Y8" s="329" t="s">
        <v>79</v>
      </c>
      <c r="Z8" s="321">
        <v>11</v>
      </c>
      <c r="AA8" s="330">
        <v>120000</v>
      </c>
      <c r="AB8" s="330" t="s">
        <v>65</v>
      </c>
      <c r="AC8" s="331">
        <v>0.1</v>
      </c>
      <c r="AD8" s="331">
        <v>0.02</v>
      </c>
      <c r="AE8" s="330" t="s">
        <v>66</v>
      </c>
      <c r="AF8" s="332">
        <v>40000</v>
      </c>
      <c r="AG8" s="333">
        <v>10</v>
      </c>
      <c r="AH8" s="333">
        <v>10</v>
      </c>
      <c r="AI8" s="333">
        <v>10</v>
      </c>
      <c r="AJ8" s="327">
        <v>15</v>
      </c>
      <c r="AK8" s="334" t="s">
        <v>67</v>
      </c>
      <c r="AL8" s="335" t="s">
        <v>68</v>
      </c>
      <c r="AM8" s="336" t="s">
        <v>69</v>
      </c>
      <c r="AN8" s="336" t="s">
        <v>70</v>
      </c>
      <c r="AO8" s="314">
        <f t="shared" si="2"/>
        <v>0.736122685185185</v>
      </c>
      <c r="AP8" s="315">
        <f t="shared" si="3"/>
        <v>538</v>
      </c>
      <c r="AQ8" s="316" t="str">
        <f t="shared" si="4"/>
        <v>LOW</v>
      </c>
    </row>
    <row r="9" ht="29.25" customHeight="1" outlineLevel="1" spans="1:43">
      <c r="A9" s="291">
        <f>COUNTIF(M7:M77,"Side event")</f>
        <v>60</v>
      </c>
      <c r="B9" s="317">
        <v>0.666678240740741</v>
      </c>
      <c r="C9" s="293" t="str">
        <f t="shared" ref="C9:G9" si="7">TEXT(IF($B9=0," ",$B9-C$6),"hh:mm am/pm")</f>
        <v>14:00 001/p1</v>
      </c>
      <c r="D9" s="293" t="str">
        <f t="shared" si="7"/>
        <v>12:00 001/p1</v>
      </c>
      <c r="E9" s="293" t="str">
        <f t="shared" si="7"/>
        <v>13:00 001/p1</v>
      </c>
      <c r="F9" s="293" t="str">
        <f t="shared" si="7"/>
        <v>14:00 001/p1</v>
      </c>
      <c r="G9" s="293" t="str">
        <f t="shared" si="7"/>
        <v>15:00 001/p1</v>
      </c>
      <c r="H9" s="293" t="str">
        <f t="shared" ref="H9:I9" si="8">TEXT(IF($B9=0," ",$B9+H$6),"hh:mm am/pm")</f>
        <v>22:00 001/p1</v>
      </c>
      <c r="I9" s="293" t="str">
        <f t="shared" si="8"/>
        <v>03:00 001/p1</v>
      </c>
      <c r="J9" s="294" t="s">
        <v>80</v>
      </c>
      <c r="K9" s="295"/>
      <c r="L9" s="337" t="s">
        <v>81</v>
      </c>
      <c r="M9" s="338" t="s">
        <v>56</v>
      </c>
      <c r="N9" s="339" t="s">
        <v>57</v>
      </c>
      <c r="O9" s="340" t="s">
        <v>82</v>
      </c>
      <c r="P9" s="341" t="s">
        <v>59</v>
      </c>
      <c r="Q9" s="342">
        <v>4000</v>
      </c>
      <c r="R9" s="343" t="s">
        <v>60</v>
      </c>
      <c r="S9" s="344"/>
      <c r="T9" s="345" t="s">
        <v>61</v>
      </c>
      <c r="U9" s="339" t="s">
        <v>62</v>
      </c>
      <c r="V9" s="339">
        <v>16</v>
      </c>
      <c r="W9" s="339">
        <v>16</v>
      </c>
      <c r="X9" s="346">
        <v>60000</v>
      </c>
      <c r="Y9" s="347" t="s">
        <v>63</v>
      </c>
      <c r="Z9" s="344"/>
      <c r="AA9" s="348" t="s">
        <v>64</v>
      </c>
      <c r="AB9" s="348" t="s">
        <v>65</v>
      </c>
      <c r="AC9" s="349">
        <v>0.1</v>
      </c>
      <c r="AD9" s="349">
        <v>0.02</v>
      </c>
      <c r="AE9" s="348" t="s">
        <v>66</v>
      </c>
      <c r="AF9" s="346">
        <v>50000</v>
      </c>
      <c r="AG9" s="350">
        <v>12</v>
      </c>
      <c r="AH9" s="350">
        <v>10</v>
      </c>
      <c r="AI9" s="350">
        <v>10</v>
      </c>
      <c r="AJ9" s="345">
        <v>15</v>
      </c>
      <c r="AK9" s="351" t="s">
        <v>67</v>
      </c>
      <c r="AL9" s="352" t="s">
        <v>68</v>
      </c>
      <c r="AM9" s="353" t="s">
        <v>69</v>
      </c>
      <c r="AN9" s="353" t="s">
        <v>70</v>
      </c>
      <c r="AO9" s="314">
        <f t="shared" si="2"/>
        <v>0.802094907407407</v>
      </c>
      <c r="AP9" s="315">
        <f t="shared" si="3"/>
        <v>285</v>
      </c>
      <c r="AQ9" s="316" t="str">
        <f t="shared" si="4"/>
        <v>LOW</v>
      </c>
    </row>
    <row r="10" ht="29.25" customHeight="1" outlineLevel="1" spans="1:43">
      <c r="A10" s="291" t="s">
        <v>56</v>
      </c>
      <c r="B10" s="317">
        <v>0.750011574074074</v>
      </c>
      <c r="C10" s="293" t="str">
        <f t="shared" ref="C10:G10" si="9">TEXT(IF($B10=0," ",$B10-C$6),"hh:mm am/pm")</f>
        <v>16:00 001/p1</v>
      </c>
      <c r="D10" s="293" t="str">
        <f t="shared" si="9"/>
        <v>14:00 001/p1</v>
      </c>
      <c r="E10" s="293" t="str">
        <f t="shared" si="9"/>
        <v>15:00 001/p1</v>
      </c>
      <c r="F10" s="293" t="str">
        <f t="shared" si="9"/>
        <v>16:00 001/p1</v>
      </c>
      <c r="G10" s="293" t="str">
        <f t="shared" si="9"/>
        <v>17:00 001/p1</v>
      </c>
      <c r="H10" s="293" t="str">
        <f t="shared" ref="H10:I10" si="10">TEXT(IF($B10=0," ",$B10+H$6),"hh:mm am/pm")</f>
        <v>00:00 001/p1</v>
      </c>
      <c r="I10" s="293" t="str">
        <f t="shared" si="10"/>
        <v>05:00 001/p1</v>
      </c>
      <c r="J10" s="318" t="s">
        <v>83</v>
      </c>
      <c r="K10" s="295"/>
      <c r="L10" s="319" t="s">
        <v>84</v>
      </c>
      <c r="M10" s="320" t="s">
        <v>56</v>
      </c>
      <c r="N10" s="321" t="s">
        <v>57</v>
      </c>
      <c r="O10" s="322" t="s">
        <v>74</v>
      </c>
      <c r="P10" s="323" t="s">
        <v>59</v>
      </c>
      <c r="Q10" s="324">
        <v>15200</v>
      </c>
      <c r="R10" s="325" t="s">
        <v>76</v>
      </c>
      <c r="S10" s="326"/>
      <c r="T10" s="327" t="s">
        <v>77</v>
      </c>
      <c r="U10" s="321" t="s">
        <v>78</v>
      </c>
      <c r="V10" s="321">
        <v>15</v>
      </c>
      <c r="W10" s="321">
        <v>15</v>
      </c>
      <c r="X10" s="328"/>
      <c r="Y10" s="329" t="s">
        <v>79</v>
      </c>
      <c r="Z10" s="321">
        <v>15</v>
      </c>
      <c r="AA10" s="330">
        <v>120000</v>
      </c>
      <c r="AB10" s="330" t="s">
        <v>65</v>
      </c>
      <c r="AC10" s="331">
        <v>0.1</v>
      </c>
      <c r="AD10" s="331">
        <v>0.02</v>
      </c>
      <c r="AE10" s="330" t="s">
        <v>66</v>
      </c>
      <c r="AF10" s="332">
        <v>40000</v>
      </c>
      <c r="AG10" s="333">
        <v>12</v>
      </c>
      <c r="AH10" s="333">
        <v>10</v>
      </c>
      <c r="AI10" s="333">
        <v>10</v>
      </c>
      <c r="AJ10" s="327">
        <v>15</v>
      </c>
      <c r="AK10" s="334" t="s">
        <v>67</v>
      </c>
      <c r="AL10" s="335" t="s">
        <v>68</v>
      </c>
      <c r="AM10" s="336" t="s">
        <v>69</v>
      </c>
      <c r="AN10" s="336" t="s">
        <v>70</v>
      </c>
      <c r="AO10" s="314">
        <f t="shared" si="2"/>
        <v>0.885428240740741</v>
      </c>
      <c r="AP10" s="315">
        <f t="shared" si="3"/>
        <v>1152</v>
      </c>
      <c r="AQ10" s="316" t="str">
        <f t="shared" si="4"/>
        <v>LOW</v>
      </c>
    </row>
    <row r="11" ht="29.25" customHeight="1" outlineLevel="1" spans="1:43">
      <c r="A11" s="291">
        <f>COUNTIF(M7:M77,"Main Event")</f>
        <v>10</v>
      </c>
      <c r="B11" s="317">
        <v>0.750011574074074</v>
      </c>
      <c r="C11" s="293" t="str">
        <f t="shared" ref="C11:G11" si="11">TEXT(IF($B11=0," ",$B11-C$6),"hh:mm am/pm")</f>
        <v>16:00 001/p1</v>
      </c>
      <c r="D11" s="293" t="str">
        <f t="shared" si="11"/>
        <v>14:00 001/p1</v>
      </c>
      <c r="E11" s="293" t="str">
        <f t="shared" si="11"/>
        <v>15:00 001/p1</v>
      </c>
      <c r="F11" s="293" t="str">
        <f t="shared" si="11"/>
        <v>16:00 001/p1</v>
      </c>
      <c r="G11" s="293" t="str">
        <f t="shared" si="11"/>
        <v>17:00 001/p1</v>
      </c>
      <c r="H11" s="293" t="str">
        <f t="shared" ref="H11:I11" si="12">TEXT(IF($B11=0," ",$B11+H$6),"hh:mm am/pm")</f>
        <v>00:00 001/p1</v>
      </c>
      <c r="I11" s="293" t="str">
        <f t="shared" si="12"/>
        <v>05:00 001/p1</v>
      </c>
      <c r="J11" s="294" t="s">
        <v>85</v>
      </c>
      <c r="K11" s="295"/>
      <c r="L11" s="337" t="s">
        <v>86</v>
      </c>
      <c r="M11" s="338" t="s">
        <v>56</v>
      </c>
      <c r="N11" s="339" t="s">
        <v>57</v>
      </c>
      <c r="O11" s="340" t="s">
        <v>74</v>
      </c>
      <c r="P11" s="341" t="s">
        <v>59</v>
      </c>
      <c r="Q11" s="342">
        <v>21700</v>
      </c>
      <c r="R11" s="343" t="s">
        <v>87</v>
      </c>
      <c r="S11" s="344"/>
      <c r="T11" s="345" t="s">
        <v>77</v>
      </c>
      <c r="U11" s="339" t="s">
        <v>78</v>
      </c>
      <c r="V11" s="339">
        <v>5</v>
      </c>
      <c r="W11" s="339">
        <v>5</v>
      </c>
      <c r="X11" s="354"/>
      <c r="Y11" s="347" t="s">
        <v>79</v>
      </c>
      <c r="Z11" s="339">
        <v>6</v>
      </c>
      <c r="AA11" s="348">
        <v>250000</v>
      </c>
      <c r="AB11" s="348" t="s">
        <v>65</v>
      </c>
      <c r="AC11" s="349">
        <v>0.1</v>
      </c>
      <c r="AD11" s="349">
        <v>0.02</v>
      </c>
      <c r="AE11" s="348" t="s">
        <v>88</v>
      </c>
      <c r="AF11" s="346">
        <v>50000</v>
      </c>
      <c r="AG11" s="350">
        <v>10</v>
      </c>
      <c r="AH11" s="350">
        <v>8</v>
      </c>
      <c r="AI11" s="350">
        <v>10</v>
      </c>
      <c r="AJ11" s="345">
        <v>15</v>
      </c>
      <c r="AK11" s="351" t="s">
        <v>67</v>
      </c>
      <c r="AL11" s="352" t="s">
        <v>68</v>
      </c>
      <c r="AM11" s="353" t="s">
        <v>69</v>
      </c>
      <c r="AN11" s="353" t="s">
        <v>70</v>
      </c>
      <c r="AO11" s="314">
        <f t="shared" si="2"/>
        <v>0.861122685185185</v>
      </c>
      <c r="AP11" s="315">
        <f t="shared" si="3"/>
        <v>4932</v>
      </c>
      <c r="AQ11" s="316" t="str">
        <f t="shared" si="4"/>
        <v>MICRO</v>
      </c>
    </row>
    <row r="12" ht="29.25" customHeight="1" outlineLevel="1" spans="1:43">
      <c r="A12" s="291" t="s">
        <v>89</v>
      </c>
      <c r="B12" s="317">
        <v>0.770844907407407</v>
      </c>
      <c r="C12" s="293" t="str">
        <f t="shared" ref="C12:G12" si="13">TEXT(IF($B12=0," ",$B12-C$6),"hh:mm am/pm")</f>
        <v>16:30 001/p1</v>
      </c>
      <c r="D12" s="293" t="str">
        <f t="shared" si="13"/>
        <v>14:30 001/p1</v>
      </c>
      <c r="E12" s="293" t="str">
        <f t="shared" si="13"/>
        <v>15:30 001/p1</v>
      </c>
      <c r="F12" s="293" t="str">
        <f t="shared" si="13"/>
        <v>16:30 001/p1</v>
      </c>
      <c r="G12" s="293" t="str">
        <f t="shared" si="13"/>
        <v>17:30 001/p1</v>
      </c>
      <c r="H12" s="293" t="str">
        <f t="shared" ref="H12:I12" si="14">TEXT(IF($B12=0," ",$B12+H$6),"hh:mm am/pm")</f>
        <v>00:30 001/p1</v>
      </c>
      <c r="I12" s="293" t="str">
        <f t="shared" si="14"/>
        <v>05:30 001/p1</v>
      </c>
      <c r="J12" s="318" t="s">
        <v>90</v>
      </c>
      <c r="K12" s="295"/>
      <c r="L12" s="319" t="s">
        <v>91</v>
      </c>
      <c r="M12" s="320" t="s">
        <v>56</v>
      </c>
      <c r="N12" s="321" t="s">
        <v>57</v>
      </c>
      <c r="O12" s="322" t="s">
        <v>82</v>
      </c>
      <c r="P12" s="323" t="s">
        <v>59</v>
      </c>
      <c r="Q12" s="324">
        <v>20200</v>
      </c>
      <c r="R12" s="325" t="s">
        <v>76</v>
      </c>
      <c r="S12" s="326"/>
      <c r="T12" s="327" t="s">
        <v>92</v>
      </c>
      <c r="U12" s="321" t="s">
        <v>62</v>
      </c>
      <c r="V12" s="321">
        <v>15</v>
      </c>
      <c r="W12" s="321">
        <v>15</v>
      </c>
      <c r="X12" s="355"/>
      <c r="Y12" s="329" t="s">
        <v>63</v>
      </c>
      <c r="Z12" s="326"/>
      <c r="AA12" s="356" t="s">
        <v>64</v>
      </c>
      <c r="AB12" s="356" t="s">
        <v>65</v>
      </c>
      <c r="AC12" s="357">
        <v>0.1</v>
      </c>
      <c r="AD12" s="357">
        <v>0.02</v>
      </c>
      <c r="AE12" s="356" t="s">
        <v>88</v>
      </c>
      <c r="AF12" s="358">
        <v>80000</v>
      </c>
      <c r="AG12" s="359">
        <v>12</v>
      </c>
      <c r="AH12" s="359">
        <v>10</v>
      </c>
      <c r="AI12" s="359">
        <v>10</v>
      </c>
      <c r="AJ12" s="360">
        <v>15</v>
      </c>
      <c r="AK12" s="334" t="s">
        <v>67</v>
      </c>
      <c r="AL12" s="335" t="s">
        <v>68</v>
      </c>
      <c r="AM12" s="336" t="s">
        <v>69</v>
      </c>
      <c r="AN12" s="336" t="s">
        <v>70</v>
      </c>
      <c r="AO12" s="314">
        <f t="shared" si="2"/>
        <v>0.906261574074074</v>
      </c>
      <c r="AP12" s="315">
        <f t="shared" si="3"/>
        <v>1531</v>
      </c>
      <c r="AQ12" s="316" t="str">
        <f t="shared" si="4"/>
        <v>LOW</v>
      </c>
    </row>
    <row r="13" ht="29.25" customHeight="1" outlineLevel="1" spans="1:43">
      <c r="A13" s="361">
        <f>SUM(Q7:Q77,Q79:Q125)</f>
        <v>251295</v>
      </c>
      <c r="B13" s="317">
        <v>0.791678240740741</v>
      </c>
      <c r="C13" s="293" t="str">
        <f t="shared" ref="C13:G13" si="15">TEXT(IF($B13=0," ",$B13-C$6),"hh:mm am/pm")</f>
        <v>17:00 001/p1</v>
      </c>
      <c r="D13" s="293" t="str">
        <f t="shared" si="15"/>
        <v>15:00 001/p1</v>
      </c>
      <c r="E13" s="293" t="str">
        <f t="shared" si="15"/>
        <v>16:00 001/p1</v>
      </c>
      <c r="F13" s="293" t="str">
        <f t="shared" si="15"/>
        <v>17:00 001/p1</v>
      </c>
      <c r="G13" s="293" t="str">
        <f t="shared" si="15"/>
        <v>18:00 001/p1</v>
      </c>
      <c r="H13" s="293" t="str">
        <f t="shared" ref="H13:I13" si="16">TEXT(IF($B13=0," ",$B13+H$6),"hh:mm am/pm")</f>
        <v>01:00 001/p1</v>
      </c>
      <c r="I13" s="293" t="str">
        <f t="shared" si="16"/>
        <v>06:00 001/p1</v>
      </c>
      <c r="J13" s="294" t="s">
        <v>93</v>
      </c>
      <c r="K13" s="295"/>
      <c r="L13" s="337" t="s">
        <v>94</v>
      </c>
      <c r="M13" s="338" t="s">
        <v>56</v>
      </c>
      <c r="N13" s="339" t="s">
        <v>57</v>
      </c>
      <c r="O13" s="340" t="s">
        <v>82</v>
      </c>
      <c r="P13" s="341" t="s">
        <v>59</v>
      </c>
      <c r="Q13" s="342">
        <v>60000</v>
      </c>
      <c r="R13" s="343" t="s">
        <v>60</v>
      </c>
      <c r="S13" s="344"/>
      <c r="T13" s="345" t="s">
        <v>92</v>
      </c>
      <c r="U13" s="339" t="s">
        <v>62</v>
      </c>
      <c r="V13" s="339">
        <v>150</v>
      </c>
      <c r="W13" s="339">
        <v>150</v>
      </c>
      <c r="X13" s="346">
        <v>60000</v>
      </c>
      <c r="Y13" s="347" t="s">
        <v>63</v>
      </c>
      <c r="Z13" s="344"/>
      <c r="AA13" s="348" t="s">
        <v>64</v>
      </c>
      <c r="AB13" s="348" t="s">
        <v>65</v>
      </c>
      <c r="AC13" s="349">
        <v>0.1</v>
      </c>
      <c r="AD13" s="349">
        <v>0.02</v>
      </c>
      <c r="AE13" s="348" t="s">
        <v>66</v>
      </c>
      <c r="AF13" s="346">
        <v>50000</v>
      </c>
      <c r="AG13" s="350">
        <v>15</v>
      </c>
      <c r="AH13" s="350">
        <v>12</v>
      </c>
      <c r="AI13" s="350">
        <v>12</v>
      </c>
      <c r="AJ13" s="345">
        <v>14</v>
      </c>
      <c r="AK13" s="351" t="s">
        <v>67</v>
      </c>
      <c r="AL13" s="352" t="s">
        <v>68</v>
      </c>
      <c r="AM13" s="353" t="s">
        <v>69</v>
      </c>
      <c r="AN13" s="353" t="s">
        <v>70</v>
      </c>
      <c r="AO13" s="314">
        <f t="shared" si="2"/>
        <v>0.947928240740741</v>
      </c>
      <c r="AP13" s="315">
        <f t="shared" si="3"/>
        <v>455</v>
      </c>
      <c r="AQ13" s="316" t="str">
        <f t="shared" si="4"/>
        <v>HIGH</v>
      </c>
    </row>
    <row r="14" ht="29.25" customHeight="1" outlineLevel="1" spans="1:43">
      <c r="A14" s="362"/>
      <c r="B14" s="317">
        <v>0.791678240740741</v>
      </c>
      <c r="C14" s="293" t="str">
        <f t="shared" ref="C14:G14" si="17">TEXT(IF($B14=0," ",$B14-C$6),"hh:mm am/pm")</f>
        <v>17:00 001/p1</v>
      </c>
      <c r="D14" s="293" t="str">
        <f t="shared" si="17"/>
        <v>15:00 001/p1</v>
      </c>
      <c r="E14" s="293" t="str">
        <f t="shared" si="17"/>
        <v>16:00 001/p1</v>
      </c>
      <c r="F14" s="293" t="str">
        <f t="shared" si="17"/>
        <v>17:00 001/p1</v>
      </c>
      <c r="G14" s="293" t="str">
        <f t="shared" si="17"/>
        <v>18:00 001/p1</v>
      </c>
      <c r="H14" s="293" t="str">
        <f t="shared" ref="H14:I14" si="18">TEXT(IF($B14=0," ",$B14+H$6),"hh:mm am/pm")</f>
        <v>01:00 001/p1</v>
      </c>
      <c r="I14" s="293" t="str">
        <f t="shared" si="18"/>
        <v>06:00 001/p1</v>
      </c>
      <c r="J14" s="318" t="s">
        <v>95</v>
      </c>
      <c r="K14" s="295"/>
      <c r="L14" s="319" t="s">
        <v>96</v>
      </c>
      <c r="M14" s="320" t="s">
        <v>56</v>
      </c>
      <c r="N14" s="321" t="s">
        <v>57</v>
      </c>
      <c r="O14" s="322" t="s">
        <v>82</v>
      </c>
      <c r="P14" s="323" t="s">
        <v>59</v>
      </c>
      <c r="Q14" s="324">
        <v>30300</v>
      </c>
      <c r="R14" s="325" t="s">
        <v>97</v>
      </c>
      <c r="S14" s="326"/>
      <c r="T14" s="327" t="s">
        <v>92</v>
      </c>
      <c r="U14" s="321" t="s">
        <v>62</v>
      </c>
      <c r="V14" s="321">
        <v>50</v>
      </c>
      <c r="W14" s="321">
        <v>50</v>
      </c>
      <c r="X14" s="332">
        <v>60000</v>
      </c>
      <c r="Y14" s="329" t="s">
        <v>63</v>
      </c>
      <c r="Z14" s="326"/>
      <c r="AA14" s="330" t="s">
        <v>64</v>
      </c>
      <c r="AB14" s="330" t="s">
        <v>65</v>
      </c>
      <c r="AC14" s="331">
        <v>0.1</v>
      </c>
      <c r="AD14" s="331">
        <v>0.02</v>
      </c>
      <c r="AE14" s="330" t="s">
        <v>66</v>
      </c>
      <c r="AF14" s="332">
        <v>50000</v>
      </c>
      <c r="AG14" s="333">
        <v>12</v>
      </c>
      <c r="AH14" s="333">
        <v>12</v>
      </c>
      <c r="AI14" s="333">
        <v>12</v>
      </c>
      <c r="AJ14" s="327">
        <v>15</v>
      </c>
      <c r="AK14" s="334" t="s">
        <v>67</v>
      </c>
      <c r="AL14" s="335" t="s">
        <v>68</v>
      </c>
      <c r="AM14" s="336" t="s">
        <v>69</v>
      </c>
      <c r="AN14" s="336" t="s">
        <v>70</v>
      </c>
      <c r="AO14" s="314">
        <f t="shared" si="2"/>
        <v>0.927094907407407</v>
      </c>
      <c r="AP14" s="315">
        <f t="shared" si="3"/>
        <v>689</v>
      </c>
      <c r="AQ14" s="316" t="str">
        <f t="shared" si="4"/>
        <v>MEDIUM</v>
      </c>
    </row>
    <row r="15" ht="29.25" customHeight="1" outlineLevel="1" spans="1:43">
      <c r="A15" s="363" t="s">
        <v>53</v>
      </c>
      <c r="B15" s="317">
        <v>0.833344907407407</v>
      </c>
      <c r="C15" s="293" t="str">
        <f t="shared" ref="C15:G15" si="19">TEXT(IF($B15=0," ",$B15-C$6),"hh:mm am/pm")</f>
        <v>18:00 001/p1</v>
      </c>
      <c r="D15" s="293" t="str">
        <f t="shared" si="19"/>
        <v>16:00 001/p1</v>
      </c>
      <c r="E15" s="293" t="str">
        <f t="shared" si="19"/>
        <v>17:00 001/p1</v>
      </c>
      <c r="F15" s="293" t="str">
        <f t="shared" si="19"/>
        <v>18:00 001/p1</v>
      </c>
      <c r="G15" s="293" t="str">
        <f t="shared" si="19"/>
        <v>19:00 001/p1</v>
      </c>
      <c r="H15" s="293" t="str">
        <f t="shared" ref="H15:I15" si="20">TEXT(IF($B15=0," ",$B15+H$6),"hh:mm am/pm")</f>
        <v>02:00 001/p1</v>
      </c>
      <c r="I15" s="293" t="str">
        <f t="shared" si="20"/>
        <v>07:00 001/p1</v>
      </c>
      <c r="J15" s="294" t="s">
        <v>98</v>
      </c>
      <c r="K15" s="295"/>
      <c r="L15" s="337" t="s">
        <v>99</v>
      </c>
      <c r="M15" s="338" t="s">
        <v>56</v>
      </c>
      <c r="N15" s="339" t="s">
        <v>100</v>
      </c>
      <c r="O15" s="340" t="s">
        <v>82</v>
      </c>
      <c r="P15" s="341" t="s">
        <v>101</v>
      </c>
      <c r="Q15" s="342">
        <v>12000</v>
      </c>
      <c r="R15" s="343" t="s">
        <v>60</v>
      </c>
      <c r="S15" s="344"/>
      <c r="T15" s="345" t="s">
        <v>92</v>
      </c>
      <c r="U15" s="339" t="s">
        <v>78</v>
      </c>
      <c r="V15" s="339">
        <v>110</v>
      </c>
      <c r="W15" s="339">
        <v>110</v>
      </c>
      <c r="X15" s="346">
        <v>60000</v>
      </c>
      <c r="Y15" s="347" t="s">
        <v>63</v>
      </c>
      <c r="Z15" s="344"/>
      <c r="AA15" s="348" t="s">
        <v>64</v>
      </c>
      <c r="AB15" s="348" t="s">
        <v>65</v>
      </c>
      <c r="AC15" s="349">
        <v>0.1</v>
      </c>
      <c r="AD15" s="349">
        <v>0.02</v>
      </c>
      <c r="AE15" s="345" t="s">
        <v>66</v>
      </c>
      <c r="AF15" s="346">
        <v>50000</v>
      </c>
      <c r="AG15" s="350">
        <v>12</v>
      </c>
      <c r="AH15" s="350">
        <v>12</v>
      </c>
      <c r="AI15" s="350">
        <v>12</v>
      </c>
      <c r="AJ15" s="345">
        <v>15</v>
      </c>
      <c r="AK15" s="351" t="s">
        <v>67</v>
      </c>
      <c r="AL15" s="352" t="s">
        <v>68</v>
      </c>
      <c r="AM15" s="353" t="s">
        <v>69</v>
      </c>
      <c r="AN15" s="353" t="s">
        <v>70</v>
      </c>
      <c r="AO15" s="314">
        <f t="shared" si="2"/>
        <v>0.968761574074074</v>
      </c>
      <c r="AP15" s="315">
        <f t="shared" si="3"/>
        <v>124</v>
      </c>
      <c r="AQ15" s="316" t="str">
        <f t="shared" si="4"/>
        <v>HIGH</v>
      </c>
    </row>
    <row r="16" ht="29.25" customHeight="1" outlineLevel="1" spans="1:43">
      <c r="B16" s="364">
        <v>0.833344907407407</v>
      </c>
      <c r="C16" s="293" t="str">
        <f t="shared" ref="C16:G16" si="21">TEXT(IF($B16=0," ",$B16-C$6),"hh:mm am/pm")</f>
        <v>18:00 001/p1</v>
      </c>
      <c r="D16" s="293" t="str">
        <f t="shared" si="21"/>
        <v>16:00 001/p1</v>
      </c>
      <c r="E16" s="293" t="str">
        <f t="shared" si="21"/>
        <v>17:00 001/p1</v>
      </c>
      <c r="F16" s="293" t="str">
        <f t="shared" si="21"/>
        <v>18:00 001/p1</v>
      </c>
      <c r="G16" s="293" t="str">
        <f t="shared" si="21"/>
        <v>19:00 001/p1</v>
      </c>
      <c r="H16" s="293" t="str">
        <f t="shared" ref="H16:I16" si="22">TEXT(IF($B16=0," ",$B16+H$6),"hh:mm am/pm")</f>
        <v>02:00 001/p1</v>
      </c>
      <c r="I16" s="293" t="str">
        <f t="shared" si="22"/>
        <v>07:00 001/p1</v>
      </c>
      <c r="J16" s="318" t="s">
        <v>102</v>
      </c>
      <c r="K16" s="295"/>
      <c r="L16" s="319" t="s">
        <v>103</v>
      </c>
      <c r="M16" s="320" t="s">
        <v>56</v>
      </c>
      <c r="N16" s="321" t="s">
        <v>57</v>
      </c>
      <c r="O16" s="322" t="s">
        <v>104</v>
      </c>
      <c r="P16" s="323" t="s">
        <v>59</v>
      </c>
      <c r="Q16" s="324">
        <v>10200</v>
      </c>
      <c r="R16" s="325" t="s">
        <v>76</v>
      </c>
      <c r="S16" s="326"/>
      <c r="T16" s="327" t="s">
        <v>61</v>
      </c>
      <c r="U16" s="321" t="s">
        <v>62</v>
      </c>
      <c r="V16" s="321">
        <v>22</v>
      </c>
      <c r="W16" s="321">
        <v>22</v>
      </c>
      <c r="X16" s="328"/>
      <c r="Y16" s="329" t="s">
        <v>63</v>
      </c>
      <c r="Z16" s="326"/>
      <c r="AA16" s="330" t="s">
        <v>64</v>
      </c>
      <c r="AB16" s="330" t="s">
        <v>65</v>
      </c>
      <c r="AC16" s="331">
        <v>0.1</v>
      </c>
      <c r="AD16" s="331">
        <v>0.02</v>
      </c>
      <c r="AE16" s="330" t="s">
        <v>88</v>
      </c>
      <c r="AF16" s="332">
        <v>60000</v>
      </c>
      <c r="AG16" s="333">
        <v>10</v>
      </c>
      <c r="AH16" s="333">
        <v>10</v>
      </c>
      <c r="AI16" s="333">
        <v>10</v>
      </c>
      <c r="AJ16" s="327">
        <v>14</v>
      </c>
      <c r="AK16" s="334" t="s">
        <v>67</v>
      </c>
      <c r="AL16" s="335" t="s">
        <v>68</v>
      </c>
      <c r="AM16" s="336" t="s">
        <v>69</v>
      </c>
      <c r="AN16" s="336" t="s">
        <v>70</v>
      </c>
      <c r="AO16" s="314">
        <f t="shared" si="2"/>
        <v>0.937511574074074</v>
      </c>
      <c r="AP16" s="315">
        <f t="shared" si="3"/>
        <v>527</v>
      </c>
      <c r="AQ16" s="316" t="str">
        <f t="shared" si="4"/>
        <v>MEDIUM</v>
      </c>
    </row>
    <row r="17" ht="29.25" customHeight="1" outlineLevel="1" spans="1:43">
      <c r="B17" s="365"/>
      <c r="C17" s="293" t="str">
        <f t="shared" ref="C17:G17" si="23">TEXT(IF($B17=0," ",$B17-C$6),"hh:mm am/pm")</f>
        <v> </v>
      </c>
      <c r="D17" s="293" t="str">
        <f t="shared" si="23"/>
        <v> </v>
      </c>
      <c r="E17" s="293" t="str">
        <f t="shared" si="23"/>
        <v> </v>
      </c>
      <c r="F17" s="293" t="str">
        <f t="shared" si="23"/>
        <v> </v>
      </c>
      <c r="G17" s="293" t="str">
        <f t="shared" si="23"/>
        <v> </v>
      </c>
      <c r="H17" s="293" t="str">
        <f t="shared" ref="H17:I17" si="24">TEXT(IF($B17=0," ",$B17+H$6),"hh:mm am/pm")</f>
        <v> </v>
      </c>
      <c r="I17" s="293" t="str">
        <f t="shared" si="24"/>
        <v> </v>
      </c>
      <c r="J17" s="295"/>
      <c r="K17" s="366"/>
      <c r="L17" s="367"/>
      <c r="M17" s="368"/>
      <c r="N17" s="369"/>
      <c r="O17" s="370"/>
      <c r="P17" s="370"/>
      <c r="Q17" s="369"/>
      <c r="R17" s="369"/>
      <c r="S17" s="369"/>
      <c r="T17" s="371"/>
      <c r="U17" s="369"/>
      <c r="V17" s="369"/>
      <c r="W17" s="369"/>
      <c r="X17" s="372"/>
      <c r="Y17" s="367"/>
      <c r="Z17" s="369"/>
      <c r="AA17" s="372"/>
      <c r="AB17" s="372"/>
      <c r="AC17" s="371"/>
      <c r="AD17" s="371"/>
      <c r="AE17" s="372"/>
      <c r="AF17" s="372"/>
      <c r="AG17" s="367"/>
      <c r="AH17" s="367"/>
      <c r="AI17" s="367"/>
      <c r="AJ17" s="367"/>
      <c r="AK17" s="373"/>
      <c r="AL17" s="373"/>
      <c r="AM17" s="373"/>
      <c r="AN17" s="373"/>
      <c r="AO17" s="314" t="str">
        <f t="shared" si="2"/>
        <v> </v>
      </c>
      <c r="AP17" s="374">
        <f t="shared" si="3"/>
        <v>0</v>
      </c>
      <c r="AQ17" s="316" t="str">
        <f t="shared" si="4"/>
        <v> </v>
      </c>
    </row>
    <row r="18" ht="29.25" customHeight="1" outlineLevel="1" spans="1:43">
      <c r="A18" s="363" t="s">
        <v>53</v>
      </c>
      <c r="B18" s="317">
        <v>1.15740740740741e-5</v>
      </c>
      <c r="C18" s="293" t="e">
        <f t="shared" ref="C18:G18" si="25">TEXT(IF($B18=0," ",$B18-C$6),"hh:mm am/pm")</f>
        <v>#VALUE!</v>
      </c>
      <c r="D18" s="293" t="e">
        <f t="shared" si="25"/>
        <v>#VALUE!</v>
      </c>
      <c r="E18" s="293" t="e">
        <f t="shared" si="25"/>
        <v>#VALUE!</v>
      </c>
      <c r="F18" s="293" t="e">
        <f t="shared" si="25"/>
        <v>#VALUE!</v>
      </c>
      <c r="G18" s="293" t="e">
        <f t="shared" si="25"/>
        <v>#VALUE!</v>
      </c>
      <c r="H18" s="293" t="str">
        <f t="shared" ref="H18:I18" si="26">TEXT(IF($B18=0," ",$B18+H$6),"hh:mm am/pm")</f>
        <v>06:00 001/p1</v>
      </c>
      <c r="I18" s="293" t="str">
        <f t="shared" si="26"/>
        <v>11:00 001/p1</v>
      </c>
      <c r="J18" s="318" t="s">
        <v>105</v>
      </c>
      <c r="K18" s="295"/>
      <c r="L18" s="319" t="s">
        <v>106</v>
      </c>
      <c r="M18" s="320" t="s">
        <v>71</v>
      </c>
      <c r="N18" s="321" t="s">
        <v>57</v>
      </c>
      <c r="O18" s="322" t="s">
        <v>74</v>
      </c>
      <c r="P18" s="323" t="s">
        <v>101</v>
      </c>
      <c r="Q18" s="324">
        <v>1400</v>
      </c>
      <c r="R18" s="325" t="s">
        <v>76</v>
      </c>
      <c r="S18" s="326"/>
      <c r="T18" s="327" t="s">
        <v>61</v>
      </c>
      <c r="U18" s="321" t="s">
        <v>78</v>
      </c>
      <c r="V18" s="321">
        <v>7</v>
      </c>
      <c r="W18" s="321">
        <v>7</v>
      </c>
      <c r="X18" s="328"/>
      <c r="Y18" s="329" t="s">
        <v>79</v>
      </c>
      <c r="Z18" s="326"/>
      <c r="AA18" s="330" t="s">
        <v>64</v>
      </c>
      <c r="AB18" s="330" t="s">
        <v>65</v>
      </c>
      <c r="AC18" s="331">
        <v>0.1</v>
      </c>
      <c r="AD18" s="331">
        <v>0.02</v>
      </c>
      <c r="AE18" s="330" t="s">
        <v>88</v>
      </c>
      <c r="AF18" s="332">
        <v>50000</v>
      </c>
      <c r="AG18" s="333">
        <v>6</v>
      </c>
      <c r="AH18" s="333">
        <v>5</v>
      </c>
      <c r="AI18" s="333">
        <v>5</v>
      </c>
      <c r="AJ18" s="327">
        <v>13</v>
      </c>
      <c r="AK18" s="334" t="s">
        <v>67</v>
      </c>
      <c r="AL18" s="335" t="s">
        <v>68</v>
      </c>
      <c r="AM18" s="336" t="s">
        <v>69</v>
      </c>
      <c r="AN18" s="336" t="s">
        <v>70</v>
      </c>
      <c r="AO18" s="314">
        <f t="shared" si="2"/>
        <v>0.057650462962963</v>
      </c>
      <c r="AP18" s="315">
        <f t="shared" si="3"/>
        <v>228</v>
      </c>
      <c r="AQ18" s="316" t="str">
        <f t="shared" si="4"/>
        <v>LOW</v>
      </c>
    </row>
    <row r="19" ht="29.25" customHeight="1" outlineLevel="1" spans="1:43">
      <c r="B19" s="317">
        <v>1.15740740740741e-5</v>
      </c>
      <c r="C19" s="293" t="e">
        <f t="shared" ref="C19:G19" si="27">TEXT(IF($B19=0," ",$B19-C$6),"hh:mm am/pm")</f>
        <v>#VALUE!</v>
      </c>
      <c r="D19" s="293" t="e">
        <f t="shared" si="27"/>
        <v>#VALUE!</v>
      </c>
      <c r="E19" s="293" t="e">
        <f t="shared" si="27"/>
        <v>#VALUE!</v>
      </c>
      <c r="F19" s="293" t="e">
        <f t="shared" si="27"/>
        <v>#VALUE!</v>
      </c>
      <c r="G19" s="293" t="e">
        <f t="shared" si="27"/>
        <v>#VALUE!</v>
      </c>
      <c r="H19" s="293" t="str">
        <f t="shared" ref="H19:I19" si="28">TEXT(IF($B19=0," ",$B19+H$6),"hh:mm am/pm")</f>
        <v>06:00 001/p1</v>
      </c>
      <c r="I19" s="293" t="str">
        <f t="shared" si="28"/>
        <v>11:00 001/p1</v>
      </c>
      <c r="J19" s="294" t="s">
        <v>107</v>
      </c>
      <c r="K19" s="295"/>
      <c r="L19" s="337" t="s">
        <v>108</v>
      </c>
      <c r="M19" s="338" t="s">
        <v>71</v>
      </c>
      <c r="N19" s="339" t="s">
        <v>100</v>
      </c>
      <c r="O19" s="340" t="s">
        <v>109</v>
      </c>
      <c r="P19" s="341" t="s">
        <v>101</v>
      </c>
      <c r="Q19" s="342">
        <v>240</v>
      </c>
      <c r="R19" s="343" t="s">
        <v>60</v>
      </c>
      <c r="S19" s="344"/>
      <c r="T19" s="345" t="s">
        <v>61</v>
      </c>
      <c r="U19" s="339" t="s">
        <v>62</v>
      </c>
      <c r="V19" s="339">
        <v>2</v>
      </c>
      <c r="W19" s="339">
        <v>2</v>
      </c>
      <c r="X19" s="354"/>
      <c r="Y19" s="347" t="s">
        <v>63</v>
      </c>
      <c r="Z19" s="344"/>
      <c r="AA19" s="348" t="s">
        <v>64</v>
      </c>
      <c r="AB19" s="348" t="s">
        <v>65</v>
      </c>
      <c r="AC19" s="349">
        <v>0.1</v>
      </c>
      <c r="AD19" s="349">
        <v>0</v>
      </c>
      <c r="AE19" s="348" t="s">
        <v>88</v>
      </c>
      <c r="AF19" s="346">
        <v>60000</v>
      </c>
      <c r="AG19" s="350">
        <v>6</v>
      </c>
      <c r="AH19" s="350">
        <v>5</v>
      </c>
      <c r="AI19" s="350">
        <v>5</v>
      </c>
      <c r="AJ19" s="345">
        <v>12</v>
      </c>
      <c r="AK19" s="351" t="s">
        <v>67</v>
      </c>
      <c r="AL19" s="352" t="s">
        <v>68</v>
      </c>
      <c r="AM19" s="353" t="s">
        <v>69</v>
      </c>
      <c r="AN19" s="353" t="s">
        <v>70</v>
      </c>
      <c r="AO19" s="314">
        <f t="shared" si="2"/>
        <v>0.0534837962962963</v>
      </c>
      <c r="AP19" s="315">
        <f t="shared" si="3"/>
        <v>134</v>
      </c>
      <c r="AQ19" s="316" t="str">
        <f t="shared" si="4"/>
        <v>MICRO</v>
      </c>
    </row>
    <row r="20" ht="29.25" customHeight="1" outlineLevel="1" spans="1:43">
      <c r="B20" s="317">
        <v>0.013900462962963</v>
      </c>
      <c r="C20" s="293" t="e">
        <f t="shared" ref="C20:G20" si="29">TEXT(IF($B20=0," ",$B20-C$6),"hh:mm am/pm")</f>
        <v>#VALUE!</v>
      </c>
      <c r="D20" s="293" t="e">
        <f t="shared" si="29"/>
        <v>#VALUE!</v>
      </c>
      <c r="E20" s="293" t="e">
        <f t="shared" si="29"/>
        <v>#VALUE!</v>
      </c>
      <c r="F20" s="293" t="e">
        <f t="shared" si="29"/>
        <v>#VALUE!</v>
      </c>
      <c r="G20" s="293" t="e">
        <f t="shared" si="29"/>
        <v>#VALUE!</v>
      </c>
      <c r="H20" s="293" t="str">
        <f t="shared" ref="H20:I20" si="30">TEXT(IF($B20=0," ",$B20+H$6),"hh:mm am/pm")</f>
        <v>06:20 001/p1</v>
      </c>
      <c r="I20" s="293" t="str">
        <f t="shared" si="30"/>
        <v>11:20 001/p1</v>
      </c>
      <c r="J20" s="294" t="s">
        <v>110</v>
      </c>
      <c r="K20" s="295"/>
      <c r="L20" s="319" t="s">
        <v>111</v>
      </c>
      <c r="M20" s="320" t="s">
        <v>71</v>
      </c>
      <c r="N20" s="321" t="s">
        <v>57</v>
      </c>
      <c r="O20" s="322" t="s">
        <v>109</v>
      </c>
      <c r="P20" s="323" t="s">
        <v>75</v>
      </c>
      <c r="Q20" s="324">
        <v>120</v>
      </c>
      <c r="R20" s="375" t="s">
        <v>60</v>
      </c>
      <c r="S20" s="326"/>
      <c r="T20" s="327" t="s">
        <v>61</v>
      </c>
      <c r="U20" s="321" t="s">
        <v>62</v>
      </c>
      <c r="V20" s="321">
        <v>1</v>
      </c>
      <c r="W20" s="321">
        <v>1</v>
      </c>
      <c r="X20" s="328"/>
      <c r="Y20" s="329" t="s">
        <v>63</v>
      </c>
      <c r="Z20" s="326"/>
      <c r="AA20" s="330" t="s">
        <v>64</v>
      </c>
      <c r="AB20" s="330" t="s">
        <v>65</v>
      </c>
      <c r="AC20" s="331">
        <v>0.1</v>
      </c>
      <c r="AD20" s="331">
        <v>0</v>
      </c>
      <c r="AE20" s="327" t="s">
        <v>112</v>
      </c>
      <c r="AF20" s="332">
        <v>15000</v>
      </c>
      <c r="AG20" s="333">
        <v>6</v>
      </c>
      <c r="AH20" s="333">
        <v>5</v>
      </c>
      <c r="AI20" s="333">
        <v>5</v>
      </c>
      <c r="AJ20" s="327">
        <v>13</v>
      </c>
      <c r="AK20" s="334" t="s">
        <v>67</v>
      </c>
      <c r="AL20" s="335" t="s">
        <v>68</v>
      </c>
      <c r="AM20" s="336" t="s">
        <v>69</v>
      </c>
      <c r="AN20" s="336" t="s">
        <v>70</v>
      </c>
      <c r="AO20" s="314">
        <f t="shared" si="2"/>
        <v>0.0715393518518519</v>
      </c>
      <c r="AP20" s="315">
        <f t="shared" si="3"/>
        <v>134</v>
      </c>
      <c r="AQ20" s="316" t="str">
        <f t="shared" si="4"/>
        <v>MICRO</v>
      </c>
    </row>
    <row r="21" ht="29.25" customHeight="1" outlineLevel="1" spans="1:43">
      <c r="A21" s="363" t="s">
        <v>53</v>
      </c>
      <c r="B21" s="317">
        <v>0.0208449074074074</v>
      </c>
      <c r="C21" s="293" t="e">
        <f t="shared" ref="C21:G21" si="31">TEXT(IF($B21=0," ",$B21-C$6),"hh:mm am/pm")</f>
        <v>#VALUE!</v>
      </c>
      <c r="D21" s="293" t="e">
        <f t="shared" si="31"/>
        <v>#VALUE!</v>
      </c>
      <c r="E21" s="293" t="e">
        <f t="shared" si="31"/>
        <v>#VALUE!</v>
      </c>
      <c r="F21" s="293" t="e">
        <f t="shared" si="31"/>
        <v>#VALUE!</v>
      </c>
      <c r="G21" s="293" t="e">
        <f t="shared" si="31"/>
        <v>#VALUE!</v>
      </c>
      <c r="H21" s="293" t="str">
        <f t="shared" ref="H21:I21" si="32">TEXT(IF($B21=0," ",$B21+H$6),"hh:mm am/pm")</f>
        <v>06:30 001/p1</v>
      </c>
      <c r="I21" s="293" t="str">
        <f t="shared" si="32"/>
        <v>11:30 001/p1</v>
      </c>
      <c r="J21" s="294" t="s">
        <v>113</v>
      </c>
      <c r="K21" s="295"/>
      <c r="L21" s="337" t="s">
        <v>114</v>
      </c>
      <c r="M21" s="338" t="s">
        <v>71</v>
      </c>
      <c r="N21" s="339" t="s">
        <v>57</v>
      </c>
      <c r="O21" s="340" t="s">
        <v>74</v>
      </c>
      <c r="P21" s="341" t="s">
        <v>75</v>
      </c>
      <c r="Q21" s="342">
        <v>150</v>
      </c>
      <c r="R21" s="343" t="s">
        <v>60</v>
      </c>
      <c r="S21" s="344"/>
      <c r="T21" s="345" t="s">
        <v>115</v>
      </c>
      <c r="U21" s="339" t="s">
        <v>62</v>
      </c>
      <c r="V21" s="339">
        <v>0.4</v>
      </c>
      <c r="W21" s="339">
        <v>0.4</v>
      </c>
      <c r="X21" s="354"/>
      <c r="Y21" s="347" t="s">
        <v>79</v>
      </c>
      <c r="Z21" s="339">
        <v>0.4</v>
      </c>
      <c r="AA21" s="348">
        <v>50000</v>
      </c>
      <c r="AB21" s="348" t="s">
        <v>65</v>
      </c>
      <c r="AC21" s="349">
        <v>0.1</v>
      </c>
      <c r="AD21" s="349">
        <v>0</v>
      </c>
      <c r="AE21" s="348" t="s">
        <v>66</v>
      </c>
      <c r="AF21" s="346">
        <v>30000</v>
      </c>
      <c r="AG21" s="350">
        <v>5</v>
      </c>
      <c r="AH21" s="350">
        <v>5</v>
      </c>
      <c r="AI21" s="350">
        <v>5</v>
      </c>
      <c r="AJ21" s="345">
        <v>13</v>
      </c>
      <c r="AK21" s="351" t="s">
        <v>67</v>
      </c>
      <c r="AL21" s="352" t="s">
        <v>68</v>
      </c>
      <c r="AM21" s="353" t="s">
        <v>69</v>
      </c>
      <c r="AN21" s="353" t="s">
        <v>70</v>
      </c>
      <c r="AO21" s="314">
        <f t="shared" si="2"/>
        <v>0.0694560185185185</v>
      </c>
      <c r="AP21" s="315">
        <f t="shared" si="3"/>
        <v>417</v>
      </c>
      <c r="AQ21" s="316" t="str">
        <f t="shared" si="4"/>
        <v>MICRO</v>
      </c>
    </row>
    <row r="22" ht="29.25" customHeight="1" outlineLevel="1" spans="1:43">
      <c r="B22" s="317">
        <v>0.0208449074074074</v>
      </c>
      <c r="C22" s="293" t="e">
        <f t="shared" ref="C22:G22" si="33">TEXT(IF($B22=0," ",$B22-C$6),"hh:mm am/pm")</f>
        <v>#VALUE!</v>
      </c>
      <c r="D22" s="293" t="e">
        <f t="shared" si="33"/>
        <v>#VALUE!</v>
      </c>
      <c r="E22" s="293" t="e">
        <f t="shared" si="33"/>
        <v>#VALUE!</v>
      </c>
      <c r="F22" s="293" t="e">
        <f t="shared" si="33"/>
        <v>#VALUE!</v>
      </c>
      <c r="G22" s="293" t="e">
        <f t="shared" si="33"/>
        <v>#VALUE!</v>
      </c>
      <c r="H22" s="293" t="str">
        <f t="shared" ref="H22:I22" si="34">TEXT(IF($B22=0," ",$B22+H$6),"hh:mm am/pm")</f>
        <v>06:30 001/p1</v>
      </c>
      <c r="I22" s="293" t="str">
        <f t="shared" si="34"/>
        <v>11:30 001/p1</v>
      </c>
      <c r="J22" s="294" t="s">
        <v>116</v>
      </c>
      <c r="K22" s="295"/>
      <c r="L22" s="319" t="s">
        <v>117</v>
      </c>
      <c r="M22" s="320" t="s">
        <v>71</v>
      </c>
      <c r="N22" s="321" t="s">
        <v>100</v>
      </c>
      <c r="O22" s="322" t="s">
        <v>74</v>
      </c>
      <c r="P22" s="323" t="s">
        <v>101</v>
      </c>
      <c r="Q22" s="324">
        <v>240</v>
      </c>
      <c r="R22" s="375" t="s">
        <v>60</v>
      </c>
      <c r="S22" s="326"/>
      <c r="T22" s="327" t="s">
        <v>61</v>
      </c>
      <c r="U22" s="321" t="s">
        <v>62</v>
      </c>
      <c r="V22" s="321">
        <v>1</v>
      </c>
      <c r="W22" s="321">
        <v>1</v>
      </c>
      <c r="X22" s="328"/>
      <c r="Y22" s="329" t="s">
        <v>79</v>
      </c>
      <c r="Z22" s="321">
        <v>1</v>
      </c>
      <c r="AA22" s="330">
        <v>70000</v>
      </c>
      <c r="AB22" s="330" t="s">
        <v>65</v>
      </c>
      <c r="AC22" s="331">
        <v>0.1</v>
      </c>
      <c r="AD22" s="331">
        <v>0.02</v>
      </c>
      <c r="AE22" s="327" t="s">
        <v>88</v>
      </c>
      <c r="AF22" s="332">
        <v>30000</v>
      </c>
      <c r="AG22" s="333">
        <v>6</v>
      </c>
      <c r="AH22" s="333">
        <v>5</v>
      </c>
      <c r="AI22" s="333">
        <v>5</v>
      </c>
      <c r="AJ22" s="327">
        <v>12</v>
      </c>
      <c r="AK22" s="334" t="s">
        <v>67</v>
      </c>
      <c r="AL22" s="335" t="s">
        <v>68</v>
      </c>
      <c r="AM22" s="336" t="s">
        <v>69</v>
      </c>
      <c r="AN22" s="336" t="s">
        <v>70</v>
      </c>
      <c r="AO22" s="314">
        <f t="shared" si="2"/>
        <v>0.0743171296296296</v>
      </c>
      <c r="AP22" s="315">
        <f t="shared" si="3"/>
        <v>273</v>
      </c>
      <c r="AQ22" s="316" t="str">
        <f t="shared" si="4"/>
        <v>MICRO</v>
      </c>
    </row>
    <row r="23" ht="29.25" customHeight="1" outlineLevel="1" spans="1:43">
      <c r="B23" s="317">
        <v>0.0416782407407407</v>
      </c>
      <c r="C23" s="293" t="e">
        <f t="shared" ref="C23:G23" si="35">TEXT(IF($B23=0," ",$B23-C$6),"hh:mm am/pm")</f>
        <v>#VALUE!</v>
      </c>
      <c r="D23" s="293" t="e">
        <f t="shared" si="35"/>
        <v>#VALUE!</v>
      </c>
      <c r="E23" s="293" t="e">
        <f t="shared" si="35"/>
        <v>#VALUE!</v>
      </c>
      <c r="F23" s="293" t="e">
        <f t="shared" si="35"/>
        <v>#VALUE!</v>
      </c>
      <c r="G23" s="293" t="str">
        <f t="shared" si="35"/>
        <v>00:00 001/p1</v>
      </c>
      <c r="H23" s="293" t="str">
        <f t="shared" ref="H23:I23" si="36">TEXT(IF($B23=0," ",$B23+H$6),"hh:mm am/pm")</f>
        <v>07:00 001/p1</v>
      </c>
      <c r="I23" s="293" t="str">
        <f t="shared" si="36"/>
        <v>12:00 001/p1</v>
      </c>
      <c r="J23" s="294" t="s">
        <v>118</v>
      </c>
      <c r="K23" s="295"/>
      <c r="L23" s="337" t="s">
        <v>119</v>
      </c>
      <c r="M23" s="338" t="s">
        <v>71</v>
      </c>
      <c r="N23" s="339" t="s">
        <v>57</v>
      </c>
      <c r="O23" s="340" t="s">
        <v>74</v>
      </c>
      <c r="P23" s="341" t="s">
        <v>101</v>
      </c>
      <c r="Q23" s="342">
        <v>1600</v>
      </c>
      <c r="R23" s="343" t="s">
        <v>60</v>
      </c>
      <c r="S23" s="344"/>
      <c r="T23" s="345" t="s">
        <v>77</v>
      </c>
      <c r="U23" s="339" t="s">
        <v>78</v>
      </c>
      <c r="V23" s="339">
        <v>3</v>
      </c>
      <c r="W23" s="339">
        <v>3</v>
      </c>
      <c r="X23" s="354"/>
      <c r="Y23" s="347" t="s">
        <v>79</v>
      </c>
      <c r="Z23" s="339">
        <v>3</v>
      </c>
      <c r="AA23" s="348">
        <v>160000</v>
      </c>
      <c r="AB23" s="348" t="s">
        <v>65</v>
      </c>
      <c r="AC23" s="349">
        <v>0.1</v>
      </c>
      <c r="AD23" s="349">
        <v>0.02</v>
      </c>
      <c r="AE23" s="348" t="s">
        <v>88</v>
      </c>
      <c r="AF23" s="346">
        <v>40000</v>
      </c>
      <c r="AG23" s="350">
        <v>6</v>
      </c>
      <c r="AH23" s="350">
        <v>5</v>
      </c>
      <c r="AI23" s="350">
        <v>5</v>
      </c>
      <c r="AJ23" s="345">
        <v>13</v>
      </c>
      <c r="AK23" s="351" t="s">
        <v>67</v>
      </c>
      <c r="AL23" s="352" t="s">
        <v>68</v>
      </c>
      <c r="AM23" s="313" t="s">
        <v>69</v>
      </c>
      <c r="AN23" s="313" t="s">
        <v>70</v>
      </c>
      <c r="AO23" s="314">
        <f t="shared" si="2"/>
        <v>0.0993171296296296</v>
      </c>
      <c r="AP23" s="315">
        <f t="shared" si="3"/>
        <v>607</v>
      </c>
      <c r="AQ23" s="316" t="str">
        <f t="shared" si="4"/>
        <v>MICRO</v>
      </c>
    </row>
    <row r="24" ht="29.25" customHeight="1" outlineLevel="1" spans="1:43">
      <c r="A24" s="363" t="s">
        <v>53</v>
      </c>
      <c r="B24" s="317">
        <v>0.0416782407407407</v>
      </c>
      <c r="C24" s="293" t="e">
        <f t="shared" ref="C24:G24" si="37">TEXT(IF($B24=0," ",$B24-C$6),"hh:mm am/pm")</f>
        <v>#VALUE!</v>
      </c>
      <c r="D24" s="293" t="e">
        <f t="shared" si="37"/>
        <v>#VALUE!</v>
      </c>
      <c r="E24" s="293" t="e">
        <f t="shared" si="37"/>
        <v>#VALUE!</v>
      </c>
      <c r="F24" s="293" t="e">
        <f t="shared" si="37"/>
        <v>#VALUE!</v>
      </c>
      <c r="G24" s="293" t="str">
        <f t="shared" si="37"/>
        <v>00:00 001/p1</v>
      </c>
      <c r="H24" s="293" t="str">
        <f t="shared" ref="H24:I24" si="38">TEXT(IF($B24=0," ",$B24+H$6),"hh:mm am/pm")</f>
        <v>07:00 001/p1</v>
      </c>
      <c r="I24" s="293" t="str">
        <f t="shared" si="38"/>
        <v>12:00 001/p1</v>
      </c>
      <c r="J24" s="294" t="s">
        <v>120</v>
      </c>
      <c r="K24" s="295"/>
      <c r="L24" s="319" t="s">
        <v>121</v>
      </c>
      <c r="M24" s="320" t="s">
        <v>71</v>
      </c>
      <c r="N24" s="321" t="s">
        <v>122</v>
      </c>
      <c r="O24" s="322" t="s">
        <v>109</v>
      </c>
      <c r="P24" s="323" t="s">
        <v>101</v>
      </c>
      <c r="Q24" s="324">
        <v>500</v>
      </c>
      <c r="R24" s="375" t="s">
        <v>60</v>
      </c>
      <c r="S24" s="326"/>
      <c r="T24" s="327" t="s">
        <v>61</v>
      </c>
      <c r="U24" s="321" t="s">
        <v>62</v>
      </c>
      <c r="V24" s="321">
        <v>10</v>
      </c>
      <c r="W24" s="321">
        <v>10</v>
      </c>
      <c r="X24" s="328"/>
      <c r="Y24" s="329" t="s">
        <v>63</v>
      </c>
      <c r="Z24" s="326"/>
      <c r="AA24" s="330" t="s">
        <v>64</v>
      </c>
      <c r="AB24" s="330" t="s">
        <v>65</v>
      </c>
      <c r="AC24" s="331">
        <v>0.1</v>
      </c>
      <c r="AD24" s="331">
        <v>0.02</v>
      </c>
      <c r="AE24" s="330" t="s">
        <v>66</v>
      </c>
      <c r="AF24" s="332">
        <v>50000</v>
      </c>
      <c r="AG24" s="333">
        <v>6</v>
      </c>
      <c r="AH24" s="333">
        <v>5</v>
      </c>
      <c r="AI24" s="333">
        <v>5</v>
      </c>
      <c r="AJ24" s="327">
        <v>15</v>
      </c>
      <c r="AK24" s="334" t="s">
        <v>67</v>
      </c>
      <c r="AL24" s="335" t="s">
        <v>68</v>
      </c>
      <c r="AM24" s="376" t="s">
        <v>69</v>
      </c>
      <c r="AN24" s="376" t="s">
        <v>70</v>
      </c>
      <c r="AO24" s="314">
        <f t="shared" si="2"/>
        <v>0.107650462962963</v>
      </c>
      <c r="AP24" s="315">
        <f t="shared" si="3"/>
        <v>57</v>
      </c>
      <c r="AQ24" s="316" t="str">
        <f t="shared" si="4"/>
        <v>LOW</v>
      </c>
    </row>
    <row r="25" ht="29.25" customHeight="1" outlineLevel="1" spans="1:43">
      <c r="B25" s="317">
        <v>0.0625115740740741</v>
      </c>
      <c r="C25" s="293" t="e">
        <f t="shared" ref="C25:G25" si="39">TEXT(IF($B25=0," ",$B25-C$6),"hh:mm am/pm")</f>
        <v>#VALUE!</v>
      </c>
      <c r="D25" s="293" t="e">
        <f t="shared" si="39"/>
        <v>#VALUE!</v>
      </c>
      <c r="E25" s="293" t="e">
        <f t="shared" si="39"/>
        <v>#VALUE!</v>
      </c>
      <c r="F25" s="293" t="e">
        <f t="shared" si="39"/>
        <v>#VALUE!</v>
      </c>
      <c r="G25" s="293" t="str">
        <f t="shared" si="39"/>
        <v>00:30 001/p1</v>
      </c>
      <c r="H25" s="293" t="str">
        <f t="shared" ref="H25:I25" si="40">TEXT(IF($B25=0," ",$B25+H$6),"hh:mm am/pm")</f>
        <v>07:30 001/p1</v>
      </c>
      <c r="I25" s="293" t="str">
        <f t="shared" si="40"/>
        <v>12:30 001/p1</v>
      </c>
      <c r="J25" s="294" t="s">
        <v>123</v>
      </c>
      <c r="K25" s="295"/>
      <c r="L25" s="337" t="s">
        <v>124</v>
      </c>
      <c r="M25" s="338" t="s">
        <v>71</v>
      </c>
      <c r="N25" s="339" t="s">
        <v>100</v>
      </c>
      <c r="O25" s="340" t="s">
        <v>82</v>
      </c>
      <c r="P25" s="341" t="s">
        <v>101</v>
      </c>
      <c r="Q25" s="342">
        <v>100</v>
      </c>
      <c r="R25" s="343" t="s">
        <v>60</v>
      </c>
      <c r="S25" s="344"/>
      <c r="T25" s="345" t="s">
        <v>61</v>
      </c>
      <c r="U25" s="339" t="s">
        <v>62</v>
      </c>
      <c r="V25" s="339">
        <v>0.6</v>
      </c>
      <c r="W25" s="339">
        <v>0.6</v>
      </c>
      <c r="X25" s="354"/>
      <c r="Y25" s="347" t="s">
        <v>63</v>
      </c>
      <c r="Z25" s="344"/>
      <c r="AA25" s="348" t="s">
        <v>64</v>
      </c>
      <c r="AB25" s="348" t="s">
        <v>65</v>
      </c>
      <c r="AC25" s="349">
        <v>0.1</v>
      </c>
      <c r="AD25" s="349">
        <v>0</v>
      </c>
      <c r="AE25" s="348" t="s">
        <v>66</v>
      </c>
      <c r="AF25" s="346">
        <v>30000</v>
      </c>
      <c r="AG25" s="350">
        <v>5</v>
      </c>
      <c r="AH25" s="350">
        <v>5</v>
      </c>
      <c r="AI25" s="350">
        <v>5</v>
      </c>
      <c r="AJ25" s="345">
        <v>13</v>
      </c>
      <c r="AK25" s="351" t="s">
        <v>67</v>
      </c>
      <c r="AL25" s="352" t="s">
        <v>68</v>
      </c>
      <c r="AM25" s="313" t="s">
        <v>69</v>
      </c>
      <c r="AN25" s="313" t="s">
        <v>70</v>
      </c>
      <c r="AO25" s="314">
        <f t="shared" si="2"/>
        <v>0.111122685185185</v>
      </c>
      <c r="AP25" s="315">
        <f t="shared" si="3"/>
        <v>186</v>
      </c>
      <c r="AQ25" s="316" t="str">
        <f t="shared" si="4"/>
        <v>MICRO</v>
      </c>
    </row>
    <row r="26" ht="29.25" customHeight="1" outlineLevel="1" spans="1:43">
      <c r="B26" s="317">
        <v>0.0833449074074074</v>
      </c>
      <c r="C26" s="293" t="str">
        <f t="shared" ref="C26:G26" si="41">TEXT(IF($B26=0," ",$B26-C$6),"hh:mm am/pm")</f>
        <v>00:00 001/p1</v>
      </c>
      <c r="D26" s="293" t="e">
        <f t="shared" si="41"/>
        <v>#VALUE!</v>
      </c>
      <c r="E26" s="293" t="e">
        <f t="shared" si="41"/>
        <v>#VALUE!</v>
      </c>
      <c r="F26" s="293" t="str">
        <f t="shared" si="41"/>
        <v>00:00 001/p1</v>
      </c>
      <c r="G26" s="293" t="str">
        <f t="shared" si="41"/>
        <v>01:00 001/p1</v>
      </c>
      <c r="H26" s="293" t="str">
        <f t="shared" ref="H26:I26" si="42">TEXT(IF($B26=0," ",$B26+H$6),"hh:mm am/pm")</f>
        <v>08:00 001/p1</v>
      </c>
      <c r="I26" s="293" t="str">
        <f t="shared" si="42"/>
        <v>13:00 001/p1</v>
      </c>
      <c r="J26" s="294" t="s">
        <v>125</v>
      </c>
      <c r="K26" s="295"/>
      <c r="L26" s="319" t="s">
        <v>126</v>
      </c>
      <c r="M26" s="320" t="s">
        <v>71</v>
      </c>
      <c r="N26" s="321" t="s">
        <v>57</v>
      </c>
      <c r="O26" s="322" t="s">
        <v>82</v>
      </c>
      <c r="P26" s="323" t="s">
        <v>59</v>
      </c>
      <c r="Q26" s="324">
        <v>1000</v>
      </c>
      <c r="R26" s="375" t="s">
        <v>60</v>
      </c>
      <c r="S26" s="326"/>
      <c r="T26" s="327" t="s">
        <v>61</v>
      </c>
      <c r="U26" s="321" t="s">
        <v>62</v>
      </c>
      <c r="V26" s="321">
        <v>7</v>
      </c>
      <c r="W26" s="321">
        <v>7</v>
      </c>
      <c r="X26" s="328"/>
      <c r="Y26" s="329" t="s">
        <v>63</v>
      </c>
      <c r="Z26" s="326"/>
      <c r="AA26" s="330" t="s">
        <v>64</v>
      </c>
      <c r="AB26" s="330" t="s">
        <v>65</v>
      </c>
      <c r="AC26" s="331">
        <v>0.1</v>
      </c>
      <c r="AD26" s="331">
        <v>0.02</v>
      </c>
      <c r="AE26" s="327" t="s">
        <v>88</v>
      </c>
      <c r="AF26" s="332">
        <v>40000</v>
      </c>
      <c r="AG26" s="333">
        <v>6</v>
      </c>
      <c r="AH26" s="333">
        <v>5</v>
      </c>
      <c r="AI26" s="333">
        <v>5</v>
      </c>
      <c r="AJ26" s="327">
        <v>13</v>
      </c>
      <c r="AK26" s="334" t="s">
        <v>67</v>
      </c>
      <c r="AL26" s="335" t="s">
        <v>68</v>
      </c>
      <c r="AM26" s="376" t="s">
        <v>69</v>
      </c>
      <c r="AN26" s="376" t="s">
        <v>70</v>
      </c>
      <c r="AO26" s="314">
        <f t="shared" si="2"/>
        <v>0.140983796296296</v>
      </c>
      <c r="AP26" s="315">
        <f t="shared" si="3"/>
        <v>163</v>
      </c>
      <c r="AQ26" s="316" t="str">
        <f t="shared" si="4"/>
        <v>LOW</v>
      </c>
    </row>
    <row r="27" ht="29.25" customHeight="1" outlineLevel="1" spans="1:43">
      <c r="A27" s="363" t="s">
        <v>53</v>
      </c>
      <c r="B27" s="317">
        <v>0.104178240740741</v>
      </c>
      <c r="C27" s="293" t="str">
        <f t="shared" ref="C27:G27" si="43">TEXT(IF($B27=0," ",$B27-C$6),"hh:mm am/pm")</f>
        <v>00:30 001/p1</v>
      </c>
      <c r="D27" s="293" t="e">
        <f t="shared" si="43"/>
        <v>#VALUE!</v>
      </c>
      <c r="E27" s="293" t="e">
        <f t="shared" si="43"/>
        <v>#VALUE!</v>
      </c>
      <c r="F27" s="293" t="str">
        <f t="shared" si="43"/>
        <v>00:30 001/p1</v>
      </c>
      <c r="G27" s="293" t="str">
        <f t="shared" si="43"/>
        <v>01:30 001/p1</v>
      </c>
      <c r="H27" s="293" t="str">
        <f t="shared" ref="H27:I27" si="44">TEXT(IF($B27=0," ",$B27+H$6),"hh:mm am/pm")</f>
        <v>08:30 001/p1</v>
      </c>
      <c r="I27" s="293" t="str">
        <f t="shared" si="44"/>
        <v>13:30 001/p1</v>
      </c>
      <c r="J27" s="294" t="s">
        <v>127</v>
      </c>
      <c r="K27" s="295"/>
      <c r="L27" s="337" t="s">
        <v>114</v>
      </c>
      <c r="M27" s="338" t="s">
        <v>71</v>
      </c>
      <c r="N27" s="339" t="s">
        <v>57</v>
      </c>
      <c r="O27" s="340" t="s">
        <v>74</v>
      </c>
      <c r="P27" s="341" t="s">
        <v>101</v>
      </c>
      <c r="Q27" s="342">
        <v>240</v>
      </c>
      <c r="R27" s="343" t="s">
        <v>60</v>
      </c>
      <c r="S27" s="344"/>
      <c r="T27" s="345" t="s">
        <v>115</v>
      </c>
      <c r="U27" s="339" t="s">
        <v>62</v>
      </c>
      <c r="V27" s="339">
        <v>0.6</v>
      </c>
      <c r="W27" s="339">
        <v>0.6</v>
      </c>
      <c r="X27" s="354"/>
      <c r="Y27" s="347" t="s">
        <v>79</v>
      </c>
      <c r="Z27" s="339">
        <v>0.8</v>
      </c>
      <c r="AA27" s="348">
        <v>100000</v>
      </c>
      <c r="AB27" s="348" t="s">
        <v>65</v>
      </c>
      <c r="AC27" s="349">
        <v>0.1</v>
      </c>
      <c r="AD27" s="349">
        <v>0</v>
      </c>
      <c r="AE27" s="345" t="s">
        <v>88</v>
      </c>
      <c r="AF27" s="346">
        <v>50000</v>
      </c>
      <c r="AG27" s="350">
        <v>5</v>
      </c>
      <c r="AH27" s="350">
        <v>5</v>
      </c>
      <c r="AI27" s="350">
        <v>5</v>
      </c>
      <c r="AJ27" s="345">
        <v>13</v>
      </c>
      <c r="AK27" s="351" t="s">
        <v>67</v>
      </c>
      <c r="AL27" s="352" t="s">
        <v>68</v>
      </c>
      <c r="AM27" s="313" t="s">
        <v>69</v>
      </c>
      <c r="AN27" s="313" t="s">
        <v>70</v>
      </c>
      <c r="AO27" s="314">
        <f t="shared" si="2"/>
        <v>0.152789351851852</v>
      </c>
      <c r="AP27" s="315">
        <f t="shared" si="3"/>
        <v>445</v>
      </c>
      <c r="AQ27" s="316" t="str">
        <f t="shared" si="4"/>
        <v>MICRO</v>
      </c>
    </row>
    <row r="28" ht="29.25" customHeight="1" outlineLevel="1" spans="1:43">
      <c r="B28" s="317">
        <v>0.131956018518519</v>
      </c>
      <c r="C28" s="293" t="str">
        <f t="shared" ref="C28:G28" si="45">TEXT(IF($B28=0," ",$B28-C$6),"hh:mm am/pm")</f>
        <v>01:10 001/p1</v>
      </c>
      <c r="D28" s="293" t="e">
        <f t="shared" si="45"/>
        <v>#VALUE!</v>
      </c>
      <c r="E28" s="293" t="str">
        <f t="shared" si="45"/>
        <v>00:10 001/p1</v>
      </c>
      <c r="F28" s="293" t="str">
        <f t="shared" si="45"/>
        <v>01:10 001/p1</v>
      </c>
      <c r="G28" s="293" t="str">
        <f t="shared" si="45"/>
        <v>02:10 001/p1</v>
      </c>
      <c r="H28" s="293" t="str">
        <f t="shared" ref="H28:I28" si="46">TEXT(IF($B28=0," ",$B28+H$6),"hh:mm am/pm")</f>
        <v>09:10 001/p1</v>
      </c>
      <c r="I28" s="293" t="str">
        <f t="shared" si="46"/>
        <v>14:10 001/p1</v>
      </c>
      <c r="J28" s="294" t="s">
        <v>128</v>
      </c>
      <c r="K28" s="295"/>
      <c r="L28" s="319" t="s">
        <v>129</v>
      </c>
      <c r="M28" s="320" t="s">
        <v>71</v>
      </c>
      <c r="N28" s="321" t="s">
        <v>100</v>
      </c>
      <c r="O28" s="322" t="s">
        <v>74</v>
      </c>
      <c r="P28" s="323" t="s">
        <v>101</v>
      </c>
      <c r="Q28" s="324">
        <v>160</v>
      </c>
      <c r="R28" s="375" t="s">
        <v>60</v>
      </c>
      <c r="S28" s="326"/>
      <c r="T28" s="327" t="s">
        <v>61</v>
      </c>
      <c r="U28" s="321" t="s">
        <v>62</v>
      </c>
      <c r="V28" s="321">
        <v>2</v>
      </c>
      <c r="W28" s="321">
        <v>2</v>
      </c>
      <c r="X28" s="328"/>
      <c r="Y28" s="329" t="s">
        <v>79</v>
      </c>
      <c r="Z28" s="321">
        <v>2</v>
      </c>
      <c r="AA28" s="330">
        <v>75000</v>
      </c>
      <c r="AB28" s="330" t="s">
        <v>65</v>
      </c>
      <c r="AC28" s="331">
        <v>0.1</v>
      </c>
      <c r="AD28" s="331">
        <v>0</v>
      </c>
      <c r="AE28" s="327" t="s">
        <v>88</v>
      </c>
      <c r="AF28" s="332">
        <v>30000</v>
      </c>
      <c r="AG28" s="333">
        <v>5</v>
      </c>
      <c r="AH28" s="333">
        <v>5</v>
      </c>
      <c r="AI28" s="333">
        <v>5</v>
      </c>
      <c r="AJ28" s="327">
        <v>12</v>
      </c>
      <c r="AK28" s="334" t="s">
        <v>67</v>
      </c>
      <c r="AL28" s="335" t="s">
        <v>68</v>
      </c>
      <c r="AM28" s="336" t="s">
        <v>69</v>
      </c>
      <c r="AN28" s="336" t="s">
        <v>70</v>
      </c>
      <c r="AO28" s="314">
        <f t="shared" si="2"/>
        <v>0.177094907407407</v>
      </c>
      <c r="AP28" s="315">
        <f t="shared" si="3"/>
        <v>89</v>
      </c>
      <c r="AQ28" s="316" t="str">
        <f t="shared" si="4"/>
        <v>MICRO</v>
      </c>
    </row>
    <row r="29" ht="29.25" customHeight="1" outlineLevel="1" spans="1:43">
      <c r="B29" s="317">
        <v>0.131956018518519</v>
      </c>
      <c r="C29" s="293" t="str">
        <f t="shared" ref="C29:G29" si="47">TEXT(IF($B29=0," ",$B29-C$6),"hh:mm am/pm")</f>
        <v>01:10 001/p1</v>
      </c>
      <c r="D29" s="293" t="e">
        <f t="shared" si="47"/>
        <v>#VALUE!</v>
      </c>
      <c r="E29" s="293" t="str">
        <f t="shared" si="47"/>
        <v>00:10 001/p1</v>
      </c>
      <c r="F29" s="293" t="str">
        <f t="shared" si="47"/>
        <v>01:10 001/p1</v>
      </c>
      <c r="G29" s="293" t="str">
        <f t="shared" si="47"/>
        <v>02:10 001/p1</v>
      </c>
      <c r="H29" s="293" t="str">
        <f t="shared" ref="H29:I29" si="48">TEXT(IF($B29=0," ",$B29+H$6),"hh:mm am/pm")</f>
        <v>09:10 001/p1</v>
      </c>
      <c r="I29" s="293" t="str">
        <f t="shared" si="48"/>
        <v>14:10 001/p1</v>
      </c>
      <c r="J29" s="294" t="s">
        <v>130</v>
      </c>
      <c r="K29" s="295"/>
      <c r="L29" s="337" t="s">
        <v>126</v>
      </c>
      <c r="M29" s="338" t="s">
        <v>71</v>
      </c>
      <c r="N29" s="339" t="s">
        <v>57</v>
      </c>
      <c r="O29" s="340" t="s">
        <v>82</v>
      </c>
      <c r="P29" s="341" t="s">
        <v>59</v>
      </c>
      <c r="Q29" s="342">
        <v>250</v>
      </c>
      <c r="R29" s="343" t="s">
        <v>60</v>
      </c>
      <c r="S29" s="344"/>
      <c r="T29" s="345" t="s">
        <v>61</v>
      </c>
      <c r="U29" s="339" t="s">
        <v>62</v>
      </c>
      <c r="V29" s="339">
        <v>5</v>
      </c>
      <c r="W29" s="339">
        <v>5</v>
      </c>
      <c r="X29" s="354"/>
      <c r="Y29" s="347" t="s">
        <v>63</v>
      </c>
      <c r="Z29" s="344"/>
      <c r="AA29" s="348" t="s">
        <v>64</v>
      </c>
      <c r="AB29" s="348" t="s">
        <v>65</v>
      </c>
      <c r="AC29" s="349">
        <v>0.1</v>
      </c>
      <c r="AD29" s="349">
        <v>0.02</v>
      </c>
      <c r="AE29" s="348" t="s">
        <v>88</v>
      </c>
      <c r="AF29" s="346">
        <v>30000</v>
      </c>
      <c r="AG29" s="350">
        <v>5</v>
      </c>
      <c r="AH29" s="350">
        <v>5</v>
      </c>
      <c r="AI29" s="350">
        <v>5</v>
      </c>
      <c r="AJ29" s="345">
        <v>12</v>
      </c>
      <c r="AK29" s="351" t="s">
        <v>67</v>
      </c>
      <c r="AL29" s="352" t="s">
        <v>68</v>
      </c>
      <c r="AM29" s="353" t="s">
        <v>69</v>
      </c>
      <c r="AN29" s="353" t="s">
        <v>70</v>
      </c>
      <c r="AO29" s="314">
        <f t="shared" si="2"/>
        <v>0.177094907407407</v>
      </c>
      <c r="AP29" s="315">
        <f t="shared" si="3"/>
        <v>57</v>
      </c>
      <c r="AQ29" s="316" t="str">
        <f t="shared" si="4"/>
        <v>MICRO</v>
      </c>
    </row>
    <row r="30" ht="29.25" customHeight="1" outlineLevel="1" spans="1:43">
      <c r="A30" s="363" t="s">
        <v>53</v>
      </c>
      <c r="B30" s="317">
        <v>0.173622685185185</v>
      </c>
      <c r="C30" s="293" t="str">
        <f t="shared" ref="C30:G30" si="49">TEXT(IF($B30=0," ",$B30-C$6),"hh:mm am/pm")</f>
        <v>02:10 001/p1</v>
      </c>
      <c r="D30" s="293" t="str">
        <f t="shared" si="49"/>
        <v>00:10 001/p1</v>
      </c>
      <c r="E30" s="293" t="str">
        <f t="shared" si="49"/>
        <v>01:10 001/p1</v>
      </c>
      <c r="F30" s="293" t="str">
        <f t="shared" si="49"/>
        <v>02:10 001/p1</v>
      </c>
      <c r="G30" s="293" t="str">
        <f t="shared" si="49"/>
        <v>03:10 001/p1</v>
      </c>
      <c r="H30" s="293" t="str">
        <f t="shared" ref="H30:I30" si="50">TEXT(IF($B30=0," ",$B30+H$6),"hh:mm am/pm")</f>
        <v>10:10 001/p1</v>
      </c>
      <c r="I30" s="293" t="str">
        <f t="shared" si="50"/>
        <v>15:10 001/p1</v>
      </c>
      <c r="J30" s="294" t="s">
        <v>131</v>
      </c>
      <c r="K30" s="295"/>
      <c r="L30" s="319" t="s">
        <v>119</v>
      </c>
      <c r="M30" s="320" t="s">
        <v>71</v>
      </c>
      <c r="N30" s="321" t="s">
        <v>57</v>
      </c>
      <c r="O30" s="322" t="s">
        <v>74</v>
      </c>
      <c r="P30" s="323" t="s">
        <v>59</v>
      </c>
      <c r="Q30" s="324">
        <v>250</v>
      </c>
      <c r="R30" s="375" t="s">
        <v>60</v>
      </c>
      <c r="S30" s="326"/>
      <c r="T30" s="327" t="s">
        <v>115</v>
      </c>
      <c r="U30" s="321" t="s">
        <v>62</v>
      </c>
      <c r="V30" s="321">
        <v>2</v>
      </c>
      <c r="W30" s="321">
        <v>2</v>
      </c>
      <c r="X30" s="328"/>
      <c r="Y30" s="329" t="s">
        <v>79</v>
      </c>
      <c r="Z30" s="321">
        <v>2</v>
      </c>
      <c r="AA30" s="330">
        <v>75000</v>
      </c>
      <c r="AB30" s="330" t="s">
        <v>65</v>
      </c>
      <c r="AC30" s="331">
        <v>0.1</v>
      </c>
      <c r="AD30" s="331">
        <v>0.02</v>
      </c>
      <c r="AE30" s="330" t="s">
        <v>88</v>
      </c>
      <c r="AF30" s="332">
        <v>30000</v>
      </c>
      <c r="AG30" s="333">
        <v>5</v>
      </c>
      <c r="AH30" s="333">
        <v>5</v>
      </c>
      <c r="AI30" s="333">
        <v>5</v>
      </c>
      <c r="AJ30" s="327">
        <v>12</v>
      </c>
      <c r="AK30" s="334" t="s">
        <v>67</v>
      </c>
      <c r="AL30" s="335" t="s">
        <v>68</v>
      </c>
      <c r="AM30" s="336" t="s">
        <v>69</v>
      </c>
      <c r="AN30" s="336" t="s">
        <v>70</v>
      </c>
      <c r="AO30" s="314">
        <f t="shared" si="2"/>
        <v>0.218761574074074</v>
      </c>
      <c r="AP30" s="315">
        <f t="shared" si="3"/>
        <v>143</v>
      </c>
      <c r="AQ30" s="316" t="str">
        <f t="shared" si="4"/>
        <v>MICRO</v>
      </c>
    </row>
    <row r="31" ht="29.25" customHeight="1" outlineLevel="1" spans="1:43">
      <c r="B31" s="317">
        <v>0.208344907407407</v>
      </c>
      <c r="C31" s="293" t="str">
        <f t="shared" ref="C31:G31" si="51">TEXT(IF($B31=0," ",$B31-C$6),"hh:mm am/pm")</f>
        <v>03:00 001/p1</v>
      </c>
      <c r="D31" s="293" t="str">
        <f t="shared" si="51"/>
        <v>01:00 001/p1</v>
      </c>
      <c r="E31" s="293" t="str">
        <f t="shared" si="51"/>
        <v>02:00 001/p1</v>
      </c>
      <c r="F31" s="293" t="str">
        <f t="shared" si="51"/>
        <v>03:00 001/p1</v>
      </c>
      <c r="G31" s="293" t="str">
        <f t="shared" si="51"/>
        <v>04:00 001/p1</v>
      </c>
      <c r="H31" s="293" t="str">
        <f t="shared" ref="H31:I31" si="52">TEXT(IF($B31=0," ",$B31+H$6),"hh:mm am/pm")</f>
        <v>11:00 001/p1</v>
      </c>
      <c r="I31" s="293" t="str">
        <f t="shared" si="52"/>
        <v>16:00 001/p1</v>
      </c>
      <c r="J31" s="294" t="s">
        <v>132</v>
      </c>
      <c r="K31" s="295"/>
      <c r="L31" s="337" t="s">
        <v>133</v>
      </c>
      <c r="M31" s="338" t="s">
        <v>71</v>
      </c>
      <c r="N31" s="339" t="s">
        <v>57</v>
      </c>
      <c r="O31" s="340" t="s">
        <v>58</v>
      </c>
      <c r="P31" s="341" t="s">
        <v>59</v>
      </c>
      <c r="Q31" s="342">
        <v>100</v>
      </c>
      <c r="R31" s="343" t="s">
        <v>60</v>
      </c>
      <c r="S31" s="344"/>
      <c r="T31" s="345" t="s">
        <v>61</v>
      </c>
      <c r="U31" s="339" t="s">
        <v>62</v>
      </c>
      <c r="V31" s="339">
        <v>1.6</v>
      </c>
      <c r="W31" s="339">
        <v>1.6</v>
      </c>
      <c r="X31" s="354"/>
      <c r="Y31" s="347" t="s">
        <v>63</v>
      </c>
      <c r="Z31" s="344"/>
      <c r="AA31" s="348" t="s">
        <v>64</v>
      </c>
      <c r="AB31" s="348" t="s">
        <v>65</v>
      </c>
      <c r="AC31" s="349">
        <v>0.1</v>
      </c>
      <c r="AD31" s="349">
        <v>0</v>
      </c>
      <c r="AE31" s="348" t="s">
        <v>66</v>
      </c>
      <c r="AF31" s="346">
        <v>40000</v>
      </c>
      <c r="AG31" s="350">
        <v>8</v>
      </c>
      <c r="AH31" s="350">
        <v>7</v>
      </c>
      <c r="AI31" s="350">
        <v>7</v>
      </c>
      <c r="AJ31" s="345">
        <v>14</v>
      </c>
      <c r="AK31" s="351" t="s">
        <v>67</v>
      </c>
      <c r="AL31" s="352" t="s">
        <v>68</v>
      </c>
      <c r="AM31" s="353" t="s">
        <v>69</v>
      </c>
      <c r="AN31" s="353" t="s">
        <v>70</v>
      </c>
      <c r="AO31" s="314">
        <f t="shared" si="2"/>
        <v>0.289594907407407</v>
      </c>
      <c r="AP31" s="315">
        <f t="shared" si="3"/>
        <v>70</v>
      </c>
      <c r="AQ31" s="316" t="str">
        <f t="shared" si="4"/>
        <v>MICRO</v>
      </c>
    </row>
    <row r="32" ht="29.25" customHeight="1" outlineLevel="1" spans="1:43">
      <c r="B32" s="317">
        <v>0.215289351851852</v>
      </c>
      <c r="C32" s="293" t="str">
        <f t="shared" ref="C32:G32" si="53">TEXT(IF($B32=0," ",$B32-C$6),"hh:mm am/pm")</f>
        <v>03:10 001/p1</v>
      </c>
      <c r="D32" s="293" t="str">
        <f t="shared" si="53"/>
        <v>01:10 001/p1</v>
      </c>
      <c r="E32" s="293" t="str">
        <f t="shared" si="53"/>
        <v>02:10 001/p1</v>
      </c>
      <c r="F32" s="293" t="str">
        <f t="shared" si="53"/>
        <v>03:10 001/p1</v>
      </c>
      <c r="G32" s="293" t="str">
        <f t="shared" si="53"/>
        <v>04:10 001/p1</v>
      </c>
      <c r="H32" s="293" t="str">
        <f t="shared" ref="H32:I32" si="54">TEXT(IF($B32=0," ",$B32+H$6),"hh:mm am/pm")</f>
        <v>11:10 001/p1</v>
      </c>
      <c r="I32" s="293" t="str">
        <f t="shared" si="54"/>
        <v>16:10 001/p1</v>
      </c>
      <c r="J32" s="294" t="s">
        <v>134</v>
      </c>
      <c r="K32" s="295"/>
      <c r="L32" s="319" t="s">
        <v>114</v>
      </c>
      <c r="M32" s="320" t="s">
        <v>71</v>
      </c>
      <c r="N32" s="321" t="s">
        <v>57</v>
      </c>
      <c r="O32" s="322" t="s">
        <v>74</v>
      </c>
      <c r="P32" s="323" t="s">
        <v>59</v>
      </c>
      <c r="Q32" s="324">
        <v>200</v>
      </c>
      <c r="R32" s="375" t="s">
        <v>60</v>
      </c>
      <c r="S32" s="326"/>
      <c r="T32" s="327" t="s">
        <v>115</v>
      </c>
      <c r="U32" s="321" t="s">
        <v>62</v>
      </c>
      <c r="V32" s="321">
        <v>2</v>
      </c>
      <c r="W32" s="321" t="s">
        <v>135</v>
      </c>
      <c r="X32" s="328"/>
      <c r="Y32" s="329" t="s">
        <v>79</v>
      </c>
      <c r="Z32" s="321">
        <v>2</v>
      </c>
      <c r="AA32" s="330">
        <v>80000</v>
      </c>
      <c r="AB32" s="330" t="s">
        <v>65</v>
      </c>
      <c r="AC32" s="331">
        <v>0.1</v>
      </c>
      <c r="AD32" s="331">
        <v>0</v>
      </c>
      <c r="AE32" s="330" t="s">
        <v>88</v>
      </c>
      <c r="AF32" s="332">
        <v>40000</v>
      </c>
      <c r="AG32" s="333">
        <v>6</v>
      </c>
      <c r="AH32" s="333">
        <v>6</v>
      </c>
      <c r="AI32" s="333">
        <v>6</v>
      </c>
      <c r="AJ32" s="327">
        <v>13</v>
      </c>
      <c r="AK32" s="334" t="s">
        <v>67</v>
      </c>
      <c r="AL32" s="335" t="s">
        <v>68</v>
      </c>
      <c r="AM32" s="376" t="s">
        <v>69</v>
      </c>
      <c r="AN32" s="376" t="s">
        <v>70</v>
      </c>
      <c r="AO32" s="314">
        <f t="shared" si="2"/>
        <v>0.272928240740741</v>
      </c>
      <c r="AP32" s="315">
        <f t="shared" si="3"/>
        <v>112</v>
      </c>
      <c r="AQ32" s="316" t="str">
        <f t="shared" si="4"/>
        <v>MICRO</v>
      </c>
    </row>
    <row r="33" ht="29.25" customHeight="1" outlineLevel="1" spans="1:43">
      <c r="A33" s="363"/>
      <c r="B33" s="317">
        <v>0.256956018518519</v>
      </c>
      <c r="C33" s="293" t="str">
        <f t="shared" ref="C33:G33" si="55">TEXT(IF($B33=0," ",$B33-C$6),"hh:mm am/pm")</f>
        <v>04:10 001/p1</v>
      </c>
      <c r="D33" s="293" t="str">
        <f t="shared" si="55"/>
        <v>02:10 001/p1</v>
      </c>
      <c r="E33" s="293" t="str">
        <f t="shared" si="55"/>
        <v>03:10 001/p1</v>
      </c>
      <c r="F33" s="293" t="str">
        <f t="shared" si="55"/>
        <v>04:10 001/p1</v>
      </c>
      <c r="G33" s="293" t="str">
        <f t="shared" si="55"/>
        <v>05:10 001/p1</v>
      </c>
      <c r="H33" s="293" t="str">
        <f t="shared" ref="H33:I33" si="56">TEXT(IF($B33=0," ",$B33+H$6),"hh:mm am/pm")</f>
        <v>12:10 001/p1</v>
      </c>
      <c r="I33" s="293" t="str">
        <f t="shared" si="56"/>
        <v>17:10 001/p1</v>
      </c>
      <c r="J33" s="294" t="s">
        <v>136</v>
      </c>
      <c r="K33" s="295"/>
      <c r="L33" s="337" t="s">
        <v>114</v>
      </c>
      <c r="M33" s="338" t="s">
        <v>71</v>
      </c>
      <c r="N33" s="339" t="s">
        <v>57</v>
      </c>
      <c r="O33" s="340" t="s">
        <v>74</v>
      </c>
      <c r="P33" s="341" t="s">
        <v>75</v>
      </c>
      <c r="Q33" s="342">
        <v>100</v>
      </c>
      <c r="R33" s="343" t="s">
        <v>60</v>
      </c>
      <c r="S33" s="344"/>
      <c r="T33" s="345" t="s">
        <v>115</v>
      </c>
      <c r="U33" s="339" t="s">
        <v>62</v>
      </c>
      <c r="V33" s="339">
        <v>1</v>
      </c>
      <c r="W33" s="339">
        <v>1</v>
      </c>
      <c r="X33" s="354"/>
      <c r="Y33" s="347" t="s">
        <v>79</v>
      </c>
      <c r="Z33" s="339">
        <v>1</v>
      </c>
      <c r="AA33" s="348">
        <v>80000</v>
      </c>
      <c r="AB33" s="348" t="s">
        <v>65</v>
      </c>
      <c r="AC33" s="349">
        <v>0.1</v>
      </c>
      <c r="AD33" s="349">
        <v>0</v>
      </c>
      <c r="AE33" s="345" t="s">
        <v>88</v>
      </c>
      <c r="AF33" s="346">
        <v>40000</v>
      </c>
      <c r="AG33" s="350">
        <v>6</v>
      </c>
      <c r="AH33" s="350">
        <v>6</v>
      </c>
      <c r="AI33" s="350">
        <v>6</v>
      </c>
      <c r="AJ33" s="345">
        <v>13</v>
      </c>
      <c r="AK33" s="351" t="s">
        <v>67</v>
      </c>
      <c r="AL33" s="352" t="s">
        <v>68</v>
      </c>
      <c r="AM33" s="313" t="s">
        <v>69</v>
      </c>
      <c r="AN33" s="313" t="s">
        <v>70</v>
      </c>
      <c r="AO33" s="314">
        <f t="shared" si="2"/>
        <v>0.314594907407407</v>
      </c>
      <c r="AP33" s="315">
        <f t="shared" si="3"/>
        <v>112</v>
      </c>
      <c r="AQ33" s="316" t="str">
        <f t="shared" si="4"/>
        <v>MICRO</v>
      </c>
    </row>
    <row r="34" ht="29.25" customHeight="1" outlineLevel="1" spans="1:43">
      <c r="B34" s="317">
        <v>0.298622685185185</v>
      </c>
      <c r="C34" s="293" t="str">
        <f t="shared" ref="C34:G34" si="57">TEXT(IF($B34=0," ",$B34-C$6),"hh:mm am/pm")</f>
        <v>05:10 001/p1</v>
      </c>
      <c r="D34" s="293" t="str">
        <f t="shared" si="57"/>
        <v>03:10 001/p1</v>
      </c>
      <c r="E34" s="293" t="str">
        <f t="shared" si="57"/>
        <v>04:10 001/p1</v>
      </c>
      <c r="F34" s="293" t="str">
        <f t="shared" si="57"/>
        <v>05:10 001/p1</v>
      </c>
      <c r="G34" s="293" t="str">
        <f t="shared" si="57"/>
        <v>06:10 001/p1</v>
      </c>
      <c r="H34" s="293" t="str">
        <f t="shared" ref="H34:I34" si="58">TEXT(IF($B34=0," ",$B34+H$6),"hh:mm am/pm")</f>
        <v>13:10 001/p1</v>
      </c>
      <c r="I34" s="293" t="str">
        <f t="shared" si="58"/>
        <v>18:10 001/p1</v>
      </c>
      <c r="J34" s="294" t="s">
        <v>137</v>
      </c>
      <c r="K34" s="295"/>
      <c r="L34" s="319" t="s">
        <v>129</v>
      </c>
      <c r="M34" s="320" t="s">
        <v>71</v>
      </c>
      <c r="N34" s="321" t="s">
        <v>100</v>
      </c>
      <c r="O34" s="322" t="s">
        <v>74</v>
      </c>
      <c r="P34" s="323" t="s">
        <v>101</v>
      </c>
      <c r="Q34" s="324">
        <v>100</v>
      </c>
      <c r="R34" s="375" t="s">
        <v>60</v>
      </c>
      <c r="S34" s="326"/>
      <c r="T34" s="327" t="s">
        <v>61</v>
      </c>
      <c r="U34" s="321" t="s">
        <v>62</v>
      </c>
      <c r="V34" s="321">
        <v>1</v>
      </c>
      <c r="W34" s="321">
        <v>1</v>
      </c>
      <c r="X34" s="328"/>
      <c r="Y34" s="329" t="s">
        <v>79</v>
      </c>
      <c r="Z34" s="321">
        <v>1</v>
      </c>
      <c r="AA34" s="330">
        <v>75000</v>
      </c>
      <c r="AB34" s="330" t="s">
        <v>65</v>
      </c>
      <c r="AC34" s="331">
        <v>0.1</v>
      </c>
      <c r="AD34" s="331">
        <v>0</v>
      </c>
      <c r="AE34" s="330" t="s">
        <v>88</v>
      </c>
      <c r="AF34" s="332">
        <v>30000</v>
      </c>
      <c r="AG34" s="333">
        <v>5</v>
      </c>
      <c r="AH34" s="333">
        <v>5</v>
      </c>
      <c r="AI34" s="333">
        <v>5</v>
      </c>
      <c r="AJ34" s="327">
        <v>12</v>
      </c>
      <c r="AK34" s="334" t="s">
        <v>67</v>
      </c>
      <c r="AL34" s="335" t="s">
        <v>68</v>
      </c>
      <c r="AM34" s="376" t="s">
        <v>69</v>
      </c>
      <c r="AN34" s="376" t="s">
        <v>70</v>
      </c>
      <c r="AO34" s="314">
        <f t="shared" si="2"/>
        <v>0.343761574074074</v>
      </c>
      <c r="AP34" s="315">
        <f t="shared" si="3"/>
        <v>112</v>
      </c>
      <c r="AQ34" s="316" t="str">
        <f t="shared" si="4"/>
        <v>MICRO</v>
      </c>
    </row>
    <row r="35" ht="29.25" customHeight="1" outlineLevel="1" spans="1:43">
      <c r="A35" s="363"/>
      <c r="B35" s="317">
        <v>0.322928240740741</v>
      </c>
      <c r="C35" s="293" t="str">
        <f t="shared" ref="C35:G35" si="59">TEXT(IF($B35=0," ",$B35-C$6),"hh:mm am/pm")</f>
        <v>05:45 001/p1</v>
      </c>
      <c r="D35" s="293" t="str">
        <f t="shared" si="59"/>
        <v>03:45 001/p1</v>
      </c>
      <c r="E35" s="293" t="str">
        <f t="shared" si="59"/>
        <v>04:45 001/p1</v>
      </c>
      <c r="F35" s="293" t="str">
        <f t="shared" si="59"/>
        <v>05:45 001/p1</v>
      </c>
      <c r="G35" s="293" t="str">
        <f t="shared" si="59"/>
        <v>06:45 001/p1</v>
      </c>
      <c r="H35" s="293" t="str">
        <f t="shared" ref="H35:I35" si="60">TEXT(IF($B35=0," ",$B35+H$6),"hh:mm am/pm")</f>
        <v>13:45 001/p1</v>
      </c>
      <c r="I35" s="293" t="str">
        <f t="shared" si="60"/>
        <v>18:45 001/p1</v>
      </c>
      <c r="J35" s="294" t="s">
        <v>138</v>
      </c>
      <c r="K35" s="295"/>
      <c r="L35" s="337" t="s">
        <v>139</v>
      </c>
      <c r="M35" s="338" t="s">
        <v>71</v>
      </c>
      <c r="N35" s="339" t="s">
        <v>122</v>
      </c>
      <c r="O35" s="340" t="s">
        <v>82</v>
      </c>
      <c r="P35" s="341" t="s">
        <v>101</v>
      </c>
      <c r="Q35" s="342">
        <v>300</v>
      </c>
      <c r="R35" s="343" t="s">
        <v>60</v>
      </c>
      <c r="S35" s="344"/>
      <c r="T35" s="345" t="s">
        <v>61</v>
      </c>
      <c r="U35" s="339" t="s">
        <v>62</v>
      </c>
      <c r="V35" s="339">
        <v>3</v>
      </c>
      <c r="W35" s="339">
        <v>3</v>
      </c>
      <c r="X35" s="354"/>
      <c r="Y35" s="347" t="s">
        <v>63</v>
      </c>
      <c r="Z35" s="344"/>
      <c r="AA35" s="348" t="s">
        <v>64</v>
      </c>
      <c r="AB35" s="348" t="s">
        <v>65</v>
      </c>
      <c r="AC35" s="349">
        <v>0.1</v>
      </c>
      <c r="AD35" s="349">
        <v>0.02</v>
      </c>
      <c r="AE35" s="348" t="s">
        <v>66</v>
      </c>
      <c r="AF35" s="346">
        <v>40000</v>
      </c>
      <c r="AG35" s="350">
        <v>10</v>
      </c>
      <c r="AH35" s="350">
        <v>8</v>
      </c>
      <c r="AI35" s="350">
        <v>8</v>
      </c>
      <c r="AJ35" s="345">
        <v>14</v>
      </c>
      <c r="AK35" s="351" t="s">
        <v>67</v>
      </c>
      <c r="AL35" s="352" t="s">
        <v>68</v>
      </c>
      <c r="AM35" s="313" t="s">
        <v>69</v>
      </c>
      <c r="AN35" s="313" t="s">
        <v>70</v>
      </c>
      <c r="AO35" s="314">
        <f t="shared" si="2"/>
        <v>0.427094907407407</v>
      </c>
      <c r="AP35" s="315">
        <f t="shared" si="3"/>
        <v>114</v>
      </c>
      <c r="AQ35" s="316" t="str">
        <f t="shared" si="4"/>
        <v>MICRO</v>
      </c>
    </row>
    <row r="36" ht="29.25" customHeight="1" outlineLevel="1" spans="1:43">
      <c r="B36" s="317">
        <v>0.333344907407407</v>
      </c>
      <c r="C36" s="293" t="str">
        <f t="shared" ref="C36:G36" si="61">TEXT(IF($B36=0," ",$B36-C$6),"hh:mm am/pm")</f>
        <v>06:00 001/p1</v>
      </c>
      <c r="D36" s="293" t="str">
        <f t="shared" si="61"/>
        <v>04:00 001/p1</v>
      </c>
      <c r="E36" s="293" t="str">
        <f t="shared" si="61"/>
        <v>05:00 001/p1</v>
      </c>
      <c r="F36" s="293" t="str">
        <f t="shared" si="61"/>
        <v>06:00 001/p1</v>
      </c>
      <c r="G36" s="293" t="str">
        <f t="shared" si="61"/>
        <v>07:00 001/p1</v>
      </c>
      <c r="H36" s="293" t="str">
        <f t="shared" ref="H36:I36" si="62">TEXT(IF($B36=0," ",$B36+H$6),"hh:mm am/pm")</f>
        <v>14:00 001/p1</v>
      </c>
      <c r="I36" s="293" t="str">
        <f t="shared" si="62"/>
        <v>19:00 001/p1</v>
      </c>
      <c r="J36" s="294" t="s">
        <v>140</v>
      </c>
      <c r="K36" s="295"/>
      <c r="L36" s="319" t="s">
        <v>119</v>
      </c>
      <c r="M36" s="320" t="s">
        <v>71</v>
      </c>
      <c r="N36" s="321" t="s">
        <v>57</v>
      </c>
      <c r="O36" s="322" t="s">
        <v>74</v>
      </c>
      <c r="P36" s="323" t="s">
        <v>75</v>
      </c>
      <c r="Q36" s="324">
        <v>500</v>
      </c>
      <c r="R36" s="375" t="s">
        <v>60</v>
      </c>
      <c r="S36" s="326"/>
      <c r="T36" s="327" t="s">
        <v>115</v>
      </c>
      <c r="U36" s="321" t="s">
        <v>62</v>
      </c>
      <c r="V36" s="321">
        <v>1</v>
      </c>
      <c r="W36" s="321">
        <v>1</v>
      </c>
      <c r="X36" s="328"/>
      <c r="Y36" s="329" t="s">
        <v>79</v>
      </c>
      <c r="Z36" s="321">
        <v>1</v>
      </c>
      <c r="AA36" s="330">
        <v>120000</v>
      </c>
      <c r="AB36" s="330" t="s">
        <v>65</v>
      </c>
      <c r="AC36" s="331">
        <v>0.1</v>
      </c>
      <c r="AD36" s="331">
        <v>0.02</v>
      </c>
      <c r="AE36" s="327" t="s">
        <v>66</v>
      </c>
      <c r="AF36" s="332">
        <v>40000</v>
      </c>
      <c r="AG36" s="333">
        <v>8</v>
      </c>
      <c r="AH36" s="333">
        <v>7</v>
      </c>
      <c r="AI36" s="333">
        <v>7</v>
      </c>
      <c r="AJ36" s="327">
        <v>15</v>
      </c>
      <c r="AK36" s="334" t="s">
        <v>67</v>
      </c>
      <c r="AL36" s="335" t="s">
        <v>68</v>
      </c>
      <c r="AM36" s="336" t="s">
        <v>69</v>
      </c>
      <c r="AN36" s="336" t="s">
        <v>70</v>
      </c>
      <c r="AO36" s="314">
        <f t="shared" si="2"/>
        <v>0.423622685185185</v>
      </c>
      <c r="AP36" s="315">
        <f t="shared" si="3"/>
        <v>569</v>
      </c>
      <c r="AQ36" s="316" t="str">
        <f t="shared" si="4"/>
        <v>MICRO</v>
      </c>
    </row>
    <row r="37" ht="29.25" customHeight="1" outlineLevel="1" spans="1:43">
      <c r="A37" s="363" t="s">
        <v>53</v>
      </c>
      <c r="B37" s="317">
        <v>0.347233796296296</v>
      </c>
      <c r="C37" s="293" t="str">
        <f t="shared" ref="C37:G37" si="63">TEXT(IF($B37=0," ",$B37-C$6),"hh:mm am/pm")</f>
        <v>06:20 001/p1</v>
      </c>
      <c r="D37" s="293" t="str">
        <f t="shared" si="63"/>
        <v>04:20 001/p1</v>
      </c>
      <c r="E37" s="293" t="str">
        <f t="shared" si="63"/>
        <v>05:20 001/p1</v>
      </c>
      <c r="F37" s="293" t="str">
        <f t="shared" si="63"/>
        <v>06:20 001/p1</v>
      </c>
      <c r="G37" s="293" t="str">
        <f t="shared" si="63"/>
        <v>07:20 001/p1</v>
      </c>
      <c r="H37" s="293" t="str">
        <f t="shared" ref="H37:I37" si="64">TEXT(IF($B37=0," ",$B37+H$6),"hh:mm am/pm")</f>
        <v>14:20 001/p1</v>
      </c>
      <c r="I37" s="293" t="str">
        <f t="shared" si="64"/>
        <v>19:20 001/p1</v>
      </c>
      <c r="J37" s="294" t="s">
        <v>141</v>
      </c>
      <c r="K37" s="295"/>
      <c r="L37" s="337" t="s">
        <v>114</v>
      </c>
      <c r="M37" s="338" t="s">
        <v>71</v>
      </c>
      <c r="N37" s="339" t="s">
        <v>57</v>
      </c>
      <c r="O37" s="340" t="s">
        <v>74</v>
      </c>
      <c r="P37" s="341" t="s">
        <v>75</v>
      </c>
      <c r="Q37" s="342">
        <v>60</v>
      </c>
      <c r="R37" s="343" t="s">
        <v>60</v>
      </c>
      <c r="S37" s="344"/>
      <c r="T37" s="345" t="s">
        <v>77</v>
      </c>
      <c r="U37" s="339" t="s">
        <v>62</v>
      </c>
      <c r="V37" s="339">
        <v>0.2</v>
      </c>
      <c r="W37" s="339">
        <v>0.2</v>
      </c>
      <c r="X37" s="354"/>
      <c r="Y37" s="347" t="s">
        <v>79</v>
      </c>
      <c r="Z37" s="339">
        <v>0.2</v>
      </c>
      <c r="AA37" s="348">
        <v>50000</v>
      </c>
      <c r="AB37" s="348" t="s">
        <v>65</v>
      </c>
      <c r="AC37" s="349">
        <v>0.1</v>
      </c>
      <c r="AD37" s="349">
        <v>0</v>
      </c>
      <c r="AE37" s="345" t="s">
        <v>66</v>
      </c>
      <c r="AF37" s="346">
        <v>20000</v>
      </c>
      <c r="AG37" s="350">
        <v>6</v>
      </c>
      <c r="AH37" s="350">
        <v>5</v>
      </c>
      <c r="AI37" s="350">
        <v>5</v>
      </c>
      <c r="AJ37" s="345">
        <v>13</v>
      </c>
      <c r="AK37" s="351" t="s">
        <v>67</v>
      </c>
      <c r="AL37" s="352" t="s">
        <v>68</v>
      </c>
      <c r="AM37" s="313" t="s">
        <v>69</v>
      </c>
      <c r="AN37" s="313" t="s">
        <v>70</v>
      </c>
      <c r="AO37" s="314">
        <f t="shared" si="2"/>
        <v>0.404872685185185</v>
      </c>
      <c r="AP37" s="315">
        <f t="shared" si="3"/>
        <v>334</v>
      </c>
      <c r="AQ37" s="316" t="str">
        <f t="shared" si="4"/>
        <v>MICRO</v>
      </c>
    </row>
    <row r="38" ht="29.25" customHeight="1" outlineLevel="1" spans="1:43">
      <c r="B38" s="317">
        <v>0.375011574074074</v>
      </c>
      <c r="C38" s="293" t="str">
        <f t="shared" ref="C38:G38" si="65">TEXT(IF($B38=0," ",$B38-C$6),"hh:mm am/pm")</f>
        <v>07:00 001/p1</v>
      </c>
      <c r="D38" s="293" t="str">
        <f t="shared" si="65"/>
        <v>05:00 001/p1</v>
      </c>
      <c r="E38" s="293" t="str">
        <f t="shared" si="65"/>
        <v>06:00 001/p1</v>
      </c>
      <c r="F38" s="293" t="str">
        <f t="shared" si="65"/>
        <v>07:00 001/p1</v>
      </c>
      <c r="G38" s="293" t="str">
        <f t="shared" si="65"/>
        <v>08:00 001/p1</v>
      </c>
      <c r="H38" s="293" t="str">
        <f t="shared" ref="H38:I38" si="66">TEXT(IF($B38=0," ",$B38+H$6),"hh:mm am/pm")</f>
        <v>15:00 001/p1</v>
      </c>
      <c r="I38" s="293" t="str">
        <f t="shared" si="66"/>
        <v>20:00 001/p1</v>
      </c>
      <c r="J38" s="294" t="s">
        <v>142</v>
      </c>
      <c r="K38" s="295"/>
      <c r="L38" s="319" t="s">
        <v>133</v>
      </c>
      <c r="M38" s="320" t="s">
        <v>71</v>
      </c>
      <c r="N38" s="321" t="s">
        <v>57</v>
      </c>
      <c r="O38" s="322" t="s">
        <v>58</v>
      </c>
      <c r="P38" s="323" t="s">
        <v>59</v>
      </c>
      <c r="Q38" s="324">
        <v>150</v>
      </c>
      <c r="R38" s="375" t="s">
        <v>60</v>
      </c>
      <c r="S38" s="326"/>
      <c r="T38" s="327" t="s">
        <v>61</v>
      </c>
      <c r="U38" s="321" t="s">
        <v>62</v>
      </c>
      <c r="V38" s="321">
        <v>1.5</v>
      </c>
      <c r="W38" s="321">
        <v>1.5</v>
      </c>
      <c r="X38" s="332">
        <v>60000</v>
      </c>
      <c r="Y38" s="329" t="s">
        <v>63</v>
      </c>
      <c r="Z38" s="326"/>
      <c r="AA38" s="330" t="s">
        <v>64</v>
      </c>
      <c r="AB38" s="330" t="s">
        <v>65</v>
      </c>
      <c r="AC38" s="331">
        <v>0.1</v>
      </c>
      <c r="AD38" s="331">
        <v>0</v>
      </c>
      <c r="AE38" s="330" t="s">
        <v>66</v>
      </c>
      <c r="AF38" s="332">
        <v>50000</v>
      </c>
      <c r="AG38" s="333">
        <v>8</v>
      </c>
      <c r="AH38" s="333">
        <v>7</v>
      </c>
      <c r="AI38" s="333">
        <v>7</v>
      </c>
      <c r="AJ38" s="327">
        <v>15</v>
      </c>
      <c r="AK38" s="334" t="s">
        <v>67</v>
      </c>
      <c r="AL38" s="335" t="s">
        <v>68</v>
      </c>
      <c r="AM38" s="336" t="s">
        <v>69</v>
      </c>
      <c r="AN38" s="336" t="s">
        <v>70</v>
      </c>
      <c r="AO38" s="314">
        <f t="shared" si="2"/>
        <v>0.465289351851852</v>
      </c>
      <c r="AP38" s="315">
        <f t="shared" si="3"/>
        <v>112</v>
      </c>
      <c r="AQ38" s="316" t="str">
        <f t="shared" si="4"/>
        <v>MICRO</v>
      </c>
    </row>
    <row r="39" ht="29.25" customHeight="1" outlineLevel="1" spans="1:43">
      <c r="B39" s="317">
        <v>0.375011574074074</v>
      </c>
      <c r="C39" s="293" t="str">
        <f t="shared" ref="C39:G39" si="67">TEXT(IF($B39=0," ",$B39-C$6),"hh:mm am/pm")</f>
        <v>07:00 001/p1</v>
      </c>
      <c r="D39" s="293" t="str">
        <f t="shared" si="67"/>
        <v>05:00 001/p1</v>
      </c>
      <c r="E39" s="293" t="str">
        <f t="shared" si="67"/>
        <v>06:00 001/p1</v>
      </c>
      <c r="F39" s="293" t="str">
        <f t="shared" si="67"/>
        <v>07:00 001/p1</v>
      </c>
      <c r="G39" s="293" t="str">
        <f t="shared" si="67"/>
        <v>08:00 001/p1</v>
      </c>
      <c r="H39" s="293" t="str">
        <f t="shared" ref="H39:I39" si="68">TEXT(IF($B39=0," ",$B39+H$6),"hh:mm am/pm")</f>
        <v>15:00 001/p1</v>
      </c>
      <c r="I39" s="293" t="str">
        <f t="shared" si="68"/>
        <v>20:00 001/p1</v>
      </c>
      <c r="J39" s="294" t="s">
        <v>137</v>
      </c>
      <c r="K39" s="295"/>
      <c r="L39" s="337" t="s">
        <v>129</v>
      </c>
      <c r="M39" s="338" t="s">
        <v>71</v>
      </c>
      <c r="N39" s="339" t="s">
        <v>122</v>
      </c>
      <c r="O39" s="340" t="s">
        <v>74</v>
      </c>
      <c r="P39" s="341" t="s">
        <v>101</v>
      </c>
      <c r="Q39" s="342">
        <v>100</v>
      </c>
      <c r="R39" s="343" t="s">
        <v>60</v>
      </c>
      <c r="S39" s="344"/>
      <c r="T39" s="345" t="s">
        <v>61</v>
      </c>
      <c r="U39" s="339" t="s">
        <v>62</v>
      </c>
      <c r="V39" s="339">
        <v>1</v>
      </c>
      <c r="W39" s="339">
        <v>1</v>
      </c>
      <c r="X39" s="354"/>
      <c r="Y39" s="347" t="s">
        <v>79</v>
      </c>
      <c r="Z39" s="339">
        <v>1</v>
      </c>
      <c r="AA39" s="348">
        <v>80000</v>
      </c>
      <c r="AB39" s="348" t="s">
        <v>65</v>
      </c>
      <c r="AC39" s="349">
        <v>0.1</v>
      </c>
      <c r="AD39" s="349">
        <v>0</v>
      </c>
      <c r="AE39" s="348" t="s">
        <v>88</v>
      </c>
      <c r="AF39" s="346">
        <v>40000</v>
      </c>
      <c r="AG39" s="350">
        <v>7</v>
      </c>
      <c r="AH39" s="350">
        <v>7</v>
      </c>
      <c r="AI39" s="350">
        <v>7</v>
      </c>
      <c r="AJ39" s="345">
        <v>13</v>
      </c>
      <c r="AK39" s="351" t="s">
        <v>67</v>
      </c>
      <c r="AL39" s="352" t="s">
        <v>68</v>
      </c>
      <c r="AM39" s="353" t="s">
        <v>69</v>
      </c>
      <c r="AN39" s="353" t="s">
        <v>70</v>
      </c>
      <c r="AO39" s="314">
        <f t="shared" si="2"/>
        <v>0.441678240740741</v>
      </c>
      <c r="AP39" s="315">
        <f t="shared" si="3"/>
        <v>112</v>
      </c>
      <c r="AQ39" s="316" t="str">
        <f t="shared" si="4"/>
        <v>MICRO</v>
      </c>
    </row>
    <row r="40" ht="29.25" customHeight="1" outlineLevel="1" spans="1:43">
      <c r="A40" s="363" t="s">
        <v>53</v>
      </c>
      <c r="B40" s="317">
        <v>0.416678240740741</v>
      </c>
      <c r="C40" s="293" t="str">
        <f t="shared" ref="C40:G40" si="69">TEXT(IF($B40=0," ",$B40-C$6),"hh:mm am/pm")</f>
        <v>08:00 001/p1</v>
      </c>
      <c r="D40" s="293" t="str">
        <f t="shared" si="69"/>
        <v>06:00 001/p1</v>
      </c>
      <c r="E40" s="293" t="str">
        <f t="shared" si="69"/>
        <v>07:00 001/p1</v>
      </c>
      <c r="F40" s="293" t="str">
        <f t="shared" si="69"/>
        <v>08:00 001/p1</v>
      </c>
      <c r="G40" s="293" t="str">
        <f t="shared" si="69"/>
        <v>09:00 001/p1</v>
      </c>
      <c r="H40" s="293" t="str">
        <f t="shared" ref="H40:I40" si="70">TEXT(IF($B40=0," ",$B40+H$6),"hh:mm am/pm")</f>
        <v>16:00 001/p1</v>
      </c>
      <c r="I40" s="293" t="str">
        <f t="shared" si="70"/>
        <v>21:00 001/p1</v>
      </c>
      <c r="J40" s="294" t="s">
        <v>143</v>
      </c>
      <c r="K40" s="295"/>
      <c r="L40" s="319" t="s">
        <v>126</v>
      </c>
      <c r="M40" s="320" t="s">
        <v>71</v>
      </c>
      <c r="N40" s="321" t="s">
        <v>57</v>
      </c>
      <c r="O40" s="322" t="s">
        <v>144</v>
      </c>
      <c r="P40" s="323" t="s">
        <v>59</v>
      </c>
      <c r="Q40" s="324">
        <v>800</v>
      </c>
      <c r="R40" s="375" t="s">
        <v>60</v>
      </c>
      <c r="S40" s="326"/>
      <c r="T40" s="327" t="s">
        <v>61</v>
      </c>
      <c r="U40" s="321" t="s">
        <v>62</v>
      </c>
      <c r="V40" s="321">
        <v>6</v>
      </c>
      <c r="W40" s="321">
        <v>6</v>
      </c>
      <c r="X40" s="328"/>
      <c r="Y40" s="329" t="s">
        <v>63</v>
      </c>
      <c r="Z40" s="326"/>
      <c r="AA40" s="330" t="s">
        <v>64</v>
      </c>
      <c r="AB40" s="330" t="s">
        <v>65</v>
      </c>
      <c r="AC40" s="331">
        <v>0.1</v>
      </c>
      <c r="AD40" s="331">
        <v>0.02</v>
      </c>
      <c r="AE40" s="327" t="s">
        <v>66</v>
      </c>
      <c r="AF40" s="332">
        <v>40000</v>
      </c>
      <c r="AG40" s="333">
        <v>10</v>
      </c>
      <c r="AH40" s="333">
        <v>8</v>
      </c>
      <c r="AI40" s="333">
        <v>8</v>
      </c>
      <c r="AJ40" s="327">
        <v>14</v>
      </c>
      <c r="AK40" s="334" t="s">
        <v>67</v>
      </c>
      <c r="AL40" s="335" t="s">
        <v>68</v>
      </c>
      <c r="AM40" s="336" t="s">
        <v>69</v>
      </c>
      <c r="AN40" s="336" t="s">
        <v>70</v>
      </c>
      <c r="AO40" s="314">
        <f t="shared" si="2"/>
        <v>0.520844907407407</v>
      </c>
      <c r="AP40" s="315">
        <f t="shared" si="3"/>
        <v>152</v>
      </c>
      <c r="AQ40" s="316" t="str">
        <f t="shared" si="4"/>
        <v>LOW</v>
      </c>
    </row>
    <row r="41" ht="29.25" customHeight="1" outlineLevel="1" spans="1:43">
      <c r="B41" s="317">
        <v>0.416678240740741</v>
      </c>
      <c r="C41" s="293" t="str">
        <f t="shared" ref="C41:G41" si="71">TEXT(IF($B41=0," ",$B41-C$6),"hh:mm am/pm")</f>
        <v>08:00 001/p1</v>
      </c>
      <c r="D41" s="293" t="str">
        <f t="shared" si="71"/>
        <v>06:00 001/p1</v>
      </c>
      <c r="E41" s="293" t="str">
        <f t="shared" si="71"/>
        <v>07:00 001/p1</v>
      </c>
      <c r="F41" s="293" t="str">
        <f t="shared" si="71"/>
        <v>08:00 001/p1</v>
      </c>
      <c r="G41" s="293" t="str">
        <f t="shared" si="71"/>
        <v>09:00 001/p1</v>
      </c>
      <c r="H41" s="293" t="str">
        <f t="shared" ref="H41:I41" si="72">TEXT(IF($B41=0," ",$B41+H$6),"hh:mm am/pm")</f>
        <v>16:00 001/p1</v>
      </c>
      <c r="I41" s="293" t="str">
        <f t="shared" si="72"/>
        <v>21:00 001/p1</v>
      </c>
      <c r="J41" s="294" t="s">
        <v>134</v>
      </c>
      <c r="K41" s="295"/>
      <c r="L41" s="337" t="s">
        <v>114</v>
      </c>
      <c r="M41" s="338" t="s">
        <v>71</v>
      </c>
      <c r="N41" s="339" t="s">
        <v>57</v>
      </c>
      <c r="O41" s="340" t="s">
        <v>74</v>
      </c>
      <c r="P41" s="341" t="s">
        <v>75</v>
      </c>
      <c r="Q41" s="342">
        <v>200</v>
      </c>
      <c r="R41" s="343" t="s">
        <v>60</v>
      </c>
      <c r="S41" s="344"/>
      <c r="T41" s="345" t="s">
        <v>115</v>
      </c>
      <c r="U41" s="339" t="s">
        <v>62</v>
      </c>
      <c r="V41" s="339">
        <v>0.4</v>
      </c>
      <c r="W41" s="339">
        <v>0.4</v>
      </c>
      <c r="X41" s="354"/>
      <c r="Y41" s="347" t="s">
        <v>79</v>
      </c>
      <c r="Z41" s="339">
        <v>0.4</v>
      </c>
      <c r="AA41" s="348">
        <v>80000</v>
      </c>
      <c r="AB41" s="348" t="s">
        <v>65</v>
      </c>
      <c r="AC41" s="349">
        <v>0.1</v>
      </c>
      <c r="AD41" s="349">
        <v>0</v>
      </c>
      <c r="AE41" s="345" t="s">
        <v>66</v>
      </c>
      <c r="AF41" s="346">
        <v>40000</v>
      </c>
      <c r="AG41" s="350">
        <v>7</v>
      </c>
      <c r="AH41" s="350">
        <v>6</v>
      </c>
      <c r="AI41" s="350">
        <v>6</v>
      </c>
      <c r="AJ41" s="345">
        <v>15</v>
      </c>
      <c r="AK41" s="351" t="s">
        <v>67</v>
      </c>
      <c r="AL41" s="352" t="s">
        <v>68</v>
      </c>
      <c r="AM41" s="353" t="s">
        <v>69</v>
      </c>
      <c r="AN41" s="353" t="s">
        <v>70</v>
      </c>
      <c r="AO41" s="314">
        <f t="shared" si="2"/>
        <v>0.49306712962963</v>
      </c>
      <c r="AP41" s="315">
        <f t="shared" si="3"/>
        <v>556</v>
      </c>
      <c r="AQ41" s="316" t="str">
        <f t="shared" si="4"/>
        <v>MICRO</v>
      </c>
    </row>
    <row r="42" ht="29.25" customHeight="1" outlineLevel="1" spans="1:43">
      <c r="B42" s="317">
        <v>0.416678240740741</v>
      </c>
      <c r="C42" s="293" t="str">
        <f t="shared" ref="C42:G42" si="73">TEXT(IF($B42=0," ",$B42-C$6),"hh:mm am/pm")</f>
        <v>08:00 001/p1</v>
      </c>
      <c r="D42" s="293" t="str">
        <f t="shared" si="73"/>
        <v>06:00 001/p1</v>
      </c>
      <c r="E42" s="293" t="str">
        <f t="shared" si="73"/>
        <v>07:00 001/p1</v>
      </c>
      <c r="F42" s="293" t="str">
        <f t="shared" si="73"/>
        <v>08:00 001/p1</v>
      </c>
      <c r="G42" s="293" t="str">
        <f t="shared" si="73"/>
        <v>09:00 001/p1</v>
      </c>
      <c r="H42" s="293" t="str">
        <f t="shared" ref="H42:I42" si="74">TEXT(IF($B42=0," ",$B42+H$6),"hh:mm am/pm")</f>
        <v>16:00 001/p1</v>
      </c>
      <c r="I42" s="293" t="str">
        <f t="shared" si="74"/>
        <v>21:00 001/p1</v>
      </c>
      <c r="J42" s="294" t="s">
        <v>145</v>
      </c>
      <c r="K42" s="295"/>
      <c r="L42" s="319" t="s">
        <v>119</v>
      </c>
      <c r="M42" s="320" t="s">
        <v>71</v>
      </c>
      <c r="N42" s="321" t="s">
        <v>57</v>
      </c>
      <c r="O42" s="322" t="s">
        <v>74</v>
      </c>
      <c r="P42" s="323" t="s">
        <v>75</v>
      </c>
      <c r="Q42" s="324">
        <v>600</v>
      </c>
      <c r="R42" s="375" t="s">
        <v>60</v>
      </c>
      <c r="S42" s="326"/>
      <c r="T42" s="327" t="s">
        <v>115</v>
      </c>
      <c r="U42" s="321" t="s">
        <v>62</v>
      </c>
      <c r="V42" s="321">
        <v>1.6</v>
      </c>
      <c r="W42" s="321">
        <v>1.6</v>
      </c>
      <c r="X42" s="328"/>
      <c r="Y42" s="332" t="s">
        <v>79</v>
      </c>
      <c r="Z42" s="321">
        <v>1.6</v>
      </c>
      <c r="AA42" s="330">
        <v>160000</v>
      </c>
      <c r="AB42" s="330" t="s">
        <v>65</v>
      </c>
      <c r="AC42" s="331">
        <v>0.1</v>
      </c>
      <c r="AD42" s="331">
        <v>0.02</v>
      </c>
      <c r="AE42" s="327" t="s">
        <v>66</v>
      </c>
      <c r="AF42" s="332">
        <v>40000</v>
      </c>
      <c r="AG42" s="333">
        <v>8</v>
      </c>
      <c r="AH42" s="333">
        <v>7</v>
      </c>
      <c r="AI42" s="333">
        <v>7</v>
      </c>
      <c r="AJ42" s="327">
        <v>15</v>
      </c>
      <c r="AK42" s="334" t="s">
        <v>67</v>
      </c>
      <c r="AL42" s="335" t="s">
        <v>68</v>
      </c>
      <c r="AM42" s="376" t="s">
        <v>69</v>
      </c>
      <c r="AN42" s="376" t="s">
        <v>70</v>
      </c>
      <c r="AO42" s="314">
        <f t="shared" si="2"/>
        <v>0.506956018518518</v>
      </c>
      <c r="AP42" s="315">
        <f t="shared" si="3"/>
        <v>427</v>
      </c>
      <c r="AQ42" s="316" t="str">
        <f t="shared" si="4"/>
        <v>MICRO</v>
      </c>
    </row>
    <row r="43" ht="29.25" customHeight="1" outlineLevel="1" spans="1:43">
      <c r="A43" s="363" t="s">
        <v>53</v>
      </c>
      <c r="B43" s="317">
        <v>0.437511574074074</v>
      </c>
      <c r="C43" s="293" t="str">
        <f t="shared" ref="C43:G43" si="75">TEXT(IF($B43=0," ",$B43-C$6),"hh:mm am/pm")</f>
        <v>08:30 001/p1</v>
      </c>
      <c r="D43" s="293" t="str">
        <f t="shared" si="75"/>
        <v>06:30 001/p1</v>
      </c>
      <c r="E43" s="293" t="str">
        <f t="shared" si="75"/>
        <v>07:30 001/p1</v>
      </c>
      <c r="F43" s="293" t="str">
        <f t="shared" si="75"/>
        <v>08:30 001/p1</v>
      </c>
      <c r="G43" s="293" t="str">
        <f t="shared" si="75"/>
        <v>09:30 001/p1</v>
      </c>
      <c r="H43" s="293" t="str">
        <f t="shared" ref="H43:I43" si="76">TEXT(IF($B43=0," ",$B43+H$6),"hh:mm am/pm")</f>
        <v>16:30 001/p1</v>
      </c>
      <c r="I43" s="293" t="str">
        <f t="shared" si="76"/>
        <v>21:30 001/p1</v>
      </c>
      <c r="J43" s="294" t="s">
        <v>146</v>
      </c>
      <c r="K43" s="295"/>
      <c r="L43" s="337" t="s">
        <v>117</v>
      </c>
      <c r="M43" s="338" t="s">
        <v>71</v>
      </c>
      <c r="N43" s="339" t="s">
        <v>100</v>
      </c>
      <c r="O43" s="340" t="s">
        <v>74</v>
      </c>
      <c r="P43" s="341" t="s">
        <v>101</v>
      </c>
      <c r="Q43" s="342">
        <v>400</v>
      </c>
      <c r="R43" s="343" t="s">
        <v>60</v>
      </c>
      <c r="S43" s="344"/>
      <c r="T43" s="345" t="s">
        <v>61</v>
      </c>
      <c r="U43" s="339" t="s">
        <v>62</v>
      </c>
      <c r="V43" s="339">
        <v>3</v>
      </c>
      <c r="W43" s="339">
        <v>3</v>
      </c>
      <c r="X43" s="354"/>
      <c r="Y43" s="346" t="s">
        <v>79</v>
      </c>
      <c r="Z43" s="339">
        <v>3</v>
      </c>
      <c r="AA43" s="348">
        <v>100000</v>
      </c>
      <c r="AB43" s="348" t="s">
        <v>65</v>
      </c>
      <c r="AC43" s="349">
        <v>0.1</v>
      </c>
      <c r="AD43" s="349">
        <v>0.02</v>
      </c>
      <c r="AE43" s="345" t="s">
        <v>88</v>
      </c>
      <c r="AF43" s="346">
        <v>40000</v>
      </c>
      <c r="AG43" s="350">
        <v>8</v>
      </c>
      <c r="AH43" s="350">
        <v>7</v>
      </c>
      <c r="AI43" s="350">
        <v>7</v>
      </c>
      <c r="AJ43" s="345">
        <v>13</v>
      </c>
      <c r="AK43" s="351" t="s">
        <v>67</v>
      </c>
      <c r="AL43" s="352" t="s">
        <v>68</v>
      </c>
      <c r="AM43" s="313" t="s">
        <v>69</v>
      </c>
      <c r="AN43" s="313" t="s">
        <v>70</v>
      </c>
      <c r="AO43" s="314">
        <f t="shared" si="2"/>
        <v>0.513206018518519</v>
      </c>
      <c r="AP43" s="315">
        <f t="shared" si="3"/>
        <v>152</v>
      </c>
      <c r="AQ43" s="316" t="str">
        <f t="shared" si="4"/>
        <v>MICRO</v>
      </c>
    </row>
    <row r="44" ht="29.25" customHeight="1" outlineLevel="1" spans="1:43">
      <c r="B44" s="317">
        <v>0.458344907407407</v>
      </c>
      <c r="C44" s="293" t="str">
        <f t="shared" ref="C44:G44" si="77">TEXT(IF($B44=0," ",$B44-C$6),"hh:mm am/pm")</f>
        <v>09:00 001/p1</v>
      </c>
      <c r="D44" s="293" t="str">
        <f t="shared" si="77"/>
        <v>07:00 001/p1</v>
      </c>
      <c r="E44" s="293" t="str">
        <f t="shared" si="77"/>
        <v>08:00 001/p1</v>
      </c>
      <c r="F44" s="293" t="str">
        <f t="shared" si="77"/>
        <v>09:00 001/p1</v>
      </c>
      <c r="G44" s="293" t="str">
        <f t="shared" si="77"/>
        <v>10:00 001/p1</v>
      </c>
      <c r="H44" s="293" t="str">
        <f t="shared" ref="H44:I44" si="78">TEXT(IF($B44=0," ",$B44+H$6),"hh:mm am/pm")</f>
        <v>17:00 001/p1</v>
      </c>
      <c r="I44" s="293" t="str">
        <f t="shared" si="78"/>
        <v>22:00 001/p1</v>
      </c>
      <c r="J44" s="318" t="s">
        <v>147</v>
      </c>
      <c r="K44" s="295"/>
      <c r="L44" s="319" t="s">
        <v>73</v>
      </c>
      <c r="M44" s="320" t="s">
        <v>71</v>
      </c>
      <c r="N44" s="321" t="s">
        <v>57</v>
      </c>
      <c r="O44" s="322" t="s">
        <v>74</v>
      </c>
      <c r="P44" s="323" t="s">
        <v>75</v>
      </c>
      <c r="Q44" s="324">
        <v>3200</v>
      </c>
      <c r="R44" s="325" t="s">
        <v>76</v>
      </c>
      <c r="S44" s="326"/>
      <c r="T44" s="327" t="s">
        <v>115</v>
      </c>
      <c r="U44" s="321" t="s">
        <v>62</v>
      </c>
      <c r="V44" s="321">
        <v>3</v>
      </c>
      <c r="W44" s="321">
        <v>3</v>
      </c>
      <c r="X44" s="328"/>
      <c r="Y44" s="329" t="s">
        <v>79</v>
      </c>
      <c r="Z44" s="321">
        <v>3</v>
      </c>
      <c r="AA44" s="330">
        <v>160000</v>
      </c>
      <c r="AB44" s="330" t="s">
        <v>65</v>
      </c>
      <c r="AC44" s="331">
        <v>0.1</v>
      </c>
      <c r="AD44" s="331">
        <v>0.02</v>
      </c>
      <c r="AE44" s="330" t="s">
        <v>66</v>
      </c>
      <c r="AF44" s="332">
        <v>40000</v>
      </c>
      <c r="AG44" s="333">
        <v>10</v>
      </c>
      <c r="AH44" s="333">
        <v>8</v>
      </c>
      <c r="AI44" s="333">
        <v>8</v>
      </c>
      <c r="AJ44" s="327">
        <v>15</v>
      </c>
      <c r="AK44" s="334" t="s">
        <v>67</v>
      </c>
      <c r="AL44" s="335" t="s">
        <v>68</v>
      </c>
      <c r="AM44" s="376" t="s">
        <v>69</v>
      </c>
      <c r="AN44" s="376" t="s">
        <v>70</v>
      </c>
      <c r="AO44" s="314">
        <f t="shared" si="2"/>
        <v>0.569456018518518</v>
      </c>
      <c r="AP44" s="315">
        <f t="shared" si="3"/>
        <v>1213</v>
      </c>
      <c r="AQ44" s="316" t="str">
        <f t="shared" si="4"/>
        <v>MICRO</v>
      </c>
    </row>
    <row r="45" ht="29.25" customHeight="1" outlineLevel="1" spans="1:43">
      <c r="A45" s="363" t="s">
        <v>53</v>
      </c>
      <c r="B45" s="317">
        <v>0.458344907407407</v>
      </c>
      <c r="C45" s="293" t="str">
        <f t="shared" ref="C45:G45" si="79">TEXT(IF($B45=0," ",$B45-C$6),"hh:mm am/pm")</f>
        <v>09:00 001/p1</v>
      </c>
      <c r="D45" s="293" t="str">
        <f t="shared" si="79"/>
        <v>07:00 001/p1</v>
      </c>
      <c r="E45" s="293" t="str">
        <f t="shared" si="79"/>
        <v>08:00 001/p1</v>
      </c>
      <c r="F45" s="293" t="str">
        <f t="shared" si="79"/>
        <v>09:00 001/p1</v>
      </c>
      <c r="G45" s="293" t="str">
        <f t="shared" si="79"/>
        <v>10:00 001/p1</v>
      </c>
      <c r="H45" s="293" t="str">
        <f t="shared" ref="H45:I45" si="80">TEXT(IF($B45=0," ",$B45+H$6),"hh:mm am/pm")</f>
        <v>17:00 001/p1</v>
      </c>
      <c r="I45" s="293" t="str">
        <f t="shared" si="80"/>
        <v>22:00 001/p1</v>
      </c>
      <c r="J45" s="294" t="s">
        <v>148</v>
      </c>
      <c r="K45" s="295"/>
      <c r="L45" s="337" t="s">
        <v>129</v>
      </c>
      <c r="M45" s="338" t="s">
        <v>71</v>
      </c>
      <c r="N45" s="339" t="s">
        <v>122</v>
      </c>
      <c r="O45" s="340" t="s">
        <v>74</v>
      </c>
      <c r="P45" s="341" t="s">
        <v>101</v>
      </c>
      <c r="Q45" s="342">
        <v>120</v>
      </c>
      <c r="R45" s="343" t="s">
        <v>60</v>
      </c>
      <c r="S45" s="344"/>
      <c r="T45" s="345" t="s">
        <v>61</v>
      </c>
      <c r="U45" s="339" t="s">
        <v>62</v>
      </c>
      <c r="V45" s="339">
        <v>0.8</v>
      </c>
      <c r="W45" s="339">
        <v>0.8</v>
      </c>
      <c r="X45" s="354"/>
      <c r="Y45" s="347" t="s">
        <v>79</v>
      </c>
      <c r="Z45" s="339">
        <v>1</v>
      </c>
      <c r="AA45" s="348">
        <v>100000</v>
      </c>
      <c r="AB45" s="348" t="s">
        <v>65</v>
      </c>
      <c r="AC45" s="349">
        <v>0.1</v>
      </c>
      <c r="AD45" s="349">
        <v>0</v>
      </c>
      <c r="AE45" s="345" t="s">
        <v>66</v>
      </c>
      <c r="AF45" s="346">
        <v>40000</v>
      </c>
      <c r="AG45" s="350">
        <v>8</v>
      </c>
      <c r="AH45" s="350">
        <v>7</v>
      </c>
      <c r="AI45" s="350">
        <v>7</v>
      </c>
      <c r="AJ45" s="345">
        <v>15</v>
      </c>
      <c r="AK45" s="351" t="s">
        <v>67</v>
      </c>
      <c r="AL45" s="352" t="s">
        <v>68</v>
      </c>
      <c r="AM45" s="353" t="s">
        <v>69</v>
      </c>
      <c r="AN45" s="353" t="s">
        <v>70</v>
      </c>
      <c r="AO45" s="314">
        <f t="shared" si="2"/>
        <v>0.548622685185185</v>
      </c>
      <c r="AP45" s="315">
        <f t="shared" si="3"/>
        <v>167</v>
      </c>
      <c r="AQ45" s="316" t="str">
        <f t="shared" si="4"/>
        <v>MICRO</v>
      </c>
    </row>
    <row r="46" ht="29.25" customHeight="1" outlineLevel="1" spans="1:43">
      <c r="B46" s="317">
        <v>0.458344907407407</v>
      </c>
      <c r="C46" s="293" t="str">
        <f t="shared" ref="C46:G46" si="81">TEXT(IF($B46=0," ",$B46-C$6),"hh:mm am/pm")</f>
        <v>09:00 001/p1</v>
      </c>
      <c r="D46" s="293" t="str">
        <f t="shared" si="81"/>
        <v>07:00 001/p1</v>
      </c>
      <c r="E46" s="293" t="str">
        <f t="shared" si="81"/>
        <v>08:00 001/p1</v>
      </c>
      <c r="F46" s="293" t="str">
        <f t="shared" si="81"/>
        <v>09:00 001/p1</v>
      </c>
      <c r="G46" s="293" t="str">
        <f t="shared" si="81"/>
        <v>10:00 001/p1</v>
      </c>
      <c r="H46" s="293" t="str">
        <f t="shared" ref="H46:I46" si="82">TEXT(IF($B46=0," ",$B46+H$6),"hh:mm am/pm")</f>
        <v>17:00 001/p1</v>
      </c>
      <c r="I46" s="293" t="str">
        <f t="shared" si="82"/>
        <v>22:00 001/p1</v>
      </c>
      <c r="J46" s="294" t="s">
        <v>149</v>
      </c>
      <c r="K46" s="295"/>
      <c r="L46" s="319" t="s">
        <v>149</v>
      </c>
      <c r="M46" s="320" t="s">
        <v>71</v>
      </c>
      <c r="N46" s="321" t="s">
        <v>57</v>
      </c>
      <c r="O46" s="322" t="s">
        <v>74</v>
      </c>
      <c r="P46" s="323" t="s">
        <v>75</v>
      </c>
      <c r="Q46" s="324">
        <v>40</v>
      </c>
      <c r="R46" s="375" t="s">
        <v>60</v>
      </c>
      <c r="S46" s="326"/>
      <c r="T46" s="327" t="s">
        <v>61</v>
      </c>
      <c r="U46" s="321" t="s">
        <v>62</v>
      </c>
      <c r="V46" s="321">
        <v>0.6</v>
      </c>
      <c r="W46" s="321">
        <v>0.6</v>
      </c>
      <c r="X46" s="328"/>
      <c r="Y46" s="329" t="s">
        <v>63</v>
      </c>
      <c r="Z46" s="321">
        <v>0.6</v>
      </c>
      <c r="AA46" s="330">
        <v>30000</v>
      </c>
      <c r="AB46" s="330" t="s">
        <v>65</v>
      </c>
      <c r="AC46" s="331">
        <v>0.1</v>
      </c>
      <c r="AD46" s="331">
        <v>0</v>
      </c>
      <c r="AE46" s="327" t="s">
        <v>112</v>
      </c>
      <c r="AF46" s="332">
        <v>20000</v>
      </c>
      <c r="AG46" s="333">
        <v>5</v>
      </c>
      <c r="AH46" s="333">
        <v>5</v>
      </c>
      <c r="AI46" s="333">
        <v>5</v>
      </c>
      <c r="AJ46" s="327">
        <v>15</v>
      </c>
      <c r="AK46" s="335" t="s">
        <v>150</v>
      </c>
      <c r="AL46" s="335" t="s">
        <v>68</v>
      </c>
      <c r="AM46" s="376" t="s">
        <v>69</v>
      </c>
      <c r="AN46" s="376" t="s">
        <v>70</v>
      </c>
      <c r="AO46" s="314">
        <f t="shared" si="2"/>
        <v>0.513900462962963</v>
      </c>
      <c r="AP46" s="315">
        <f t="shared" si="3"/>
        <v>75</v>
      </c>
      <c r="AQ46" s="316" t="str">
        <f t="shared" si="4"/>
        <v>MICRO</v>
      </c>
    </row>
    <row r="47" ht="29.25" customHeight="1" outlineLevel="1" spans="1:43">
      <c r="B47" s="317">
        <v>0.500011574074074</v>
      </c>
      <c r="C47" s="293" t="str">
        <f t="shared" ref="C47:G47" si="83">TEXT(IF($B47=0," ",$B47-C$6),"hh:mm am/pm")</f>
        <v>10:00 001/p1</v>
      </c>
      <c r="D47" s="293" t="str">
        <f t="shared" si="83"/>
        <v>08:00 001/p1</v>
      </c>
      <c r="E47" s="293" t="str">
        <f t="shared" si="83"/>
        <v>09:00 001/p1</v>
      </c>
      <c r="F47" s="293" t="str">
        <f t="shared" si="83"/>
        <v>10:00 001/p1</v>
      </c>
      <c r="G47" s="293" t="str">
        <f t="shared" si="83"/>
        <v>11:00 001/p1</v>
      </c>
      <c r="H47" s="293" t="str">
        <f t="shared" ref="H47:I47" si="84">TEXT(IF($B47=0," ",$B47+H$6),"hh:mm am/pm")</f>
        <v>18:00 001/p1</v>
      </c>
      <c r="I47" s="293" t="str">
        <f t="shared" si="84"/>
        <v>23:00 001/p1</v>
      </c>
      <c r="J47" s="294" t="s">
        <v>151</v>
      </c>
      <c r="K47" s="295"/>
      <c r="L47" s="337" t="s">
        <v>152</v>
      </c>
      <c r="M47" s="338" t="s">
        <v>71</v>
      </c>
      <c r="N47" s="339" t="s">
        <v>57</v>
      </c>
      <c r="O47" s="340" t="s">
        <v>104</v>
      </c>
      <c r="P47" s="341" t="s">
        <v>75</v>
      </c>
      <c r="Q47" s="342">
        <v>600</v>
      </c>
      <c r="R47" s="343" t="s">
        <v>60</v>
      </c>
      <c r="S47" s="344"/>
      <c r="T47" s="345" t="s">
        <v>61</v>
      </c>
      <c r="U47" s="339" t="s">
        <v>62</v>
      </c>
      <c r="V47" s="339">
        <v>2</v>
      </c>
      <c r="W47" s="339">
        <v>2</v>
      </c>
      <c r="X47" s="354"/>
      <c r="Y47" s="347" t="s">
        <v>63</v>
      </c>
      <c r="Z47" s="344"/>
      <c r="AA47" s="348" t="s">
        <v>64</v>
      </c>
      <c r="AB47" s="348" t="s">
        <v>65</v>
      </c>
      <c r="AC47" s="349">
        <v>0.1</v>
      </c>
      <c r="AD47" s="349">
        <v>0.02</v>
      </c>
      <c r="AE47" s="348" t="s">
        <v>88</v>
      </c>
      <c r="AF47" s="346">
        <v>60000</v>
      </c>
      <c r="AG47" s="350">
        <v>10</v>
      </c>
      <c r="AH47" s="350">
        <v>8</v>
      </c>
      <c r="AI47" s="350">
        <v>8</v>
      </c>
      <c r="AJ47" s="345">
        <v>14</v>
      </c>
      <c r="AK47" s="352" t="s">
        <v>67</v>
      </c>
      <c r="AL47" s="352" t="s">
        <v>68</v>
      </c>
      <c r="AM47" s="353" t="s">
        <v>69</v>
      </c>
      <c r="AN47" s="353" t="s">
        <v>70</v>
      </c>
      <c r="AO47" s="314">
        <f t="shared" si="2"/>
        <v>0.604178240740741</v>
      </c>
      <c r="AP47" s="315">
        <f t="shared" si="3"/>
        <v>341</v>
      </c>
      <c r="AQ47" s="316" t="str">
        <f t="shared" si="4"/>
        <v>MICRO</v>
      </c>
    </row>
    <row r="48" ht="29.25" customHeight="1" outlineLevel="1" spans="1:43">
      <c r="A48" s="363" t="s">
        <v>53</v>
      </c>
      <c r="B48" s="317">
        <v>0.500011574074074</v>
      </c>
      <c r="C48" s="293" t="str">
        <f t="shared" ref="C48:G48" si="85">TEXT(IF($B48=0," ",$B48-C$6),"hh:mm am/pm")</f>
        <v>10:00 001/p1</v>
      </c>
      <c r="D48" s="293" t="str">
        <f t="shared" si="85"/>
        <v>08:00 001/p1</v>
      </c>
      <c r="E48" s="293" t="str">
        <f t="shared" si="85"/>
        <v>09:00 001/p1</v>
      </c>
      <c r="F48" s="293" t="str">
        <f t="shared" si="85"/>
        <v>10:00 001/p1</v>
      </c>
      <c r="G48" s="293" t="str">
        <f t="shared" si="85"/>
        <v>11:00 001/p1</v>
      </c>
      <c r="H48" s="293" t="str">
        <f t="shared" ref="H48:I48" si="86">TEXT(IF($B48=0," ",$B48+H$6),"hh:mm am/pm")</f>
        <v>18:00 001/p1</v>
      </c>
      <c r="I48" s="293" t="str">
        <f t="shared" si="86"/>
        <v>23:00 001/p1</v>
      </c>
      <c r="J48" s="294" t="s">
        <v>153</v>
      </c>
      <c r="K48" s="295"/>
      <c r="L48" s="319" t="s">
        <v>114</v>
      </c>
      <c r="M48" s="320" t="s">
        <v>71</v>
      </c>
      <c r="N48" s="321" t="s">
        <v>57</v>
      </c>
      <c r="O48" s="322" t="s">
        <v>74</v>
      </c>
      <c r="P48" s="323" t="s">
        <v>75</v>
      </c>
      <c r="Q48" s="324">
        <v>300</v>
      </c>
      <c r="R48" s="375" t="s">
        <v>60</v>
      </c>
      <c r="S48" s="326"/>
      <c r="T48" s="327" t="s">
        <v>115</v>
      </c>
      <c r="U48" s="321" t="s">
        <v>62</v>
      </c>
      <c r="V48" s="321">
        <v>0.6</v>
      </c>
      <c r="W48" s="321">
        <v>0.6</v>
      </c>
      <c r="X48" s="328"/>
      <c r="Y48" s="329" t="s">
        <v>79</v>
      </c>
      <c r="Z48" s="321">
        <v>0.8</v>
      </c>
      <c r="AA48" s="330">
        <v>100000</v>
      </c>
      <c r="AB48" s="330" t="s">
        <v>65</v>
      </c>
      <c r="AC48" s="331">
        <v>0.1</v>
      </c>
      <c r="AD48" s="331">
        <v>0</v>
      </c>
      <c r="AE48" s="330" t="s">
        <v>66</v>
      </c>
      <c r="AF48" s="332">
        <v>40000</v>
      </c>
      <c r="AG48" s="333">
        <v>7</v>
      </c>
      <c r="AH48" s="333">
        <v>6</v>
      </c>
      <c r="AI48" s="333">
        <v>6</v>
      </c>
      <c r="AJ48" s="327">
        <v>15</v>
      </c>
      <c r="AK48" s="335" t="s">
        <v>67</v>
      </c>
      <c r="AL48" s="335" t="s">
        <v>68</v>
      </c>
      <c r="AM48" s="336" t="s">
        <v>69</v>
      </c>
      <c r="AN48" s="336" t="s">
        <v>70</v>
      </c>
      <c r="AO48" s="314">
        <f t="shared" si="2"/>
        <v>0.576400462962963</v>
      </c>
      <c r="AP48" s="315">
        <f t="shared" si="3"/>
        <v>556</v>
      </c>
      <c r="AQ48" s="316" t="str">
        <f t="shared" si="4"/>
        <v>MICRO</v>
      </c>
    </row>
    <row r="49" ht="29.25" customHeight="1" outlineLevel="1" spans="1:43">
      <c r="B49" s="317">
        <v>0.500011574074074</v>
      </c>
      <c r="C49" s="293" t="str">
        <f t="shared" ref="C49:G49" si="87">TEXT(IF($B49=0," ",$B49-C$6),"hh:mm am/pm")</f>
        <v>10:00 001/p1</v>
      </c>
      <c r="D49" s="293" t="str">
        <f t="shared" si="87"/>
        <v>08:00 001/p1</v>
      </c>
      <c r="E49" s="293" t="str">
        <f t="shared" si="87"/>
        <v>09:00 001/p1</v>
      </c>
      <c r="F49" s="293" t="str">
        <f t="shared" si="87"/>
        <v>10:00 001/p1</v>
      </c>
      <c r="G49" s="293" t="str">
        <f t="shared" si="87"/>
        <v>11:00 001/p1</v>
      </c>
      <c r="H49" s="293" t="str">
        <f t="shared" ref="H49:I49" si="88">TEXT(IF($B49=0," ",$B49+H$6),"hh:mm am/pm")</f>
        <v>18:00 001/p1</v>
      </c>
      <c r="I49" s="293" t="str">
        <f t="shared" si="88"/>
        <v>23:00 001/p1</v>
      </c>
      <c r="J49" s="294" t="s">
        <v>154</v>
      </c>
      <c r="K49" s="295"/>
      <c r="L49" s="337" t="s">
        <v>155</v>
      </c>
      <c r="M49" s="338" t="s">
        <v>71</v>
      </c>
      <c r="N49" s="339" t="s">
        <v>57</v>
      </c>
      <c r="O49" s="340" t="s">
        <v>74</v>
      </c>
      <c r="P49" s="341" t="s">
        <v>59</v>
      </c>
      <c r="Q49" s="342">
        <v>2000</v>
      </c>
      <c r="R49" s="343" t="s">
        <v>60</v>
      </c>
      <c r="S49" s="344"/>
      <c r="T49" s="345" t="s">
        <v>61</v>
      </c>
      <c r="U49" s="339" t="s">
        <v>62</v>
      </c>
      <c r="V49" s="339">
        <v>15</v>
      </c>
      <c r="W49" s="339">
        <v>15</v>
      </c>
      <c r="X49" s="354"/>
      <c r="Y49" s="346" t="s">
        <v>63</v>
      </c>
      <c r="Z49" s="344"/>
      <c r="AA49" s="348" t="s">
        <v>64</v>
      </c>
      <c r="AB49" s="348" t="s">
        <v>65</v>
      </c>
      <c r="AC49" s="349">
        <v>0.1</v>
      </c>
      <c r="AD49" s="349">
        <v>0.02</v>
      </c>
      <c r="AE49" s="348" t="s">
        <v>88</v>
      </c>
      <c r="AF49" s="346">
        <v>80000</v>
      </c>
      <c r="AG49" s="350">
        <v>12</v>
      </c>
      <c r="AH49" s="350">
        <v>10</v>
      </c>
      <c r="AI49" s="350">
        <v>10</v>
      </c>
      <c r="AJ49" s="345">
        <v>15</v>
      </c>
      <c r="AK49" s="351" t="s">
        <v>67</v>
      </c>
      <c r="AL49" s="352" t="s">
        <v>68</v>
      </c>
      <c r="AM49" s="353" t="s">
        <v>69</v>
      </c>
      <c r="AN49" s="353" t="s">
        <v>70</v>
      </c>
      <c r="AO49" s="314">
        <f t="shared" si="2"/>
        <v>0.635428240740741</v>
      </c>
      <c r="AP49" s="315">
        <f t="shared" si="3"/>
        <v>152</v>
      </c>
      <c r="AQ49" s="316" t="str">
        <f t="shared" si="4"/>
        <v>LOW</v>
      </c>
    </row>
    <row r="50" ht="30" customHeight="1" outlineLevel="1" spans="1:43">
      <c r="B50" s="317">
        <v>0.520844907407407</v>
      </c>
      <c r="C50" s="293" t="str">
        <f t="shared" ref="C50:G50" si="89">TEXT(IF($B50=0," ",$B50-C$6),"hh:mm am/pm")</f>
        <v>10:30 001/p1</v>
      </c>
      <c r="D50" s="293" t="str">
        <f t="shared" si="89"/>
        <v>08:30 001/p1</v>
      </c>
      <c r="E50" s="293" t="str">
        <f t="shared" si="89"/>
        <v>09:30 001/p1</v>
      </c>
      <c r="F50" s="293" t="str">
        <f t="shared" si="89"/>
        <v>10:30 001/p1</v>
      </c>
      <c r="G50" s="293" t="str">
        <f t="shared" si="89"/>
        <v>11:30 001/p1</v>
      </c>
      <c r="H50" s="293" t="str">
        <f t="shared" ref="H50:I50" si="90">TEXT(IF($B50=0," ",$B50+H$6),"hh:mm am/pm")</f>
        <v>18:30 001/p1</v>
      </c>
      <c r="I50" s="293" t="str">
        <f t="shared" si="90"/>
        <v>23:30 001/p1</v>
      </c>
      <c r="J50" s="294" t="s">
        <v>156</v>
      </c>
      <c r="K50" s="295"/>
      <c r="L50" s="319" t="s">
        <v>157</v>
      </c>
      <c r="M50" s="320" t="s">
        <v>71</v>
      </c>
      <c r="N50" s="321" t="s">
        <v>100</v>
      </c>
      <c r="O50" s="322" t="s">
        <v>82</v>
      </c>
      <c r="P50" s="323" t="s">
        <v>101</v>
      </c>
      <c r="Q50" s="324">
        <v>2000</v>
      </c>
      <c r="R50" s="375" t="s">
        <v>60</v>
      </c>
      <c r="S50" s="326"/>
      <c r="T50" s="327" t="s">
        <v>92</v>
      </c>
      <c r="U50" s="321" t="s">
        <v>62</v>
      </c>
      <c r="V50" s="321">
        <v>12</v>
      </c>
      <c r="W50" s="321">
        <v>12</v>
      </c>
      <c r="X50" s="328"/>
      <c r="Y50" s="329" t="s">
        <v>63</v>
      </c>
      <c r="Z50" s="326"/>
      <c r="AA50" s="330" t="s">
        <v>64</v>
      </c>
      <c r="AB50" s="330" t="s">
        <v>65</v>
      </c>
      <c r="AC50" s="331">
        <v>0.1</v>
      </c>
      <c r="AD50" s="331">
        <v>0.02</v>
      </c>
      <c r="AE50" s="330" t="s">
        <v>66</v>
      </c>
      <c r="AF50" s="332">
        <v>40000</v>
      </c>
      <c r="AG50" s="333">
        <v>12</v>
      </c>
      <c r="AH50" s="333">
        <v>10</v>
      </c>
      <c r="AI50" s="333">
        <v>10</v>
      </c>
      <c r="AJ50" s="327">
        <v>14</v>
      </c>
      <c r="AK50" s="334" t="s">
        <v>67</v>
      </c>
      <c r="AL50" s="335" t="s">
        <v>68</v>
      </c>
      <c r="AM50" s="376" t="s">
        <v>69</v>
      </c>
      <c r="AN50" s="376" t="s">
        <v>70</v>
      </c>
      <c r="AO50" s="314">
        <f t="shared" si="2"/>
        <v>0.644456018518519</v>
      </c>
      <c r="AP50" s="315">
        <f t="shared" si="3"/>
        <v>190</v>
      </c>
      <c r="AQ50" s="316" t="str">
        <f t="shared" si="4"/>
        <v>LOW</v>
      </c>
    </row>
    <row r="51" ht="29.25" customHeight="1" outlineLevel="1" spans="1:43">
      <c r="A51" s="363"/>
      <c r="B51" s="317">
        <v>0.541678240740741</v>
      </c>
      <c r="C51" s="293" t="str">
        <f t="shared" ref="C51:G51" si="91">TEXT(IF($B51=0," ",$B51-C$6),"hh:mm am/pm")</f>
        <v>11:00 001/p1</v>
      </c>
      <c r="D51" s="293" t="str">
        <f t="shared" si="91"/>
        <v>09:00 001/p1</v>
      </c>
      <c r="E51" s="293" t="str">
        <f t="shared" si="91"/>
        <v>10:00 001/p1</v>
      </c>
      <c r="F51" s="293" t="str">
        <f t="shared" si="91"/>
        <v>11:00 001/p1</v>
      </c>
      <c r="G51" s="293" t="str">
        <f t="shared" si="91"/>
        <v>12:00 001/p1</v>
      </c>
      <c r="H51" s="293" t="str">
        <f t="shared" ref="H51:I51" si="92">TEXT(IF($B51=0," ",$B51+H$6),"hh:mm am/pm")</f>
        <v>19:00 001/p1</v>
      </c>
      <c r="I51" s="293" t="str">
        <f t="shared" si="92"/>
        <v>00:00 001/p1</v>
      </c>
      <c r="J51" s="294" t="s">
        <v>158</v>
      </c>
      <c r="K51" s="295"/>
      <c r="L51" s="337" t="s">
        <v>126</v>
      </c>
      <c r="M51" s="338" t="s">
        <v>71</v>
      </c>
      <c r="N51" s="339" t="s">
        <v>57</v>
      </c>
      <c r="O51" s="340" t="s">
        <v>144</v>
      </c>
      <c r="P51" s="341" t="s">
        <v>59</v>
      </c>
      <c r="Q51" s="342">
        <v>2000</v>
      </c>
      <c r="R51" s="343" t="s">
        <v>60</v>
      </c>
      <c r="S51" s="344"/>
      <c r="T51" s="345" t="s">
        <v>61</v>
      </c>
      <c r="U51" s="339" t="s">
        <v>62</v>
      </c>
      <c r="V51" s="339">
        <v>5</v>
      </c>
      <c r="W51" s="339">
        <v>5</v>
      </c>
      <c r="X51" s="354"/>
      <c r="Y51" s="347" t="s">
        <v>63</v>
      </c>
      <c r="Z51" s="344"/>
      <c r="AA51" s="348" t="s">
        <v>64</v>
      </c>
      <c r="AB51" s="348" t="s">
        <v>65</v>
      </c>
      <c r="AC51" s="349">
        <v>0.1</v>
      </c>
      <c r="AD51" s="349">
        <v>0.02</v>
      </c>
      <c r="AE51" s="348" t="s">
        <v>88</v>
      </c>
      <c r="AF51" s="346">
        <v>80000</v>
      </c>
      <c r="AG51" s="350">
        <v>12</v>
      </c>
      <c r="AH51" s="350">
        <v>10</v>
      </c>
      <c r="AI51" s="350">
        <v>10</v>
      </c>
      <c r="AJ51" s="345">
        <v>15</v>
      </c>
      <c r="AK51" s="351" t="s">
        <v>67</v>
      </c>
      <c r="AL51" s="352" t="s">
        <v>68</v>
      </c>
      <c r="AM51" s="353" t="s">
        <v>69</v>
      </c>
      <c r="AN51" s="353" t="s">
        <v>70</v>
      </c>
      <c r="AO51" s="314">
        <f t="shared" si="2"/>
        <v>0.677094907407407</v>
      </c>
      <c r="AP51" s="315">
        <f t="shared" si="3"/>
        <v>455</v>
      </c>
      <c r="AQ51" s="316" t="str">
        <f t="shared" si="4"/>
        <v>MICRO</v>
      </c>
    </row>
    <row r="52" ht="29.25" customHeight="1" outlineLevel="1" spans="1:43">
      <c r="B52" s="317">
        <v>0.541678240740741</v>
      </c>
      <c r="C52" s="293" t="str">
        <f t="shared" ref="C52:G52" si="93">TEXT(IF($B52=0," ",$B52-C$6),"hh:mm am/pm")</f>
        <v>11:00 001/p1</v>
      </c>
      <c r="D52" s="293" t="str">
        <f t="shared" si="93"/>
        <v>09:00 001/p1</v>
      </c>
      <c r="E52" s="293" t="str">
        <f t="shared" si="93"/>
        <v>10:00 001/p1</v>
      </c>
      <c r="F52" s="293" t="str">
        <f t="shared" si="93"/>
        <v>11:00 001/p1</v>
      </c>
      <c r="G52" s="293" t="str">
        <f t="shared" si="93"/>
        <v>12:00 001/p1</v>
      </c>
      <c r="H52" s="293" t="str">
        <f t="shared" ref="H52:I52" si="94">TEXT(IF($B52=0," ",$B52+H$6),"hh:mm am/pm")</f>
        <v>19:00 001/p1</v>
      </c>
      <c r="I52" s="293" t="str">
        <f t="shared" si="94"/>
        <v>00:00 001/p1</v>
      </c>
      <c r="J52" s="294" t="s">
        <v>123</v>
      </c>
      <c r="K52" s="295"/>
      <c r="L52" s="319" t="s">
        <v>124</v>
      </c>
      <c r="M52" s="320" t="s">
        <v>71</v>
      </c>
      <c r="N52" s="321" t="s">
        <v>122</v>
      </c>
      <c r="O52" s="322" t="s">
        <v>82</v>
      </c>
      <c r="P52" s="323" t="s">
        <v>59</v>
      </c>
      <c r="Q52" s="324">
        <v>100</v>
      </c>
      <c r="R52" s="375" t="s">
        <v>60</v>
      </c>
      <c r="S52" s="326"/>
      <c r="T52" s="327" t="s">
        <v>61</v>
      </c>
      <c r="U52" s="321" t="s">
        <v>62</v>
      </c>
      <c r="V52" s="321">
        <v>0.6</v>
      </c>
      <c r="W52" s="321">
        <v>0.6</v>
      </c>
      <c r="X52" s="328"/>
      <c r="Y52" s="329" t="s">
        <v>63</v>
      </c>
      <c r="Z52" s="326"/>
      <c r="AA52" s="330" t="s">
        <v>64</v>
      </c>
      <c r="AB52" s="330" t="s">
        <v>65</v>
      </c>
      <c r="AC52" s="331">
        <v>0.1</v>
      </c>
      <c r="AD52" s="331">
        <v>0</v>
      </c>
      <c r="AE52" s="330" t="s">
        <v>66</v>
      </c>
      <c r="AF52" s="332">
        <v>50000</v>
      </c>
      <c r="AG52" s="333">
        <v>8</v>
      </c>
      <c r="AH52" s="333">
        <v>7</v>
      </c>
      <c r="AI52" s="333">
        <v>7</v>
      </c>
      <c r="AJ52" s="327">
        <v>15</v>
      </c>
      <c r="AK52" s="334" t="s">
        <v>67</v>
      </c>
      <c r="AL52" s="335" t="s">
        <v>68</v>
      </c>
      <c r="AM52" s="336" t="s">
        <v>69</v>
      </c>
      <c r="AN52" s="336" t="s">
        <v>70</v>
      </c>
      <c r="AO52" s="314">
        <f t="shared" si="2"/>
        <v>0.631956018518519</v>
      </c>
      <c r="AP52" s="315">
        <f t="shared" si="3"/>
        <v>186</v>
      </c>
      <c r="AQ52" s="316" t="str">
        <f t="shared" si="4"/>
        <v>MICRO</v>
      </c>
    </row>
    <row r="53" ht="29.25" customHeight="1" outlineLevel="1" spans="1:43">
      <c r="A53" s="363" t="s">
        <v>53</v>
      </c>
      <c r="B53" s="317">
        <v>0.552094907407407</v>
      </c>
      <c r="C53" s="293" t="str">
        <f t="shared" ref="C53:G53" si="95">TEXT(IF($B53=0," ",$B53-C$6),"hh:mm am/pm")</f>
        <v>11:15 001/p1</v>
      </c>
      <c r="D53" s="293" t="str">
        <f t="shared" si="95"/>
        <v>09:15 001/p1</v>
      </c>
      <c r="E53" s="293" t="str">
        <f t="shared" si="95"/>
        <v>10:15 001/p1</v>
      </c>
      <c r="F53" s="293" t="str">
        <f t="shared" si="95"/>
        <v>11:15 001/p1</v>
      </c>
      <c r="G53" s="293" t="str">
        <f t="shared" si="95"/>
        <v>12:15 001/p1</v>
      </c>
      <c r="H53" s="293" t="str">
        <f t="shared" ref="H53:I53" si="96">TEXT(IF($B53=0," ",$B53+H$6),"hh:mm am/pm")</f>
        <v>19:15 001/p1</v>
      </c>
      <c r="I53" s="293" t="str">
        <f t="shared" si="96"/>
        <v>00:15 001/p1</v>
      </c>
      <c r="J53" s="294" t="s">
        <v>159</v>
      </c>
      <c r="K53" s="295"/>
      <c r="L53" s="337" t="s">
        <v>160</v>
      </c>
      <c r="M53" s="338" t="s">
        <v>71</v>
      </c>
      <c r="N53" s="339" t="s">
        <v>57</v>
      </c>
      <c r="O53" s="340" t="s">
        <v>74</v>
      </c>
      <c r="P53" s="341" t="s">
        <v>59</v>
      </c>
      <c r="Q53" s="342">
        <v>800</v>
      </c>
      <c r="R53" s="343" t="s">
        <v>60</v>
      </c>
      <c r="S53" s="344"/>
      <c r="T53" s="345" t="s">
        <v>61</v>
      </c>
      <c r="U53" s="339" t="s">
        <v>62</v>
      </c>
      <c r="V53" s="339">
        <v>7</v>
      </c>
      <c r="W53" s="344"/>
      <c r="X53" s="354"/>
      <c r="Y53" s="347" t="s">
        <v>161</v>
      </c>
      <c r="Z53" s="344"/>
      <c r="AA53" s="348" t="s">
        <v>162</v>
      </c>
      <c r="AB53" s="348" t="s">
        <v>65</v>
      </c>
      <c r="AC53" s="349">
        <v>0.1</v>
      </c>
      <c r="AD53" s="349">
        <v>0.02</v>
      </c>
      <c r="AE53" s="348" t="s">
        <v>66</v>
      </c>
      <c r="AF53" s="346">
        <v>40000</v>
      </c>
      <c r="AG53" s="350">
        <v>10</v>
      </c>
      <c r="AH53" s="350">
        <v>10</v>
      </c>
      <c r="AI53" s="350">
        <v>10</v>
      </c>
      <c r="AJ53" s="345">
        <v>14</v>
      </c>
      <c r="AK53" s="351" t="s">
        <v>67</v>
      </c>
      <c r="AL53" s="352" t="s">
        <v>68</v>
      </c>
      <c r="AM53" s="353" t="s">
        <v>69</v>
      </c>
      <c r="AN53" s="353" t="s">
        <v>70</v>
      </c>
      <c r="AO53" s="314">
        <f t="shared" si="2"/>
        <v>0.656261574074074</v>
      </c>
      <c r="AP53" s="315">
        <f t="shared" si="3"/>
        <v>130</v>
      </c>
      <c r="AQ53" s="316" t="str">
        <f t="shared" si="4"/>
        <v>LOW</v>
      </c>
    </row>
    <row r="54" ht="29.25" customHeight="1" outlineLevel="1" spans="1:43">
      <c r="B54" s="317">
        <v>0.562511574074074</v>
      </c>
      <c r="C54" s="293" t="str">
        <f t="shared" ref="C54:G54" si="97">TEXT(IF($B54=0," ",$B54-C$6),"hh:mm am/pm")</f>
        <v>11:30 001/p1</v>
      </c>
      <c r="D54" s="293" t="str">
        <f t="shared" si="97"/>
        <v>09:30 001/p1</v>
      </c>
      <c r="E54" s="293" t="str">
        <f t="shared" si="97"/>
        <v>10:30 001/p1</v>
      </c>
      <c r="F54" s="293" t="str">
        <f t="shared" si="97"/>
        <v>11:30 001/p1</v>
      </c>
      <c r="G54" s="293" t="str">
        <f t="shared" si="97"/>
        <v>12:30 001/p1</v>
      </c>
      <c r="H54" s="293" t="str">
        <f t="shared" ref="H54:I54" si="98">TEXT(IF($B54=0," ",$B54+H$6),"hh:mm am/pm")</f>
        <v>19:30 001/p1</v>
      </c>
      <c r="I54" s="293" t="str">
        <f t="shared" si="98"/>
        <v>00:30 001/p1</v>
      </c>
      <c r="J54" s="294" t="s">
        <v>163</v>
      </c>
      <c r="K54" s="295"/>
      <c r="L54" s="319" t="s">
        <v>119</v>
      </c>
      <c r="M54" s="320" t="s">
        <v>71</v>
      </c>
      <c r="N54" s="321" t="s">
        <v>57</v>
      </c>
      <c r="O54" s="322" t="s">
        <v>74</v>
      </c>
      <c r="P54" s="323" t="s">
        <v>75</v>
      </c>
      <c r="Q54" s="324">
        <v>800</v>
      </c>
      <c r="R54" s="375" t="s">
        <v>60</v>
      </c>
      <c r="S54" s="326"/>
      <c r="T54" s="327" t="s">
        <v>61</v>
      </c>
      <c r="U54" s="321" t="s">
        <v>62</v>
      </c>
      <c r="V54" s="321">
        <v>2</v>
      </c>
      <c r="W54" s="321">
        <v>2</v>
      </c>
      <c r="X54" s="328"/>
      <c r="Y54" s="329" t="s">
        <v>79</v>
      </c>
      <c r="Z54" s="321">
        <v>3</v>
      </c>
      <c r="AA54" s="330">
        <v>120000</v>
      </c>
      <c r="AB54" s="330" t="s">
        <v>65</v>
      </c>
      <c r="AC54" s="331">
        <v>0.1</v>
      </c>
      <c r="AD54" s="331">
        <v>0.02</v>
      </c>
      <c r="AE54" s="330" t="s">
        <v>66</v>
      </c>
      <c r="AF54" s="332">
        <v>40000</v>
      </c>
      <c r="AG54" s="333">
        <v>8</v>
      </c>
      <c r="AH54" s="333">
        <v>7</v>
      </c>
      <c r="AI54" s="333">
        <v>8</v>
      </c>
      <c r="AJ54" s="327">
        <v>15</v>
      </c>
      <c r="AK54" s="335" t="s">
        <v>67</v>
      </c>
      <c r="AL54" s="335" t="s">
        <v>68</v>
      </c>
      <c r="AM54" s="336" t="s">
        <v>69</v>
      </c>
      <c r="AN54" s="336" t="s">
        <v>70</v>
      </c>
      <c r="AO54" s="314">
        <f t="shared" si="2"/>
        <v>0.652789351851852</v>
      </c>
      <c r="AP54" s="315">
        <f t="shared" si="3"/>
        <v>455</v>
      </c>
      <c r="AQ54" s="316" t="str">
        <f t="shared" si="4"/>
        <v>MICRO</v>
      </c>
    </row>
    <row r="55" ht="29.25" customHeight="1" outlineLevel="1" spans="1:43">
      <c r="B55" s="317">
        <v>0.583344907407407</v>
      </c>
      <c r="C55" s="293" t="str">
        <f t="shared" ref="C55:G55" si="99">TEXT(IF($B55=0," ",$B55-C$6),"hh:mm am/pm")</f>
        <v>12:00 001/p1</v>
      </c>
      <c r="D55" s="293" t="str">
        <f t="shared" si="99"/>
        <v>10:00 001/p1</v>
      </c>
      <c r="E55" s="293" t="str">
        <f t="shared" si="99"/>
        <v>11:00 001/p1</v>
      </c>
      <c r="F55" s="293" t="str">
        <f t="shared" si="99"/>
        <v>12:00 001/p1</v>
      </c>
      <c r="G55" s="293" t="str">
        <f t="shared" si="99"/>
        <v>13:00 001/p1</v>
      </c>
      <c r="H55" s="293" t="str">
        <f t="shared" ref="H55:I55" si="100">TEXT(IF($B55=0," ",$B55+H$6),"hh:mm am/pm")</f>
        <v>20:00 001/p1</v>
      </c>
      <c r="I55" s="293" t="str">
        <f t="shared" si="100"/>
        <v>01:00 001/p1</v>
      </c>
      <c r="J55" s="294" t="s">
        <v>149</v>
      </c>
      <c r="K55" s="295"/>
      <c r="L55" s="337" t="s">
        <v>149</v>
      </c>
      <c r="M55" s="338" t="s">
        <v>71</v>
      </c>
      <c r="N55" s="339" t="s">
        <v>57</v>
      </c>
      <c r="O55" s="340" t="s">
        <v>74</v>
      </c>
      <c r="P55" s="341" t="s">
        <v>75</v>
      </c>
      <c r="Q55" s="342">
        <v>40</v>
      </c>
      <c r="R55" s="343" t="s">
        <v>60</v>
      </c>
      <c r="S55" s="344"/>
      <c r="T55" s="345" t="s">
        <v>61</v>
      </c>
      <c r="U55" s="339" t="s">
        <v>62</v>
      </c>
      <c r="V55" s="339">
        <v>0.6</v>
      </c>
      <c r="W55" s="339">
        <v>0.6</v>
      </c>
      <c r="X55" s="354"/>
      <c r="Y55" s="347" t="s">
        <v>63</v>
      </c>
      <c r="Z55" s="339">
        <v>0.6</v>
      </c>
      <c r="AA55" s="348">
        <v>30000</v>
      </c>
      <c r="AB55" s="348" t="s">
        <v>65</v>
      </c>
      <c r="AC55" s="349">
        <v>0.1</v>
      </c>
      <c r="AD55" s="349">
        <v>0</v>
      </c>
      <c r="AE55" s="348" t="s">
        <v>112</v>
      </c>
      <c r="AF55" s="346">
        <v>20000</v>
      </c>
      <c r="AG55" s="350">
        <v>5</v>
      </c>
      <c r="AH55" s="350">
        <v>5</v>
      </c>
      <c r="AI55" s="350">
        <v>5</v>
      </c>
      <c r="AJ55" s="345">
        <v>15</v>
      </c>
      <c r="AK55" s="352" t="s">
        <v>150</v>
      </c>
      <c r="AL55" s="352" t="s">
        <v>68</v>
      </c>
      <c r="AM55" s="313" t="s">
        <v>69</v>
      </c>
      <c r="AN55" s="313" t="s">
        <v>70</v>
      </c>
      <c r="AO55" s="314">
        <f t="shared" si="2"/>
        <v>0.638900462962963</v>
      </c>
      <c r="AP55" s="315">
        <f t="shared" si="3"/>
        <v>75</v>
      </c>
      <c r="AQ55" s="316" t="str">
        <f t="shared" si="4"/>
        <v>MICRO</v>
      </c>
    </row>
    <row r="56" ht="29.25" customHeight="1" outlineLevel="1" spans="1:43">
      <c r="A56" s="363" t="s">
        <v>53</v>
      </c>
      <c r="B56" s="317">
        <v>0.583344907407407</v>
      </c>
      <c r="C56" s="293" t="str">
        <f t="shared" ref="C56:G56" si="101">TEXT(IF($B56=0," ",$B56-C$6),"hh:mm am/pm")</f>
        <v>12:00 001/p1</v>
      </c>
      <c r="D56" s="293" t="str">
        <f t="shared" si="101"/>
        <v>10:00 001/p1</v>
      </c>
      <c r="E56" s="293" t="str">
        <f t="shared" si="101"/>
        <v>11:00 001/p1</v>
      </c>
      <c r="F56" s="293" t="str">
        <f t="shared" si="101"/>
        <v>12:00 001/p1</v>
      </c>
      <c r="G56" s="293" t="str">
        <f t="shared" si="101"/>
        <v>13:00 001/p1</v>
      </c>
      <c r="H56" s="293" t="str">
        <f t="shared" ref="H56:I56" si="102">TEXT(IF($B56=0," ",$B56+H$6),"hh:mm am/pm")</f>
        <v>20:00 001/p1</v>
      </c>
      <c r="I56" s="293" t="str">
        <f t="shared" si="102"/>
        <v>01:00 001/p1</v>
      </c>
      <c r="J56" s="294" t="s">
        <v>164</v>
      </c>
      <c r="K56" s="295"/>
      <c r="L56" s="319" t="s">
        <v>129</v>
      </c>
      <c r="M56" s="320" t="s">
        <v>71</v>
      </c>
      <c r="N56" s="321" t="s">
        <v>165</v>
      </c>
      <c r="O56" s="322" t="s">
        <v>74</v>
      </c>
      <c r="P56" s="323" t="s">
        <v>101</v>
      </c>
      <c r="Q56" s="324">
        <v>200</v>
      </c>
      <c r="R56" s="375" t="s">
        <v>60</v>
      </c>
      <c r="S56" s="326"/>
      <c r="T56" s="327" t="s">
        <v>61</v>
      </c>
      <c r="U56" s="321" t="s">
        <v>62</v>
      </c>
      <c r="V56" s="321">
        <v>2</v>
      </c>
      <c r="W56" s="321">
        <v>2</v>
      </c>
      <c r="X56" s="328"/>
      <c r="Y56" s="329" t="s">
        <v>79</v>
      </c>
      <c r="Z56" s="321">
        <v>2</v>
      </c>
      <c r="AA56" s="330">
        <v>90000</v>
      </c>
      <c r="AB56" s="330" t="s">
        <v>65</v>
      </c>
      <c r="AC56" s="331">
        <v>0.1</v>
      </c>
      <c r="AD56" s="331">
        <v>0</v>
      </c>
      <c r="AE56" s="327" t="s">
        <v>88</v>
      </c>
      <c r="AF56" s="332">
        <v>30000</v>
      </c>
      <c r="AG56" s="333">
        <v>8</v>
      </c>
      <c r="AH56" s="333">
        <v>7</v>
      </c>
      <c r="AI56" s="333">
        <v>7</v>
      </c>
      <c r="AJ56" s="327">
        <v>12</v>
      </c>
      <c r="AK56" s="335" t="s">
        <v>67</v>
      </c>
      <c r="AL56" s="335" t="s">
        <v>68</v>
      </c>
      <c r="AM56" s="376" t="s">
        <v>69</v>
      </c>
      <c r="AN56" s="376" t="s">
        <v>70</v>
      </c>
      <c r="AO56" s="314">
        <f t="shared" si="2"/>
        <v>0.653483796296296</v>
      </c>
      <c r="AP56" s="315">
        <f t="shared" si="3"/>
        <v>112</v>
      </c>
      <c r="AQ56" s="316" t="str">
        <f t="shared" si="4"/>
        <v>MICRO</v>
      </c>
    </row>
    <row r="57" ht="29.25" customHeight="1" outlineLevel="1" spans="1:43">
      <c r="B57" s="317">
        <v>0.583344907407407</v>
      </c>
      <c r="C57" s="293" t="str">
        <f t="shared" ref="C57:G57" si="103">TEXT(IF($B57=0," ",$B57-C$6),"hh:mm am/pm")</f>
        <v>12:00 001/p1</v>
      </c>
      <c r="D57" s="293" t="str">
        <f t="shared" si="103"/>
        <v>10:00 001/p1</v>
      </c>
      <c r="E57" s="293" t="str">
        <f t="shared" si="103"/>
        <v>11:00 001/p1</v>
      </c>
      <c r="F57" s="293" t="str">
        <f t="shared" si="103"/>
        <v>12:00 001/p1</v>
      </c>
      <c r="G57" s="293" t="str">
        <f t="shared" si="103"/>
        <v>13:00 001/p1</v>
      </c>
      <c r="H57" s="293" t="str">
        <f t="shared" ref="H57:I57" si="104">TEXT(IF($B57=0," ",$B57+H$6),"hh:mm am/pm")</f>
        <v>20:00 001/p1</v>
      </c>
      <c r="I57" s="293" t="str">
        <f t="shared" si="104"/>
        <v>01:00 001/p1</v>
      </c>
      <c r="J57" s="294" t="s">
        <v>166</v>
      </c>
      <c r="K57" s="295"/>
      <c r="L57" s="337" t="s">
        <v>167</v>
      </c>
      <c r="M57" s="338" t="s">
        <v>71</v>
      </c>
      <c r="N57" s="339" t="s">
        <v>57</v>
      </c>
      <c r="O57" s="340" t="s">
        <v>74</v>
      </c>
      <c r="P57" s="341" t="s">
        <v>75</v>
      </c>
      <c r="Q57" s="342">
        <v>1000</v>
      </c>
      <c r="R57" s="343" t="s">
        <v>60</v>
      </c>
      <c r="S57" s="344"/>
      <c r="T57" s="345" t="s">
        <v>77</v>
      </c>
      <c r="U57" s="339" t="s">
        <v>78</v>
      </c>
      <c r="V57" s="339">
        <v>0.6</v>
      </c>
      <c r="W57" s="339">
        <v>0.6</v>
      </c>
      <c r="X57" s="354"/>
      <c r="Y57" s="347" t="s">
        <v>79</v>
      </c>
      <c r="Z57" s="339">
        <v>0.6</v>
      </c>
      <c r="AA57" s="348">
        <v>120000</v>
      </c>
      <c r="AB57" s="348" t="s">
        <v>65</v>
      </c>
      <c r="AC57" s="349">
        <v>0.1</v>
      </c>
      <c r="AD57" s="349">
        <v>0.02</v>
      </c>
      <c r="AE57" s="345" t="s">
        <v>66</v>
      </c>
      <c r="AF57" s="346">
        <v>40000</v>
      </c>
      <c r="AG57" s="350">
        <v>8</v>
      </c>
      <c r="AH57" s="350">
        <v>7</v>
      </c>
      <c r="AI57" s="350">
        <v>7</v>
      </c>
      <c r="AJ57" s="345">
        <v>15</v>
      </c>
      <c r="AK57" s="351" t="s">
        <v>67</v>
      </c>
      <c r="AL57" s="352" t="s">
        <v>68</v>
      </c>
      <c r="AM57" s="353" t="s">
        <v>69</v>
      </c>
      <c r="AN57" s="353" t="s">
        <v>70</v>
      </c>
      <c r="AO57" s="314">
        <f t="shared" si="2"/>
        <v>0.673622685185185</v>
      </c>
      <c r="AP57" s="315">
        <f t="shared" si="3"/>
        <v>1894</v>
      </c>
      <c r="AQ57" s="316" t="str">
        <f t="shared" si="4"/>
        <v>MICRO</v>
      </c>
    </row>
    <row r="58" ht="29.25" customHeight="1" outlineLevel="1" spans="1:43">
      <c r="B58" s="317">
        <v>0.604178240740741</v>
      </c>
      <c r="C58" s="293" t="str">
        <f t="shared" ref="C58:G58" si="105">TEXT(IF($B58=0," ",$B58-C$6),"hh:mm am/pm")</f>
        <v>12:30 001/p1</v>
      </c>
      <c r="D58" s="293" t="str">
        <f t="shared" si="105"/>
        <v>10:30 001/p1</v>
      </c>
      <c r="E58" s="293" t="str">
        <f t="shared" si="105"/>
        <v>11:30 001/p1</v>
      </c>
      <c r="F58" s="293" t="str">
        <f t="shared" si="105"/>
        <v>12:30 001/p1</v>
      </c>
      <c r="G58" s="293" t="str">
        <f t="shared" si="105"/>
        <v>13:30 001/p1</v>
      </c>
      <c r="H58" s="293" t="str">
        <f t="shared" ref="H58:I58" si="106">TEXT(IF($B58=0," ",$B58+H$6),"hh:mm am/pm")</f>
        <v>20:30 001/p1</v>
      </c>
      <c r="I58" s="293" t="str">
        <f t="shared" si="106"/>
        <v>01:30 001/p1</v>
      </c>
      <c r="J58" s="294" t="s">
        <v>138</v>
      </c>
      <c r="K58" s="295"/>
      <c r="L58" s="319" t="s">
        <v>139</v>
      </c>
      <c r="M58" s="320" t="s">
        <v>71</v>
      </c>
      <c r="N58" s="321" t="s">
        <v>100</v>
      </c>
      <c r="O58" s="322" t="s">
        <v>82</v>
      </c>
      <c r="P58" s="323" t="s">
        <v>101</v>
      </c>
      <c r="Q58" s="324">
        <v>300</v>
      </c>
      <c r="R58" s="375" t="s">
        <v>60</v>
      </c>
      <c r="S58" s="326"/>
      <c r="T58" s="327" t="s">
        <v>61</v>
      </c>
      <c r="U58" s="321" t="s">
        <v>62</v>
      </c>
      <c r="V58" s="321">
        <v>2</v>
      </c>
      <c r="W58" s="321">
        <v>2</v>
      </c>
      <c r="X58" s="328"/>
      <c r="Y58" s="329" t="s">
        <v>63</v>
      </c>
      <c r="Z58" s="326"/>
      <c r="AA58" s="330" t="s">
        <v>64</v>
      </c>
      <c r="AB58" s="330" t="s">
        <v>65</v>
      </c>
      <c r="AC58" s="331">
        <v>0.1</v>
      </c>
      <c r="AD58" s="331">
        <v>0.02</v>
      </c>
      <c r="AE58" s="327" t="s">
        <v>66</v>
      </c>
      <c r="AF58" s="332">
        <v>50000</v>
      </c>
      <c r="AG58" s="333">
        <v>8</v>
      </c>
      <c r="AH58" s="333">
        <v>8</v>
      </c>
      <c r="AI58" s="333">
        <v>8</v>
      </c>
      <c r="AJ58" s="327">
        <v>15</v>
      </c>
      <c r="AK58" s="334" t="s">
        <v>67</v>
      </c>
      <c r="AL58" s="335" t="s">
        <v>68</v>
      </c>
      <c r="AM58" s="336" t="s">
        <v>69</v>
      </c>
      <c r="AN58" s="336" t="s">
        <v>70</v>
      </c>
      <c r="AO58" s="314">
        <f t="shared" si="2"/>
        <v>0.694456018518519</v>
      </c>
      <c r="AP58" s="315">
        <f t="shared" si="3"/>
        <v>171</v>
      </c>
      <c r="AQ58" s="316" t="str">
        <f t="shared" si="4"/>
        <v>MICRO</v>
      </c>
    </row>
    <row r="59" ht="29.25" customHeight="1" outlineLevel="1" spans="1:43">
      <c r="A59" s="363" t="s">
        <v>53</v>
      </c>
      <c r="B59" s="317">
        <v>0.625011574074074</v>
      </c>
      <c r="C59" s="293" t="str">
        <f t="shared" ref="C59:G59" si="107">TEXT(IF($B59=0," ",$B59-C$6),"hh:mm am/pm")</f>
        <v>13:00 001/p1</v>
      </c>
      <c r="D59" s="293" t="str">
        <f t="shared" si="107"/>
        <v>11:00 001/p1</v>
      </c>
      <c r="E59" s="293" t="str">
        <f t="shared" si="107"/>
        <v>12:00 001/p1</v>
      </c>
      <c r="F59" s="293" t="str">
        <f t="shared" si="107"/>
        <v>13:00 001/p1</v>
      </c>
      <c r="G59" s="293" t="str">
        <f t="shared" si="107"/>
        <v>14:00 001/p1</v>
      </c>
      <c r="H59" s="293" t="str">
        <f t="shared" ref="H59:I59" si="108">TEXT(IF($B59=0," ",$B59+H$6),"hh:mm am/pm")</f>
        <v>21:00 001/p1</v>
      </c>
      <c r="I59" s="293" t="str">
        <f t="shared" si="108"/>
        <v>02:00 001/p1</v>
      </c>
      <c r="J59" s="318" t="s">
        <v>168</v>
      </c>
      <c r="K59" s="295"/>
      <c r="L59" s="337" t="s">
        <v>73</v>
      </c>
      <c r="M59" s="338" t="s">
        <v>71</v>
      </c>
      <c r="N59" s="339" t="s">
        <v>57</v>
      </c>
      <c r="O59" s="340" t="s">
        <v>74</v>
      </c>
      <c r="P59" s="341" t="s">
        <v>75</v>
      </c>
      <c r="Q59" s="342">
        <v>4200</v>
      </c>
      <c r="R59" s="325" t="s">
        <v>76</v>
      </c>
      <c r="S59" s="344"/>
      <c r="T59" s="345" t="s">
        <v>115</v>
      </c>
      <c r="U59" s="339" t="s">
        <v>62</v>
      </c>
      <c r="V59" s="339">
        <v>3</v>
      </c>
      <c r="W59" s="339">
        <v>3</v>
      </c>
      <c r="X59" s="354"/>
      <c r="Y59" s="347" t="s">
        <v>79</v>
      </c>
      <c r="Z59" s="339">
        <v>3</v>
      </c>
      <c r="AA59" s="348">
        <v>160000</v>
      </c>
      <c r="AB59" s="348" t="s">
        <v>65</v>
      </c>
      <c r="AC59" s="349">
        <v>0.1</v>
      </c>
      <c r="AD59" s="349">
        <v>0.02</v>
      </c>
      <c r="AE59" s="345" t="s">
        <v>88</v>
      </c>
      <c r="AF59" s="346">
        <v>40000</v>
      </c>
      <c r="AG59" s="350">
        <v>10</v>
      </c>
      <c r="AH59" s="350">
        <v>8</v>
      </c>
      <c r="AI59" s="350">
        <v>8</v>
      </c>
      <c r="AJ59" s="345">
        <v>13</v>
      </c>
      <c r="AK59" s="351" t="s">
        <v>67</v>
      </c>
      <c r="AL59" s="352" t="s">
        <v>68</v>
      </c>
      <c r="AM59" s="313" t="s">
        <v>69</v>
      </c>
      <c r="AN59" s="313" t="s">
        <v>70</v>
      </c>
      <c r="AO59" s="314">
        <f t="shared" si="2"/>
        <v>0.722233796296296</v>
      </c>
      <c r="AP59" s="315">
        <f t="shared" si="3"/>
        <v>1591</v>
      </c>
      <c r="AQ59" s="316" t="str">
        <f t="shared" si="4"/>
        <v>MICRO</v>
      </c>
    </row>
    <row r="60" ht="29.25" customHeight="1" outlineLevel="1" spans="1:43">
      <c r="B60" s="317">
        <v>0.645844907407407</v>
      </c>
      <c r="C60" s="293" t="str">
        <f t="shared" ref="C60:G60" si="109">TEXT(IF($B60=0," ",$B60-C$6),"hh:mm am/pm")</f>
        <v>13:30 001/p1</v>
      </c>
      <c r="D60" s="293" t="str">
        <f t="shared" si="109"/>
        <v>11:30 001/p1</v>
      </c>
      <c r="E60" s="293" t="str">
        <f t="shared" si="109"/>
        <v>12:30 001/p1</v>
      </c>
      <c r="F60" s="293" t="str">
        <f t="shared" si="109"/>
        <v>13:30 001/p1</v>
      </c>
      <c r="G60" s="293" t="str">
        <f t="shared" si="109"/>
        <v>14:30 001/p1</v>
      </c>
      <c r="H60" s="293" t="str">
        <f t="shared" ref="H60:I60" si="110">TEXT(IF($B60=0," ",$B60+H$6),"hh:mm am/pm")</f>
        <v>21:30 001/p1</v>
      </c>
      <c r="I60" s="293" t="str">
        <f t="shared" si="110"/>
        <v>02:30 001/p1</v>
      </c>
      <c r="J60" s="294" t="s">
        <v>169</v>
      </c>
      <c r="K60" s="295"/>
      <c r="L60" s="319" t="s">
        <v>157</v>
      </c>
      <c r="M60" s="320" t="s">
        <v>71</v>
      </c>
      <c r="N60" s="321" t="s">
        <v>100</v>
      </c>
      <c r="O60" s="322" t="s">
        <v>82</v>
      </c>
      <c r="P60" s="323" t="s">
        <v>101</v>
      </c>
      <c r="Q60" s="324">
        <v>2400</v>
      </c>
      <c r="R60" s="375" t="s">
        <v>60</v>
      </c>
      <c r="S60" s="326"/>
      <c r="T60" s="327" t="s">
        <v>92</v>
      </c>
      <c r="U60" s="321" t="s">
        <v>62</v>
      </c>
      <c r="V60" s="321">
        <v>30</v>
      </c>
      <c r="W60" s="321">
        <v>30</v>
      </c>
      <c r="X60" s="328"/>
      <c r="Y60" s="329" t="s">
        <v>63</v>
      </c>
      <c r="Z60" s="326"/>
      <c r="AA60" s="330" t="s">
        <v>64</v>
      </c>
      <c r="AB60" s="330" t="s">
        <v>65</v>
      </c>
      <c r="AC60" s="331">
        <v>0.1</v>
      </c>
      <c r="AD60" s="331">
        <v>0.02</v>
      </c>
      <c r="AE60" s="330" t="s">
        <v>66</v>
      </c>
      <c r="AF60" s="332">
        <v>40000</v>
      </c>
      <c r="AG60" s="333">
        <v>10</v>
      </c>
      <c r="AH60" s="333">
        <v>10</v>
      </c>
      <c r="AI60" s="333">
        <v>10</v>
      </c>
      <c r="AJ60" s="327">
        <v>14</v>
      </c>
      <c r="AK60" s="334" t="s">
        <v>67</v>
      </c>
      <c r="AL60" s="335" t="s">
        <v>68</v>
      </c>
      <c r="AM60" s="376" t="s">
        <v>69</v>
      </c>
      <c r="AN60" s="376" t="s">
        <v>170</v>
      </c>
      <c r="AO60" s="314">
        <f t="shared" si="2"/>
        <v>0.750011574074074</v>
      </c>
      <c r="AP60" s="315">
        <f t="shared" si="3"/>
        <v>91</v>
      </c>
      <c r="AQ60" s="316" t="str">
        <f t="shared" si="4"/>
        <v>MEDIUM</v>
      </c>
    </row>
    <row r="61" ht="29.25" customHeight="1" outlineLevel="1" spans="1:43">
      <c r="B61" s="317">
        <v>0.666678240740741</v>
      </c>
      <c r="C61" s="293" t="str">
        <f t="shared" ref="C61:G61" si="111">TEXT(IF($B61=0," ",$B61-C$6),"hh:mm am/pm")</f>
        <v>14:00 001/p1</v>
      </c>
      <c r="D61" s="293" t="str">
        <f t="shared" si="111"/>
        <v>12:00 001/p1</v>
      </c>
      <c r="E61" s="293" t="str">
        <f t="shared" si="111"/>
        <v>13:00 001/p1</v>
      </c>
      <c r="F61" s="293" t="str">
        <f t="shared" si="111"/>
        <v>14:00 001/p1</v>
      </c>
      <c r="G61" s="293" t="str">
        <f t="shared" si="111"/>
        <v>15:00 001/p1</v>
      </c>
      <c r="H61" s="293" t="str">
        <f t="shared" ref="H61:I61" si="112">TEXT(IF($B61=0," ",$B61+H$6),"hh:mm am/pm")</f>
        <v>22:00 001/p1</v>
      </c>
      <c r="I61" s="293" t="str">
        <f t="shared" si="112"/>
        <v>03:00 001/p1</v>
      </c>
      <c r="J61" s="294" t="s">
        <v>137</v>
      </c>
      <c r="K61" s="295"/>
      <c r="L61" s="337" t="s">
        <v>129</v>
      </c>
      <c r="M61" s="338" t="s">
        <v>71</v>
      </c>
      <c r="N61" s="339" t="s">
        <v>122</v>
      </c>
      <c r="O61" s="340" t="s">
        <v>74</v>
      </c>
      <c r="P61" s="341" t="s">
        <v>101</v>
      </c>
      <c r="Q61" s="342">
        <v>100</v>
      </c>
      <c r="R61" s="343" t="s">
        <v>60</v>
      </c>
      <c r="S61" s="344"/>
      <c r="T61" s="345" t="s">
        <v>61</v>
      </c>
      <c r="U61" s="339" t="s">
        <v>62</v>
      </c>
      <c r="V61" s="339">
        <v>0.8</v>
      </c>
      <c r="W61" s="339">
        <v>0.8</v>
      </c>
      <c r="X61" s="354"/>
      <c r="Y61" s="347" t="s">
        <v>79</v>
      </c>
      <c r="Z61" s="339">
        <v>0.8</v>
      </c>
      <c r="AA61" s="348">
        <v>80000</v>
      </c>
      <c r="AB61" s="348" t="s">
        <v>65</v>
      </c>
      <c r="AC61" s="349">
        <v>0.1</v>
      </c>
      <c r="AD61" s="349">
        <v>0</v>
      </c>
      <c r="AE61" s="345" t="s">
        <v>88</v>
      </c>
      <c r="AF61" s="346">
        <v>40000</v>
      </c>
      <c r="AG61" s="350">
        <v>8</v>
      </c>
      <c r="AH61" s="350">
        <v>7</v>
      </c>
      <c r="AI61" s="350">
        <v>7</v>
      </c>
      <c r="AJ61" s="345">
        <v>12</v>
      </c>
      <c r="AK61" s="351" t="s">
        <v>67</v>
      </c>
      <c r="AL61" s="352" t="s">
        <v>68</v>
      </c>
      <c r="AM61" s="353" t="s">
        <v>69</v>
      </c>
      <c r="AN61" s="353" t="s">
        <v>70</v>
      </c>
      <c r="AO61" s="314">
        <f t="shared" si="2"/>
        <v>0.73681712962963</v>
      </c>
      <c r="AP61" s="315">
        <f t="shared" si="3"/>
        <v>139</v>
      </c>
      <c r="AQ61" s="316" t="str">
        <f t="shared" si="4"/>
        <v>MICRO</v>
      </c>
    </row>
    <row r="62" ht="29.25" customHeight="1" outlineLevel="1" spans="1:43">
      <c r="A62" s="363" t="s">
        <v>53</v>
      </c>
      <c r="B62" s="317">
        <v>0.666678240740741</v>
      </c>
      <c r="C62" s="293" t="str">
        <f t="shared" ref="C62:G62" si="113">TEXT(IF($B62=0," ",$B62-C$6),"hh:mm am/pm")</f>
        <v>14:00 001/p1</v>
      </c>
      <c r="D62" s="293" t="str">
        <f t="shared" si="113"/>
        <v>12:00 001/p1</v>
      </c>
      <c r="E62" s="293" t="str">
        <f t="shared" si="113"/>
        <v>13:00 001/p1</v>
      </c>
      <c r="F62" s="293" t="str">
        <f t="shared" si="113"/>
        <v>14:00 001/p1</v>
      </c>
      <c r="G62" s="293" t="str">
        <f t="shared" si="113"/>
        <v>15:00 001/p1</v>
      </c>
      <c r="H62" s="293" t="str">
        <f t="shared" ref="H62:I62" si="114">TEXT(IF($B62=0," ",$B62+H$6),"hh:mm am/pm")</f>
        <v>22:00 001/p1</v>
      </c>
      <c r="I62" s="293" t="str">
        <f t="shared" si="114"/>
        <v>03:00 001/p1</v>
      </c>
      <c r="J62" s="294" t="s">
        <v>153</v>
      </c>
      <c r="K62" s="295"/>
      <c r="L62" s="319" t="s">
        <v>114</v>
      </c>
      <c r="M62" s="320" t="s">
        <v>71</v>
      </c>
      <c r="N62" s="321" t="s">
        <v>57</v>
      </c>
      <c r="O62" s="322" t="s">
        <v>74</v>
      </c>
      <c r="P62" s="323" t="s">
        <v>75</v>
      </c>
      <c r="Q62" s="324">
        <v>300</v>
      </c>
      <c r="R62" s="375" t="s">
        <v>60</v>
      </c>
      <c r="S62" s="326"/>
      <c r="T62" s="327" t="s">
        <v>115</v>
      </c>
      <c r="U62" s="321" t="s">
        <v>62</v>
      </c>
      <c r="V62" s="321">
        <v>0.4</v>
      </c>
      <c r="W62" s="321">
        <v>0.4</v>
      </c>
      <c r="X62" s="328"/>
      <c r="Y62" s="329" t="s">
        <v>79</v>
      </c>
      <c r="Z62" s="321">
        <v>0.6</v>
      </c>
      <c r="AA62" s="330">
        <v>50000</v>
      </c>
      <c r="AB62" s="330" t="s">
        <v>65</v>
      </c>
      <c r="AC62" s="331">
        <v>0.1</v>
      </c>
      <c r="AD62" s="331">
        <v>0</v>
      </c>
      <c r="AE62" s="327" t="s">
        <v>66</v>
      </c>
      <c r="AF62" s="332">
        <v>20000</v>
      </c>
      <c r="AG62" s="333">
        <v>8</v>
      </c>
      <c r="AH62" s="333">
        <v>7</v>
      </c>
      <c r="AI62" s="333">
        <v>7</v>
      </c>
      <c r="AJ62" s="327">
        <v>12</v>
      </c>
      <c r="AK62" s="334" t="s">
        <v>67</v>
      </c>
      <c r="AL62" s="335" t="s">
        <v>68</v>
      </c>
      <c r="AM62" s="336" t="s">
        <v>69</v>
      </c>
      <c r="AN62" s="336" t="s">
        <v>70</v>
      </c>
      <c r="AO62" s="314">
        <f t="shared" si="2"/>
        <v>0.73681712962963</v>
      </c>
      <c r="AP62" s="315">
        <f t="shared" si="3"/>
        <v>834</v>
      </c>
      <c r="AQ62" s="316" t="str">
        <f t="shared" si="4"/>
        <v>MICRO</v>
      </c>
    </row>
    <row r="63" ht="29.25" customHeight="1" outlineLevel="1" spans="1:43">
      <c r="B63" s="317">
        <v>0.687511574074074</v>
      </c>
      <c r="C63" s="293" t="str">
        <f t="shared" ref="C63:G63" si="115">TEXT(IF($B63=0," ",$B63-C$6),"hh:mm am/pm")</f>
        <v>14:30 001/p1</v>
      </c>
      <c r="D63" s="293" t="str">
        <f t="shared" si="115"/>
        <v>12:30 001/p1</v>
      </c>
      <c r="E63" s="293" t="str">
        <f t="shared" si="115"/>
        <v>13:30 001/p1</v>
      </c>
      <c r="F63" s="293" t="str">
        <f t="shared" si="115"/>
        <v>14:30 001/p1</v>
      </c>
      <c r="G63" s="293" t="str">
        <f t="shared" si="115"/>
        <v>15:30 001/p1</v>
      </c>
      <c r="H63" s="293" t="str">
        <f t="shared" ref="H63:I63" si="116">TEXT(IF($B63=0," ",$B63+H$6),"hh:mm am/pm")</f>
        <v>22:30 001/p1</v>
      </c>
      <c r="I63" s="293" t="str">
        <f t="shared" si="116"/>
        <v>03:30 001/p1</v>
      </c>
      <c r="J63" s="294" t="s">
        <v>171</v>
      </c>
      <c r="K63" s="295"/>
      <c r="L63" s="337" t="s">
        <v>172</v>
      </c>
      <c r="M63" s="338" t="s">
        <v>71</v>
      </c>
      <c r="N63" s="339" t="s">
        <v>57</v>
      </c>
      <c r="O63" s="340" t="s">
        <v>74</v>
      </c>
      <c r="P63" s="341" t="s">
        <v>59</v>
      </c>
      <c r="Q63" s="342">
        <v>1200</v>
      </c>
      <c r="R63" s="343" t="s">
        <v>60</v>
      </c>
      <c r="S63" s="344"/>
      <c r="T63" s="345" t="s">
        <v>61</v>
      </c>
      <c r="U63" s="339" t="s">
        <v>62</v>
      </c>
      <c r="V63" s="339">
        <v>10</v>
      </c>
      <c r="W63" s="344"/>
      <c r="X63" s="354"/>
      <c r="Y63" s="347" t="s">
        <v>161</v>
      </c>
      <c r="Z63" s="344"/>
      <c r="AA63" s="348" t="s">
        <v>162</v>
      </c>
      <c r="AB63" s="348" t="s">
        <v>65</v>
      </c>
      <c r="AC63" s="349">
        <v>0.08</v>
      </c>
      <c r="AD63" s="349">
        <v>0.02</v>
      </c>
      <c r="AE63" s="348" t="s">
        <v>66</v>
      </c>
      <c r="AF63" s="346">
        <v>50000</v>
      </c>
      <c r="AG63" s="350">
        <v>12</v>
      </c>
      <c r="AH63" s="350">
        <v>10</v>
      </c>
      <c r="AI63" s="350">
        <v>10</v>
      </c>
      <c r="AJ63" s="345">
        <v>14</v>
      </c>
      <c r="AK63" s="352" t="s">
        <v>67</v>
      </c>
      <c r="AL63" s="352" t="s">
        <v>68</v>
      </c>
      <c r="AM63" s="353" t="s">
        <v>69</v>
      </c>
      <c r="AN63" s="353" t="s">
        <v>70</v>
      </c>
      <c r="AO63" s="314">
        <f t="shared" si="2"/>
        <v>0.811122685185185</v>
      </c>
      <c r="AP63" s="315">
        <f t="shared" si="3"/>
        <v>134</v>
      </c>
      <c r="AQ63" s="316" t="str">
        <f t="shared" si="4"/>
        <v>LOW</v>
      </c>
    </row>
    <row r="64" ht="29.25" customHeight="1" outlineLevel="1" spans="1:43">
      <c r="B64" s="317">
        <v>0.708344907407407</v>
      </c>
      <c r="C64" s="293" t="str">
        <f t="shared" ref="C64:G64" si="117">TEXT(IF($B64=0," ",$B64-C$6),"hh:mm am/pm")</f>
        <v>15:00 001/p1</v>
      </c>
      <c r="D64" s="293" t="str">
        <f t="shared" si="117"/>
        <v>13:00 001/p1</v>
      </c>
      <c r="E64" s="293" t="str">
        <f t="shared" si="117"/>
        <v>14:00 001/p1</v>
      </c>
      <c r="F64" s="293" t="str">
        <f t="shared" si="117"/>
        <v>15:00 001/p1</v>
      </c>
      <c r="G64" s="293" t="str">
        <f t="shared" si="117"/>
        <v>16:00 001/p1</v>
      </c>
      <c r="H64" s="293" t="str">
        <f t="shared" ref="H64:I64" si="118">TEXT(IF($B64=0," ",$B64+H$6),"hh:mm am/pm")</f>
        <v>23:00 001/p1</v>
      </c>
      <c r="I64" s="293" t="str">
        <f t="shared" si="118"/>
        <v>04:00 001/p1</v>
      </c>
      <c r="J64" s="294" t="s">
        <v>173</v>
      </c>
      <c r="K64" s="295"/>
      <c r="L64" s="319" t="s">
        <v>174</v>
      </c>
      <c r="M64" s="320" t="s">
        <v>71</v>
      </c>
      <c r="N64" s="321" t="s">
        <v>57</v>
      </c>
      <c r="O64" s="322" t="s">
        <v>82</v>
      </c>
      <c r="P64" s="323" t="s">
        <v>75</v>
      </c>
      <c r="Q64" s="324">
        <v>3000</v>
      </c>
      <c r="R64" s="375" t="s">
        <v>60</v>
      </c>
      <c r="S64" s="326"/>
      <c r="T64" s="327" t="s">
        <v>92</v>
      </c>
      <c r="U64" s="321" t="s">
        <v>62</v>
      </c>
      <c r="V64" s="321">
        <v>5</v>
      </c>
      <c r="W64" s="321">
        <v>5</v>
      </c>
      <c r="X64" s="328"/>
      <c r="Y64" s="329" t="s">
        <v>63</v>
      </c>
      <c r="Z64" s="326"/>
      <c r="AA64" s="330" t="s">
        <v>64</v>
      </c>
      <c r="AB64" s="330" t="s">
        <v>65</v>
      </c>
      <c r="AC64" s="331">
        <v>0.1</v>
      </c>
      <c r="AD64" s="331">
        <v>0.02</v>
      </c>
      <c r="AE64" s="330" t="s">
        <v>88</v>
      </c>
      <c r="AF64" s="332">
        <v>80000</v>
      </c>
      <c r="AG64" s="333">
        <v>12</v>
      </c>
      <c r="AH64" s="333">
        <v>10</v>
      </c>
      <c r="AI64" s="333">
        <v>10</v>
      </c>
      <c r="AJ64" s="327">
        <v>15</v>
      </c>
      <c r="AK64" s="334" t="s">
        <v>67</v>
      </c>
      <c r="AL64" s="335" t="s">
        <v>68</v>
      </c>
      <c r="AM64" s="376" t="s">
        <v>69</v>
      </c>
      <c r="AN64" s="376" t="s">
        <v>70</v>
      </c>
      <c r="AO64" s="314">
        <f t="shared" si="2"/>
        <v>0.843761574074074</v>
      </c>
      <c r="AP64" s="315">
        <f t="shared" si="3"/>
        <v>682</v>
      </c>
      <c r="AQ64" s="316" t="str">
        <f t="shared" si="4"/>
        <v>MICRO</v>
      </c>
    </row>
    <row r="65" ht="29.25" customHeight="1" outlineLevel="1" spans="1:43">
      <c r="A65" s="363" t="s">
        <v>53</v>
      </c>
      <c r="B65" s="317">
        <v>0.708344907407407</v>
      </c>
      <c r="C65" s="293" t="str">
        <f t="shared" ref="C65:G65" si="119">TEXT(IF($B65=0," ",$B65-C$6),"hh:mm am/pm")</f>
        <v>15:00 001/p1</v>
      </c>
      <c r="D65" s="293" t="str">
        <f t="shared" si="119"/>
        <v>13:00 001/p1</v>
      </c>
      <c r="E65" s="293" t="str">
        <f t="shared" si="119"/>
        <v>14:00 001/p1</v>
      </c>
      <c r="F65" s="293" t="str">
        <f t="shared" si="119"/>
        <v>15:00 001/p1</v>
      </c>
      <c r="G65" s="293" t="str">
        <f t="shared" si="119"/>
        <v>16:00 001/p1</v>
      </c>
      <c r="H65" s="293" t="str">
        <f t="shared" ref="H65:I65" si="120">TEXT(IF($B65=0," ",$B65+H$6),"hh:mm am/pm")</f>
        <v>23:00 001/p1</v>
      </c>
      <c r="I65" s="293" t="str">
        <f t="shared" si="120"/>
        <v>04:00 001/p1</v>
      </c>
      <c r="J65" s="294" t="s">
        <v>149</v>
      </c>
      <c r="K65" s="295"/>
      <c r="L65" s="337" t="s">
        <v>149</v>
      </c>
      <c r="M65" s="338" t="s">
        <v>71</v>
      </c>
      <c r="N65" s="339" t="s">
        <v>57</v>
      </c>
      <c r="O65" s="340" t="s">
        <v>74</v>
      </c>
      <c r="P65" s="341" t="s">
        <v>75</v>
      </c>
      <c r="Q65" s="342">
        <v>50</v>
      </c>
      <c r="R65" s="343" t="s">
        <v>60</v>
      </c>
      <c r="S65" s="344"/>
      <c r="T65" s="345" t="s">
        <v>61</v>
      </c>
      <c r="U65" s="339" t="s">
        <v>62</v>
      </c>
      <c r="V65" s="339">
        <v>0.6</v>
      </c>
      <c r="W65" s="339">
        <v>0.6</v>
      </c>
      <c r="X65" s="354"/>
      <c r="Y65" s="347" t="s">
        <v>63</v>
      </c>
      <c r="Z65" s="339">
        <v>0.6</v>
      </c>
      <c r="AA65" s="348">
        <v>30000</v>
      </c>
      <c r="AB65" s="348" t="s">
        <v>65</v>
      </c>
      <c r="AC65" s="349">
        <v>0.1</v>
      </c>
      <c r="AD65" s="349">
        <v>0</v>
      </c>
      <c r="AE65" s="348" t="s">
        <v>112</v>
      </c>
      <c r="AF65" s="346">
        <v>20000</v>
      </c>
      <c r="AG65" s="350">
        <v>5</v>
      </c>
      <c r="AH65" s="350">
        <v>5</v>
      </c>
      <c r="AI65" s="350">
        <v>5</v>
      </c>
      <c r="AJ65" s="345">
        <v>15</v>
      </c>
      <c r="AK65" s="351" t="s">
        <v>150</v>
      </c>
      <c r="AL65" s="352" t="s">
        <v>68</v>
      </c>
      <c r="AM65" s="353" t="s">
        <v>69</v>
      </c>
      <c r="AN65" s="353" t="s">
        <v>70</v>
      </c>
      <c r="AO65" s="314">
        <f t="shared" si="2"/>
        <v>0.763900462962963</v>
      </c>
      <c r="AP65" s="315">
        <f t="shared" si="3"/>
        <v>93</v>
      </c>
      <c r="AQ65" s="316" t="str">
        <f t="shared" si="4"/>
        <v>MICRO</v>
      </c>
    </row>
    <row r="66" ht="29.25" customHeight="1" outlineLevel="1" spans="1:43">
      <c r="B66" s="317">
        <v>0.750011574074074</v>
      </c>
      <c r="C66" s="293" t="str">
        <f t="shared" ref="C66:G66" si="121">TEXT(IF($B66=0," ",$B66-C$6),"hh:mm am/pm")</f>
        <v>16:00 001/p1</v>
      </c>
      <c r="D66" s="293" t="str">
        <f t="shared" si="121"/>
        <v>14:00 001/p1</v>
      </c>
      <c r="E66" s="293" t="str">
        <f t="shared" si="121"/>
        <v>15:00 001/p1</v>
      </c>
      <c r="F66" s="293" t="str">
        <f t="shared" si="121"/>
        <v>16:00 001/p1</v>
      </c>
      <c r="G66" s="293" t="str">
        <f t="shared" si="121"/>
        <v>17:00 001/p1</v>
      </c>
      <c r="H66" s="293" t="str">
        <f t="shared" ref="H66:I66" si="122">TEXT(IF($B66=0," ",$B66+H$6),"hh:mm am/pm")</f>
        <v>00:00 001/p1</v>
      </c>
      <c r="I66" s="293" t="str">
        <f t="shared" si="122"/>
        <v>05:00 001/p1</v>
      </c>
      <c r="J66" s="294" t="s">
        <v>175</v>
      </c>
      <c r="K66" s="295"/>
      <c r="L66" s="319" t="s">
        <v>124</v>
      </c>
      <c r="M66" s="320" t="s">
        <v>71</v>
      </c>
      <c r="N66" s="321" t="s">
        <v>122</v>
      </c>
      <c r="O66" s="322" t="s">
        <v>82</v>
      </c>
      <c r="P66" s="323" t="s">
        <v>59</v>
      </c>
      <c r="Q66" s="324">
        <v>150</v>
      </c>
      <c r="R66" s="375" t="s">
        <v>60</v>
      </c>
      <c r="S66" s="326"/>
      <c r="T66" s="327" t="s">
        <v>61</v>
      </c>
      <c r="U66" s="321" t="s">
        <v>62</v>
      </c>
      <c r="V66" s="321">
        <v>0.6</v>
      </c>
      <c r="W66" s="321">
        <v>0.6</v>
      </c>
      <c r="X66" s="328"/>
      <c r="Y66" s="329" t="s">
        <v>63</v>
      </c>
      <c r="Z66" s="326"/>
      <c r="AA66" s="330" t="s">
        <v>64</v>
      </c>
      <c r="AB66" s="330" t="s">
        <v>65</v>
      </c>
      <c r="AC66" s="331">
        <v>0.1</v>
      </c>
      <c r="AD66" s="331">
        <v>0</v>
      </c>
      <c r="AE66" s="327" t="s">
        <v>66</v>
      </c>
      <c r="AF66" s="332">
        <v>50000</v>
      </c>
      <c r="AG66" s="333">
        <v>8</v>
      </c>
      <c r="AH66" s="333">
        <v>7</v>
      </c>
      <c r="AI66" s="333">
        <v>7</v>
      </c>
      <c r="AJ66" s="327">
        <v>15</v>
      </c>
      <c r="AK66" s="334" t="s">
        <v>67</v>
      </c>
      <c r="AL66" s="335" t="s">
        <v>68</v>
      </c>
      <c r="AM66" s="336" t="s">
        <v>69</v>
      </c>
      <c r="AN66" s="336" t="s">
        <v>70</v>
      </c>
      <c r="AO66" s="314">
        <f t="shared" si="2"/>
        <v>0.840289351851852</v>
      </c>
      <c r="AP66" s="315">
        <f t="shared" si="3"/>
        <v>278</v>
      </c>
      <c r="AQ66" s="316" t="str">
        <f t="shared" si="4"/>
        <v>MICRO</v>
      </c>
    </row>
    <row r="67" ht="29.25" customHeight="1" outlineLevel="1" spans="1:43">
      <c r="A67" s="363" t="s">
        <v>53</v>
      </c>
      <c r="B67" s="317">
        <v>0.770844907407407</v>
      </c>
      <c r="C67" s="293" t="str">
        <f t="shared" ref="C67:G67" si="123">TEXT(IF($B67=0," ",$B67-C$6),"hh:mm am/pm")</f>
        <v>16:30 001/p1</v>
      </c>
      <c r="D67" s="293" t="str">
        <f t="shared" si="123"/>
        <v>14:30 001/p1</v>
      </c>
      <c r="E67" s="293" t="str">
        <f t="shared" si="123"/>
        <v>15:30 001/p1</v>
      </c>
      <c r="F67" s="293" t="str">
        <f t="shared" si="123"/>
        <v>16:30 001/p1</v>
      </c>
      <c r="G67" s="293" t="str">
        <f t="shared" si="123"/>
        <v>17:30 001/p1</v>
      </c>
      <c r="H67" s="293" t="str">
        <f t="shared" ref="H67:I67" si="124">TEXT(IF($B67=0," ",$B67+H$6),"hh:mm am/pm")</f>
        <v>00:30 001/p1</v>
      </c>
      <c r="I67" s="293" t="str">
        <f t="shared" si="124"/>
        <v>05:30 001/p1</v>
      </c>
      <c r="J67" s="318" t="s">
        <v>176</v>
      </c>
      <c r="K67" s="295"/>
      <c r="L67" s="337" t="s">
        <v>177</v>
      </c>
      <c r="M67" s="338" t="s">
        <v>71</v>
      </c>
      <c r="N67" s="339" t="s">
        <v>57</v>
      </c>
      <c r="O67" s="340" t="s">
        <v>74</v>
      </c>
      <c r="P67" s="341" t="s">
        <v>75</v>
      </c>
      <c r="Q67" s="342">
        <v>1700</v>
      </c>
      <c r="R67" s="325" t="s">
        <v>76</v>
      </c>
      <c r="S67" s="344"/>
      <c r="T67" s="345" t="s">
        <v>115</v>
      </c>
      <c r="U67" s="339" t="s">
        <v>62</v>
      </c>
      <c r="V67" s="339">
        <v>0.6</v>
      </c>
      <c r="W67" s="339">
        <v>0.6</v>
      </c>
      <c r="X67" s="354"/>
      <c r="Y67" s="347" t="s">
        <v>79</v>
      </c>
      <c r="Z67" s="339">
        <v>0.6</v>
      </c>
      <c r="AA67" s="348">
        <v>120000</v>
      </c>
      <c r="AB67" s="348" t="s">
        <v>65</v>
      </c>
      <c r="AC67" s="349">
        <v>0.1</v>
      </c>
      <c r="AD67" s="349">
        <v>0.02</v>
      </c>
      <c r="AE67" s="345" t="s">
        <v>66</v>
      </c>
      <c r="AF67" s="346">
        <v>40000</v>
      </c>
      <c r="AG67" s="350">
        <v>8</v>
      </c>
      <c r="AH67" s="350">
        <v>7</v>
      </c>
      <c r="AI67" s="350">
        <v>7</v>
      </c>
      <c r="AJ67" s="345">
        <v>15</v>
      </c>
      <c r="AK67" s="351" t="s">
        <v>67</v>
      </c>
      <c r="AL67" s="352" t="s">
        <v>68</v>
      </c>
      <c r="AM67" s="353" t="s">
        <v>69</v>
      </c>
      <c r="AN67" s="353" t="s">
        <v>70</v>
      </c>
      <c r="AO67" s="314">
        <f t="shared" si="2"/>
        <v>0.861122685185185</v>
      </c>
      <c r="AP67" s="315">
        <f t="shared" si="3"/>
        <v>3220</v>
      </c>
      <c r="AQ67" s="316" t="str">
        <f t="shared" si="4"/>
        <v>MICRO</v>
      </c>
    </row>
    <row r="68" ht="29.25" customHeight="1" outlineLevel="1" spans="1:43">
      <c r="B68" s="317">
        <v>0.791678240740741</v>
      </c>
      <c r="C68" s="293" t="str">
        <f t="shared" ref="C68:G68" si="125">TEXT(IF($B68=0," ",$B68-C$6),"hh:mm am/pm")</f>
        <v>17:00 001/p1</v>
      </c>
      <c r="D68" s="293" t="str">
        <f t="shared" si="125"/>
        <v>15:00 001/p1</v>
      </c>
      <c r="E68" s="293" t="str">
        <f t="shared" si="125"/>
        <v>16:00 001/p1</v>
      </c>
      <c r="F68" s="293" t="str">
        <f t="shared" si="125"/>
        <v>17:00 001/p1</v>
      </c>
      <c r="G68" s="293" t="str">
        <f t="shared" si="125"/>
        <v>18:00 001/p1</v>
      </c>
      <c r="H68" s="293" t="str">
        <f t="shared" ref="H68:I68" si="126">TEXT(IF($B68=0," ",$B68+H$6),"hh:mm am/pm")</f>
        <v>01:00 001/p1</v>
      </c>
      <c r="I68" s="293" t="str">
        <f t="shared" si="126"/>
        <v>06:00 001/p1</v>
      </c>
      <c r="J68" s="294" t="s">
        <v>120</v>
      </c>
      <c r="K68" s="295"/>
      <c r="L68" s="319" t="s">
        <v>121</v>
      </c>
      <c r="M68" s="320" t="s">
        <v>71</v>
      </c>
      <c r="N68" s="321" t="s">
        <v>100</v>
      </c>
      <c r="O68" s="322" t="s">
        <v>109</v>
      </c>
      <c r="P68" s="323" t="s">
        <v>101</v>
      </c>
      <c r="Q68" s="324">
        <v>500</v>
      </c>
      <c r="R68" s="375" t="s">
        <v>60</v>
      </c>
      <c r="S68" s="326"/>
      <c r="T68" s="327" t="s">
        <v>61</v>
      </c>
      <c r="U68" s="321" t="s">
        <v>62</v>
      </c>
      <c r="V68" s="321">
        <v>2</v>
      </c>
      <c r="W68" s="321">
        <v>2</v>
      </c>
      <c r="X68" s="328"/>
      <c r="Y68" s="329" t="s">
        <v>63</v>
      </c>
      <c r="Z68" s="326"/>
      <c r="AA68" s="330" t="s">
        <v>64</v>
      </c>
      <c r="AB68" s="330" t="s">
        <v>65</v>
      </c>
      <c r="AC68" s="331">
        <v>0.1</v>
      </c>
      <c r="AD68" s="331">
        <v>0.02</v>
      </c>
      <c r="AE68" s="327" t="s">
        <v>66</v>
      </c>
      <c r="AF68" s="332">
        <v>50000</v>
      </c>
      <c r="AG68" s="333">
        <v>10</v>
      </c>
      <c r="AH68" s="333">
        <v>8</v>
      </c>
      <c r="AI68" s="333">
        <v>8</v>
      </c>
      <c r="AJ68" s="327">
        <v>15</v>
      </c>
      <c r="AK68" s="334" t="s">
        <v>67</v>
      </c>
      <c r="AL68" s="335" t="s">
        <v>68</v>
      </c>
      <c r="AM68" s="336" t="s">
        <v>69</v>
      </c>
      <c r="AN68" s="336" t="s">
        <v>70</v>
      </c>
      <c r="AO68" s="314">
        <f t="shared" si="2"/>
        <v>0.902789351851852</v>
      </c>
      <c r="AP68" s="315">
        <f t="shared" si="3"/>
        <v>285</v>
      </c>
      <c r="AQ68" s="316" t="str">
        <f t="shared" si="4"/>
        <v>MICRO</v>
      </c>
    </row>
    <row r="69" ht="29.25" customHeight="1" outlineLevel="1" spans="1:43">
      <c r="B69" s="317">
        <v>0.791678240740741</v>
      </c>
      <c r="C69" s="293" t="str">
        <f t="shared" ref="C69:G69" si="127">TEXT(IF($B69=0," ",$B69-C$6),"hh:mm am/pm")</f>
        <v>17:00 001/p1</v>
      </c>
      <c r="D69" s="293" t="str">
        <f t="shared" si="127"/>
        <v>15:00 001/p1</v>
      </c>
      <c r="E69" s="293" t="str">
        <f t="shared" si="127"/>
        <v>16:00 001/p1</v>
      </c>
      <c r="F69" s="293" t="str">
        <f t="shared" si="127"/>
        <v>17:00 001/p1</v>
      </c>
      <c r="G69" s="293" t="str">
        <f t="shared" si="127"/>
        <v>18:00 001/p1</v>
      </c>
      <c r="H69" s="293" t="str">
        <f t="shared" ref="H69:I69" si="128">TEXT(IF($B69=0," ",$B69+H$6),"hh:mm am/pm")</f>
        <v>01:00 001/p1</v>
      </c>
      <c r="I69" s="293" t="str">
        <f t="shared" si="128"/>
        <v>06:00 001/p1</v>
      </c>
      <c r="J69" s="294" t="s">
        <v>178</v>
      </c>
      <c r="K69" s="295"/>
      <c r="L69" s="337" t="s">
        <v>179</v>
      </c>
      <c r="M69" s="338" t="s">
        <v>71</v>
      </c>
      <c r="N69" s="339" t="s">
        <v>57</v>
      </c>
      <c r="O69" s="340" t="s">
        <v>104</v>
      </c>
      <c r="P69" s="341" t="s">
        <v>59</v>
      </c>
      <c r="Q69" s="342">
        <v>1000</v>
      </c>
      <c r="R69" s="343" t="s">
        <v>60</v>
      </c>
      <c r="S69" s="344"/>
      <c r="T69" s="345" t="s">
        <v>61</v>
      </c>
      <c r="U69" s="339" t="s">
        <v>62</v>
      </c>
      <c r="V69" s="339">
        <v>2</v>
      </c>
      <c r="W69" s="339">
        <v>2</v>
      </c>
      <c r="X69" s="354"/>
      <c r="Y69" s="347" t="s">
        <v>63</v>
      </c>
      <c r="Z69" s="339">
        <v>1</v>
      </c>
      <c r="AA69" s="348">
        <v>20000</v>
      </c>
      <c r="AB69" s="348" t="s">
        <v>65</v>
      </c>
      <c r="AC69" s="349">
        <v>0.1</v>
      </c>
      <c r="AD69" s="349">
        <v>0.02</v>
      </c>
      <c r="AE69" s="348" t="s">
        <v>66</v>
      </c>
      <c r="AF69" s="346">
        <v>30000</v>
      </c>
      <c r="AG69" s="350">
        <v>8</v>
      </c>
      <c r="AH69" s="350">
        <v>8</v>
      </c>
      <c r="AI69" s="350">
        <v>8</v>
      </c>
      <c r="AJ69" s="345">
        <v>14</v>
      </c>
      <c r="AK69" s="351" t="s">
        <v>67</v>
      </c>
      <c r="AL69" s="352" t="s">
        <v>68</v>
      </c>
      <c r="AM69" s="313" t="s">
        <v>69</v>
      </c>
      <c r="AN69" s="313" t="s">
        <v>70</v>
      </c>
      <c r="AO69" s="314">
        <f t="shared" si="2"/>
        <v>0.872928240740741</v>
      </c>
      <c r="AP69" s="315">
        <f t="shared" si="3"/>
        <v>569</v>
      </c>
      <c r="AQ69" s="316" t="str">
        <f t="shared" si="4"/>
        <v>MICRO</v>
      </c>
    </row>
    <row r="70" ht="29.25" customHeight="1" outlineLevel="1" spans="1:43">
      <c r="A70" s="363" t="s">
        <v>53</v>
      </c>
      <c r="B70" s="364">
        <v>0.802094907407407</v>
      </c>
      <c r="C70" s="293" t="str">
        <f t="shared" ref="C70:G70" si="129">TEXT(IF($B70=0," ",$B70-C$6),"hh:mm am/pm")</f>
        <v>17:15 001/p1</v>
      </c>
      <c r="D70" s="293" t="str">
        <f t="shared" si="129"/>
        <v>15:15 001/p1</v>
      </c>
      <c r="E70" s="293" t="str">
        <f t="shared" si="129"/>
        <v>16:15 001/p1</v>
      </c>
      <c r="F70" s="293" t="str">
        <f t="shared" si="129"/>
        <v>17:15 001/p1</v>
      </c>
      <c r="G70" s="293" t="str">
        <f t="shared" si="129"/>
        <v>18:15 001/p1</v>
      </c>
      <c r="H70" s="293" t="str">
        <f t="shared" ref="H70:I70" si="130">TEXT(IF($B70=0," ",$B70+H$6),"hh:mm am/pm")</f>
        <v>01:15 001/p1</v>
      </c>
      <c r="I70" s="293" t="str">
        <f t="shared" si="130"/>
        <v>06:15 001/p1</v>
      </c>
      <c r="J70" s="294" t="s">
        <v>149</v>
      </c>
      <c r="K70" s="295"/>
      <c r="L70" s="319" t="s">
        <v>149</v>
      </c>
      <c r="M70" s="320" t="s">
        <v>71</v>
      </c>
      <c r="N70" s="321" t="s">
        <v>57</v>
      </c>
      <c r="O70" s="322" t="s">
        <v>74</v>
      </c>
      <c r="P70" s="323" t="s">
        <v>75</v>
      </c>
      <c r="Q70" s="324">
        <v>50</v>
      </c>
      <c r="R70" s="375" t="s">
        <v>60</v>
      </c>
      <c r="S70" s="326"/>
      <c r="T70" s="327" t="s">
        <v>61</v>
      </c>
      <c r="U70" s="321" t="s">
        <v>62</v>
      </c>
      <c r="V70" s="321">
        <v>0.6</v>
      </c>
      <c r="W70" s="321">
        <v>0.6</v>
      </c>
      <c r="X70" s="328"/>
      <c r="Y70" s="329" t="s">
        <v>63</v>
      </c>
      <c r="Z70" s="321">
        <v>0.6</v>
      </c>
      <c r="AA70" s="330">
        <v>30000</v>
      </c>
      <c r="AB70" s="330" t="s">
        <v>65</v>
      </c>
      <c r="AC70" s="331">
        <v>0.1</v>
      </c>
      <c r="AD70" s="331">
        <v>0</v>
      </c>
      <c r="AE70" s="330" t="s">
        <v>112</v>
      </c>
      <c r="AF70" s="332">
        <v>20000</v>
      </c>
      <c r="AG70" s="333">
        <v>5</v>
      </c>
      <c r="AH70" s="333">
        <v>5</v>
      </c>
      <c r="AI70" s="333">
        <v>5</v>
      </c>
      <c r="AJ70" s="327">
        <v>15</v>
      </c>
      <c r="AK70" s="334" t="s">
        <v>150</v>
      </c>
      <c r="AL70" s="335" t="s">
        <v>68</v>
      </c>
      <c r="AM70" s="376" t="s">
        <v>69</v>
      </c>
      <c r="AN70" s="376" t="s">
        <v>70</v>
      </c>
      <c r="AO70" s="314">
        <f t="shared" si="2"/>
        <v>0.857650462962963</v>
      </c>
      <c r="AP70" s="315">
        <f t="shared" si="3"/>
        <v>93</v>
      </c>
      <c r="AQ70" s="316" t="str">
        <f t="shared" si="4"/>
        <v>MICRO</v>
      </c>
    </row>
    <row r="71" ht="29.25" customHeight="1" outlineLevel="1" spans="1:43">
      <c r="B71" s="364">
        <v>0.812511574074074</v>
      </c>
      <c r="C71" s="293" t="str">
        <f t="shared" ref="C71:G71" si="131">TEXT(IF($B71=0," ",$B71-C$6),"hh:mm am/pm")</f>
        <v>17:30 001/p1</v>
      </c>
      <c r="D71" s="293" t="str">
        <f t="shared" si="131"/>
        <v>15:30 001/p1</v>
      </c>
      <c r="E71" s="293" t="str">
        <f t="shared" si="131"/>
        <v>16:30 001/p1</v>
      </c>
      <c r="F71" s="293" t="str">
        <f t="shared" si="131"/>
        <v>17:30 001/p1</v>
      </c>
      <c r="G71" s="293" t="str">
        <f t="shared" si="131"/>
        <v>18:30 001/p1</v>
      </c>
      <c r="H71" s="293" t="str">
        <f t="shared" ref="H71:I71" si="132">TEXT(IF($B71=0," ",$B71+H$6),"hh:mm am/pm")</f>
        <v>01:30 001/p1</v>
      </c>
      <c r="I71" s="293" t="str">
        <f t="shared" si="132"/>
        <v>06:30 001/p1</v>
      </c>
      <c r="J71" s="318" t="s">
        <v>180</v>
      </c>
      <c r="K71" s="295"/>
      <c r="L71" s="337" t="s">
        <v>180</v>
      </c>
      <c r="M71" s="338" t="s">
        <v>71</v>
      </c>
      <c r="N71" s="339" t="s">
        <v>57</v>
      </c>
      <c r="O71" s="340" t="s">
        <v>74</v>
      </c>
      <c r="P71" s="341" t="s">
        <v>75</v>
      </c>
      <c r="Q71" s="342">
        <v>100</v>
      </c>
      <c r="R71" s="377" t="s">
        <v>181</v>
      </c>
      <c r="S71" s="343" t="s">
        <v>182</v>
      </c>
      <c r="T71" s="345" t="s">
        <v>61</v>
      </c>
      <c r="U71" s="339" t="s">
        <v>62</v>
      </c>
      <c r="V71" s="339">
        <v>0</v>
      </c>
      <c r="W71" s="339">
        <v>0</v>
      </c>
      <c r="X71" s="354"/>
      <c r="Y71" s="347" t="s">
        <v>161</v>
      </c>
      <c r="Z71" s="344"/>
      <c r="AA71" s="348" t="s">
        <v>162</v>
      </c>
      <c r="AB71" s="348" t="s">
        <v>183</v>
      </c>
      <c r="AC71" s="349">
        <v>0</v>
      </c>
      <c r="AD71" s="349">
        <v>0</v>
      </c>
      <c r="AE71" s="348" t="s">
        <v>88</v>
      </c>
      <c r="AF71" s="346">
        <v>10000</v>
      </c>
      <c r="AG71" s="350">
        <v>5</v>
      </c>
      <c r="AH71" s="350">
        <v>5</v>
      </c>
      <c r="AI71" s="350">
        <v>5</v>
      </c>
      <c r="AJ71" s="345">
        <v>6</v>
      </c>
      <c r="AK71" s="352" t="s">
        <v>184</v>
      </c>
      <c r="AL71" s="378"/>
      <c r="AM71" s="353" t="s">
        <v>69</v>
      </c>
      <c r="AN71" s="353" t="s">
        <v>70</v>
      </c>
      <c r="AO71" s="314">
        <f t="shared" si="2"/>
        <v>0.833344907407407</v>
      </c>
      <c r="AP71" s="315" t="e">
        <f t="shared" si="3"/>
        <v>#DIV/0!</v>
      </c>
      <c r="AQ71" s="316" t="str">
        <f t="shared" si="4"/>
        <v> </v>
      </c>
    </row>
    <row r="72" ht="29.25" customHeight="1" outlineLevel="1" spans="1:43">
      <c r="B72" s="364">
        <v>0.812511574074074</v>
      </c>
      <c r="C72" s="293" t="str">
        <f t="shared" ref="C72:G72" si="133">TEXT(IF($B72=0," ",$B72-C$6),"hh:mm am/pm")</f>
        <v>17:30 001/p1</v>
      </c>
      <c r="D72" s="293" t="str">
        <f t="shared" si="133"/>
        <v>15:30 001/p1</v>
      </c>
      <c r="E72" s="293" t="str">
        <f t="shared" si="133"/>
        <v>16:30 001/p1</v>
      </c>
      <c r="F72" s="293" t="str">
        <f t="shared" si="133"/>
        <v>17:30 001/p1</v>
      </c>
      <c r="G72" s="293" t="str">
        <f t="shared" si="133"/>
        <v>18:30 001/p1</v>
      </c>
      <c r="H72" s="293" t="str">
        <f t="shared" ref="H72:I72" si="134">TEXT(IF($B72=0," ",$B72+H$6),"hh:mm am/pm")</f>
        <v>01:30 001/p1</v>
      </c>
      <c r="I72" s="293" t="str">
        <f t="shared" si="134"/>
        <v>06:30 001/p1</v>
      </c>
      <c r="J72" s="294" t="s">
        <v>185</v>
      </c>
      <c r="K72" s="295"/>
      <c r="L72" s="319" t="s">
        <v>157</v>
      </c>
      <c r="M72" s="320" t="s">
        <v>71</v>
      </c>
      <c r="N72" s="321" t="s">
        <v>100</v>
      </c>
      <c r="O72" s="322" t="s">
        <v>82</v>
      </c>
      <c r="P72" s="323" t="s">
        <v>101</v>
      </c>
      <c r="Q72" s="324">
        <v>6000</v>
      </c>
      <c r="R72" s="375" t="s">
        <v>60</v>
      </c>
      <c r="S72" s="326"/>
      <c r="T72" s="327" t="s">
        <v>92</v>
      </c>
      <c r="U72" s="321" t="s">
        <v>62</v>
      </c>
      <c r="V72" s="321">
        <v>30</v>
      </c>
      <c r="W72" s="321">
        <v>30</v>
      </c>
      <c r="X72" s="328"/>
      <c r="Y72" s="329" t="s">
        <v>63</v>
      </c>
      <c r="Z72" s="326"/>
      <c r="AA72" s="330" t="s">
        <v>64</v>
      </c>
      <c r="AB72" s="330" t="s">
        <v>65</v>
      </c>
      <c r="AC72" s="331">
        <v>0.1</v>
      </c>
      <c r="AD72" s="331">
        <v>0.02</v>
      </c>
      <c r="AE72" s="330" t="s">
        <v>88</v>
      </c>
      <c r="AF72" s="332">
        <v>60000</v>
      </c>
      <c r="AG72" s="333">
        <v>10</v>
      </c>
      <c r="AH72" s="333">
        <v>10</v>
      </c>
      <c r="AI72" s="333">
        <v>10</v>
      </c>
      <c r="AJ72" s="327">
        <v>14</v>
      </c>
      <c r="AK72" s="335" t="s">
        <v>67</v>
      </c>
      <c r="AL72" s="335" t="s">
        <v>68</v>
      </c>
      <c r="AM72" s="336" t="s">
        <v>69</v>
      </c>
      <c r="AN72" s="336" t="s">
        <v>170</v>
      </c>
      <c r="AO72" s="314">
        <f t="shared" si="2"/>
        <v>0.916678240740741</v>
      </c>
      <c r="AP72" s="315">
        <f t="shared" si="3"/>
        <v>228</v>
      </c>
      <c r="AQ72" s="316" t="str">
        <f t="shared" si="4"/>
        <v>MEDIUM</v>
      </c>
    </row>
    <row r="73" ht="29.25" customHeight="1" outlineLevel="1" spans="1:43">
      <c r="A73" s="363" t="s">
        <v>53</v>
      </c>
      <c r="B73" s="317">
        <v>0.833344907407407</v>
      </c>
      <c r="C73" s="293" t="str">
        <f t="shared" ref="C73:G73" si="135">TEXT(IF($B73=0," ",$B73-C$6),"hh:mm am/pm")</f>
        <v>18:00 001/p1</v>
      </c>
      <c r="D73" s="293" t="str">
        <f t="shared" si="135"/>
        <v>16:00 001/p1</v>
      </c>
      <c r="E73" s="293" t="str">
        <f t="shared" si="135"/>
        <v>17:00 001/p1</v>
      </c>
      <c r="F73" s="293" t="str">
        <f t="shared" si="135"/>
        <v>18:00 001/p1</v>
      </c>
      <c r="G73" s="293" t="str">
        <f t="shared" si="135"/>
        <v>19:00 001/p1</v>
      </c>
      <c r="H73" s="293" t="str">
        <f t="shared" ref="H73:I73" si="136">TEXT(IF($B73=0," ",$B73+H$6),"hh:mm am/pm")</f>
        <v>02:00 001/p1</v>
      </c>
      <c r="I73" s="293" t="str">
        <f t="shared" si="136"/>
        <v>07:00 001/p1</v>
      </c>
      <c r="J73" s="294" t="s">
        <v>186</v>
      </c>
      <c r="K73" s="295"/>
      <c r="L73" s="337" t="s">
        <v>117</v>
      </c>
      <c r="M73" s="338" t="s">
        <v>71</v>
      </c>
      <c r="N73" s="339" t="s">
        <v>165</v>
      </c>
      <c r="O73" s="340" t="s">
        <v>74</v>
      </c>
      <c r="P73" s="341" t="s">
        <v>101</v>
      </c>
      <c r="Q73" s="342">
        <v>1000</v>
      </c>
      <c r="R73" s="343" t="s">
        <v>60</v>
      </c>
      <c r="S73" s="344"/>
      <c r="T73" s="345" t="s">
        <v>61</v>
      </c>
      <c r="U73" s="339" t="s">
        <v>62</v>
      </c>
      <c r="V73" s="339">
        <v>2</v>
      </c>
      <c r="W73" s="339">
        <v>2</v>
      </c>
      <c r="X73" s="354"/>
      <c r="Y73" s="347" t="s">
        <v>79</v>
      </c>
      <c r="Z73" s="339">
        <v>2</v>
      </c>
      <c r="AA73" s="348">
        <v>120000</v>
      </c>
      <c r="AB73" s="348" t="s">
        <v>65</v>
      </c>
      <c r="AC73" s="349">
        <v>0.1</v>
      </c>
      <c r="AD73" s="349">
        <v>0.02</v>
      </c>
      <c r="AE73" s="348" t="s">
        <v>88</v>
      </c>
      <c r="AF73" s="346">
        <v>40000</v>
      </c>
      <c r="AG73" s="350">
        <v>10</v>
      </c>
      <c r="AH73" s="350">
        <v>8</v>
      </c>
      <c r="AI73" s="350">
        <v>8</v>
      </c>
      <c r="AJ73" s="345">
        <v>12</v>
      </c>
      <c r="AK73" s="352" t="s">
        <v>67</v>
      </c>
      <c r="AL73" s="352" t="s">
        <v>68</v>
      </c>
      <c r="AM73" s="353" t="s">
        <v>69</v>
      </c>
      <c r="AN73" s="353" t="s">
        <v>70</v>
      </c>
      <c r="AO73" s="314">
        <f t="shared" si="2"/>
        <v>0.923622685185185</v>
      </c>
      <c r="AP73" s="315">
        <f t="shared" si="3"/>
        <v>569</v>
      </c>
      <c r="AQ73" s="316" t="str">
        <f t="shared" si="4"/>
        <v>MICRO</v>
      </c>
    </row>
    <row r="74" ht="29.25" customHeight="1" outlineLevel="1" spans="1:43">
      <c r="B74" s="317">
        <v>0.833344907407407</v>
      </c>
      <c r="C74" s="293" t="str">
        <f t="shared" ref="C74:G74" si="137">TEXT(IF($B74=0," ",$B74-C$6),"hh:mm am/pm")</f>
        <v>18:00 001/p1</v>
      </c>
      <c r="D74" s="293" t="str">
        <f t="shared" si="137"/>
        <v>16:00 001/p1</v>
      </c>
      <c r="E74" s="293" t="str">
        <f t="shared" si="137"/>
        <v>17:00 001/p1</v>
      </c>
      <c r="F74" s="293" t="str">
        <f t="shared" si="137"/>
        <v>18:00 001/p1</v>
      </c>
      <c r="G74" s="293" t="str">
        <f t="shared" si="137"/>
        <v>19:00 001/p1</v>
      </c>
      <c r="H74" s="293" t="str">
        <f t="shared" ref="H74:I74" si="138">TEXT(IF($B74=0," ",$B74+H$6),"hh:mm am/pm")</f>
        <v>02:00 001/p1</v>
      </c>
      <c r="I74" s="293" t="str">
        <f t="shared" si="138"/>
        <v>07:00 001/p1</v>
      </c>
      <c r="J74" s="294" t="s">
        <v>187</v>
      </c>
      <c r="K74" s="295"/>
      <c r="L74" s="319" t="s">
        <v>160</v>
      </c>
      <c r="M74" s="320" t="s">
        <v>71</v>
      </c>
      <c r="N74" s="321" t="s">
        <v>57</v>
      </c>
      <c r="O74" s="322" t="s">
        <v>74</v>
      </c>
      <c r="P74" s="323" t="s">
        <v>59</v>
      </c>
      <c r="Q74" s="324">
        <v>4000</v>
      </c>
      <c r="R74" s="375" t="s">
        <v>60</v>
      </c>
      <c r="S74" s="375" t="s">
        <v>188</v>
      </c>
      <c r="T74" s="327" t="s">
        <v>61</v>
      </c>
      <c r="U74" s="321" t="s">
        <v>62</v>
      </c>
      <c r="V74" s="321">
        <v>15</v>
      </c>
      <c r="W74" s="326"/>
      <c r="X74" s="328"/>
      <c r="Y74" s="329" t="s">
        <v>161</v>
      </c>
      <c r="Z74" s="326"/>
      <c r="AA74" s="330" t="s">
        <v>162</v>
      </c>
      <c r="AB74" s="330" t="s">
        <v>65</v>
      </c>
      <c r="AC74" s="331">
        <v>0.08</v>
      </c>
      <c r="AD74" s="331">
        <v>0.02</v>
      </c>
      <c r="AE74" s="327" t="s">
        <v>66</v>
      </c>
      <c r="AF74" s="332">
        <v>50000</v>
      </c>
      <c r="AG74" s="333">
        <v>10</v>
      </c>
      <c r="AH74" s="333">
        <v>10</v>
      </c>
      <c r="AI74" s="333">
        <v>10</v>
      </c>
      <c r="AJ74" s="327">
        <v>15</v>
      </c>
      <c r="AK74" s="334" t="s">
        <v>67</v>
      </c>
      <c r="AL74" s="335" t="s">
        <v>68</v>
      </c>
      <c r="AM74" s="336" t="s">
        <v>69</v>
      </c>
      <c r="AN74" s="336" t="s">
        <v>70</v>
      </c>
      <c r="AO74" s="314">
        <f t="shared" si="2"/>
        <v>0.944456018518518</v>
      </c>
      <c r="AP74" s="315">
        <f t="shared" si="3"/>
        <v>297</v>
      </c>
      <c r="AQ74" s="316" t="str">
        <f t="shared" si="4"/>
        <v>LOW</v>
      </c>
    </row>
    <row r="75" ht="29.25" customHeight="1" outlineLevel="1" spans="1:43">
      <c r="B75" s="317">
        <v>0.833344907407407</v>
      </c>
      <c r="C75" s="293" t="str">
        <f t="shared" ref="C75:G75" si="139">TEXT(IF($B75=0," ",$B75-C$6),"hh:mm am/pm")</f>
        <v>18:00 001/p1</v>
      </c>
      <c r="D75" s="293" t="str">
        <f t="shared" si="139"/>
        <v>16:00 001/p1</v>
      </c>
      <c r="E75" s="293" t="str">
        <f t="shared" si="139"/>
        <v>17:00 001/p1</v>
      </c>
      <c r="F75" s="293" t="str">
        <f t="shared" si="139"/>
        <v>18:00 001/p1</v>
      </c>
      <c r="G75" s="293" t="str">
        <f t="shared" si="139"/>
        <v>19:00 001/p1</v>
      </c>
      <c r="H75" s="293" t="str">
        <f t="shared" ref="H75:I75" si="140">TEXT(IF($B75=0," ",$B75+H$6),"hh:mm am/pm")</f>
        <v>02:00 001/p1</v>
      </c>
      <c r="I75" s="293" t="str">
        <f t="shared" si="140"/>
        <v>07:00 001/p1</v>
      </c>
      <c r="J75" s="294" t="s">
        <v>189</v>
      </c>
      <c r="K75" s="295"/>
      <c r="L75" s="337" t="s">
        <v>190</v>
      </c>
      <c r="M75" s="338" t="s">
        <v>71</v>
      </c>
      <c r="N75" s="339" t="s">
        <v>100</v>
      </c>
      <c r="O75" s="340" t="s">
        <v>82</v>
      </c>
      <c r="P75" s="341" t="s">
        <v>101</v>
      </c>
      <c r="Q75" s="342">
        <v>4000</v>
      </c>
      <c r="R75" s="343" t="s">
        <v>60</v>
      </c>
      <c r="S75" s="344"/>
      <c r="T75" s="345" t="s">
        <v>92</v>
      </c>
      <c r="U75" s="339" t="s">
        <v>78</v>
      </c>
      <c r="V75" s="339">
        <v>11</v>
      </c>
      <c r="W75" s="339">
        <v>11</v>
      </c>
      <c r="X75" s="354"/>
      <c r="Y75" s="347" t="s">
        <v>63</v>
      </c>
      <c r="Z75" s="344"/>
      <c r="AA75" s="348" t="s">
        <v>64</v>
      </c>
      <c r="AB75" s="348" t="s">
        <v>65</v>
      </c>
      <c r="AC75" s="349">
        <v>0.1</v>
      </c>
      <c r="AD75" s="349">
        <v>0.02</v>
      </c>
      <c r="AE75" s="345" t="s">
        <v>66</v>
      </c>
      <c r="AF75" s="346">
        <v>50000</v>
      </c>
      <c r="AG75" s="350">
        <v>8</v>
      </c>
      <c r="AH75" s="350">
        <v>7</v>
      </c>
      <c r="AI75" s="350">
        <v>7</v>
      </c>
      <c r="AJ75" s="345">
        <v>15</v>
      </c>
      <c r="AK75" s="351" t="s">
        <v>67</v>
      </c>
      <c r="AL75" s="352" t="s">
        <v>68</v>
      </c>
      <c r="AM75" s="353" t="s">
        <v>69</v>
      </c>
      <c r="AN75" s="353" t="s">
        <v>70</v>
      </c>
      <c r="AO75" s="314">
        <f t="shared" si="2"/>
        <v>0.923622685185185</v>
      </c>
      <c r="AP75" s="315">
        <f t="shared" si="3"/>
        <v>414</v>
      </c>
      <c r="AQ75" s="316" t="str">
        <f t="shared" si="4"/>
        <v>LOW</v>
      </c>
    </row>
    <row r="76" ht="29.25" customHeight="1" outlineLevel="1" spans="1:43">
      <c r="A76" s="363" t="s">
        <v>53</v>
      </c>
      <c r="B76" s="317">
        <v>0.833344907407407</v>
      </c>
      <c r="C76" s="293" t="str">
        <f t="shared" ref="C76:G76" si="141">TEXT(IF($B76=0," ",$B76-C$6),"hh:mm am/pm")</f>
        <v>18:00 001/p1</v>
      </c>
      <c r="D76" s="293" t="str">
        <f t="shared" si="141"/>
        <v>16:00 001/p1</v>
      </c>
      <c r="E76" s="293" t="str">
        <f t="shared" si="141"/>
        <v>17:00 001/p1</v>
      </c>
      <c r="F76" s="293" t="str">
        <f t="shared" si="141"/>
        <v>18:00 001/p1</v>
      </c>
      <c r="G76" s="293" t="str">
        <f t="shared" si="141"/>
        <v>19:00 001/p1</v>
      </c>
      <c r="H76" s="293" t="str">
        <f t="shared" ref="H76:I76" si="142">TEXT(IF($B76=0," ",$B76+H$6),"hh:mm am/pm")</f>
        <v>02:00 001/p1</v>
      </c>
      <c r="I76" s="293" t="str">
        <f t="shared" si="142"/>
        <v>07:00 001/p1</v>
      </c>
      <c r="J76" s="318" t="s">
        <v>168</v>
      </c>
      <c r="K76" s="295"/>
      <c r="L76" s="319" t="s">
        <v>73</v>
      </c>
      <c r="M76" s="320" t="s">
        <v>71</v>
      </c>
      <c r="N76" s="321" t="s">
        <v>57</v>
      </c>
      <c r="O76" s="322" t="s">
        <v>74</v>
      </c>
      <c r="P76" s="323" t="s">
        <v>75</v>
      </c>
      <c r="Q76" s="324">
        <v>4200</v>
      </c>
      <c r="R76" s="325" t="s">
        <v>76</v>
      </c>
      <c r="S76" s="326"/>
      <c r="T76" s="327" t="s">
        <v>115</v>
      </c>
      <c r="U76" s="321" t="s">
        <v>62</v>
      </c>
      <c r="V76" s="321">
        <v>1</v>
      </c>
      <c r="W76" s="321">
        <v>1</v>
      </c>
      <c r="X76" s="328"/>
      <c r="Y76" s="329" t="s">
        <v>79</v>
      </c>
      <c r="Z76" s="321">
        <v>1</v>
      </c>
      <c r="AA76" s="330">
        <v>160000</v>
      </c>
      <c r="AB76" s="330" t="s">
        <v>65</v>
      </c>
      <c r="AC76" s="331">
        <v>0.1</v>
      </c>
      <c r="AD76" s="331">
        <v>0.02</v>
      </c>
      <c r="AE76" s="327" t="s">
        <v>66</v>
      </c>
      <c r="AF76" s="332">
        <v>40000</v>
      </c>
      <c r="AG76" s="333">
        <v>8</v>
      </c>
      <c r="AH76" s="333">
        <v>7</v>
      </c>
      <c r="AI76" s="333">
        <v>8</v>
      </c>
      <c r="AJ76" s="327">
        <v>15</v>
      </c>
      <c r="AK76" s="335" t="s">
        <v>67</v>
      </c>
      <c r="AL76" s="335" t="s">
        <v>68</v>
      </c>
      <c r="AM76" s="336" t="s">
        <v>69</v>
      </c>
      <c r="AN76" s="336" t="s">
        <v>70</v>
      </c>
      <c r="AO76" s="314">
        <f t="shared" si="2"/>
        <v>0.923622685185185</v>
      </c>
      <c r="AP76" s="315">
        <f t="shared" si="3"/>
        <v>4773</v>
      </c>
      <c r="AQ76" s="316" t="str">
        <f t="shared" si="4"/>
        <v>MICRO</v>
      </c>
    </row>
    <row r="77" ht="29.25" customHeight="1" outlineLevel="1" spans="1:43">
      <c r="B77" s="317">
        <v>0.833344907407407</v>
      </c>
      <c r="C77" s="293" t="str">
        <f t="shared" ref="C77:G77" si="143">TEXT(IF($B77=0," ",$B77-C$6),"hh:mm am/pm")</f>
        <v>18:00 001/p1</v>
      </c>
      <c r="D77" s="293" t="str">
        <f t="shared" si="143"/>
        <v>16:00 001/p1</v>
      </c>
      <c r="E77" s="293" t="str">
        <f t="shared" si="143"/>
        <v>17:00 001/p1</v>
      </c>
      <c r="F77" s="293" t="str">
        <f t="shared" si="143"/>
        <v>18:00 001/p1</v>
      </c>
      <c r="G77" s="293" t="str">
        <f t="shared" si="143"/>
        <v>19:00 001/p1</v>
      </c>
      <c r="H77" s="293" t="str">
        <f t="shared" ref="H77:I77" si="144">TEXT(IF($B77=0," ",$B77+H$6),"hh:mm am/pm")</f>
        <v>02:00 001/p1</v>
      </c>
      <c r="I77" s="293" t="str">
        <f t="shared" si="144"/>
        <v>07:00 001/p1</v>
      </c>
      <c r="J77" s="294" t="s">
        <v>191</v>
      </c>
      <c r="K77" s="295"/>
      <c r="L77" s="337" t="s">
        <v>192</v>
      </c>
      <c r="M77" s="338" t="s">
        <v>71</v>
      </c>
      <c r="N77" s="339" t="s">
        <v>57</v>
      </c>
      <c r="O77" s="340" t="s">
        <v>104</v>
      </c>
      <c r="P77" s="341" t="s">
        <v>59</v>
      </c>
      <c r="Q77" s="342">
        <v>3000</v>
      </c>
      <c r="R77" s="343" t="s">
        <v>60</v>
      </c>
      <c r="S77" s="344"/>
      <c r="T77" s="345" t="s">
        <v>61</v>
      </c>
      <c r="U77" s="339" t="s">
        <v>62</v>
      </c>
      <c r="V77" s="339">
        <v>8</v>
      </c>
      <c r="W77" s="339">
        <v>8</v>
      </c>
      <c r="X77" s="354"/>
      <c r="Y77" s="347" t="s">
        <v>63</v>
      </c>
      <c r="Z77" s="344"/>
      <c r="AA77" s="348" t="s">
        <v>64</v>
      </c>
      <c r="AB77" s="348" t="s">
        <v>65</v>
      </c>
      <c r="AC77" s="349">
        <v>0.1</v>
      </c>
      <c r="AD77" s="349">
        <v>0.02</v>
      </c>
      <c r="AE77" s="348" t="s">
        <v>88</v>
      </c>
      <c r="AF77" s="346">
        <v>60000</v>
      </c>
      <c r="AG77" s="350">
        <v>10</v>
      </c>
      <c r="AH77" s="350">
        <v>8</v>
      </c>
      <c r="AI77" s="350">
        <v>8</v>
      </c>
      <c r="AJ77" s="345">
        <v>14</v>
      </c>
      <c r="AK77" s="352" t="s">
        <v>67</v>
      </c>
      <c r="AL77" s="352" t="s">
        <v>68</v>
      </c>
      <c r="AM77" s="353" t="s">
        <v>69</v>
      </c>
      <c r="AN77" s="353" t="s">
        <v>70</v>
      </c>
      <c r="AO77" s="314">
        <f t="shared" si="2"/>
        <v>0.937511574074074</v>
      </c>
      <c r="AP77" s="315">
        <f t="shared" si="3"/>
        <v>427</v>
      </c>
      <c r="AQ77" s="316" t="str">
        <f t="shared" si="4"/>
        <v>LOW</v>
      </c>
    </row>
    <row r="78" ht="29.25" customHeight="1" outlineLevel="1" spans="1:43">
      <c r="A78" s="363" t="s">
        <v>53</v>
      </c>
      <c r="B78" s="379"/>
      <c r="C78" s="293" t="str">
        <f t="shared" ref="C78:G78" si="145">TEXT(IF($B78=0," ",$B78-C$6),"hh:mm am/pm")</f>
        <v> </v>
      </c>
      <c r="D78" s="293" t="str">
        <f t="shared" si="145"/>
        <v> </v>
      </c>
      <c r="E78" s="293" t="str">
        <f t="shared" si="145"/>
        <v> </v>
      </c>
      <c r="F78" s="293" t="str">
        <f t="shared" si="145"/>
        <v> </v>
      </c>
      <c r="G78" s="293" t="str">
        <f t="shared" si="145"/>
        <v> </v>
      </c>
      <c r="H78" s="293" t="str">
        <f t="shared" ref="H78:I78" si="146">TEXT(IF($B78=0," ",$B78+H$6),"hh:mm am/pm")</f>
        <v> </v>
      </c>
      <c r="I78" s="293" t="str">
        <f t="shared" si="146"/>
        <v> </v>
      </c>
      <c r="J78" s="380" t="s">
        <v>193</v>
      </c>
      <c r="K78" s="381"/>
      <c r="L78" s="380" t="s">
        <v>194</v>
      </c>
      <c r="M78" s="382"/>
      <c r="N78" s="382"/>
      <c r="O78" s="382"/>
      <c r="P78" s="382"/>
      <c r="Q78" s="382"/>
      <c r="R78" s="382"/>
      <c r="S78" s="382"/>
      <c r="T78" s="382"/>
      <c r="U78" s="382"/>
      <c r="V78" s="382"/>
      <c r="W78" s="382"/>
      <c r="X78" s="382"/>
      <c r="Y78" s="382"/>
      <c r="Z78" s="382"/>
      <c r="AA78" s="382"/>
      <c r="AB78" s="382"/>
      <c r="AC78" s="382"/>
      <c r="AD78" s="382"/>
      <c r="AE78" s="382"/>
      <c r="AF78" s="382"/>
      <c r="AG78" s="382"/>
      <c r="AH78" s="382"/>
      <c r="AI78" s="382"/>
      <c r="AJ78" s="382"/>
      <c r="AK78" s="382"/>
      <c r="AL78" s="382"/>
      <c r="AM78" s="383"/>
      <c r="AN78" s="374"/>
      <c r="AO78" s="383"/>
      <c r="AP78" s="374"/>
      <c r="AQ78" s="383"/>
    </row>
    <row r="79" ht="29.25" customHeight="1" outlineLevel="1" spans="1:43">
      <c r="B79" s="292">
        <v>0.416678240740741</v>
      </c>
      <c r="C79" s="293" t="str">
        <f t="shared" ref="C79:G79" si="147">TEXT(IF($B79=0," ",$B79-C$6),"hh:mm am/pm")</f>
        <v>08:00 001/p1</v>
      </c>
      <c r="D79" s="293" t="str">
        <f t="shared" si="147"/>
        <v>06:00 001/p1</v>
      </c>
      <c r="E79" s="293" t="str">
        <f t="shared" si="147"/>
        <v>07:00 001/p1</v>
      </c>
      <c r="F79" s="293" t="str">
        <f t="shared" si="147"/>
        <v>08:00 001/p1</v>
      </c>
      <c r="G79" s="293" t="str">
        <f t="shared" si="147"/>
        <v>09:00 001/p1</v>
      </c>
      <c r="H79" s="293" t="str">
        <f t="shared" ref="H79:I79" si="148">TEXT(IF($B79=0," ",$B79+H$6),"hh:mm am/pm")</f>
        <v>16:00 001/p1</v>
      </c>
      <c r="I79" s="293" t="str">
        <f t="shared" si="148"/>
        <v>21:00 001/p1</v>
      </c>
      <c r="J79" s="384" t="str">
        <f>L49</f>
        <v>#AS Reentry</v>
      </c>
      <c r="K79" s="385"/>
      <c r="L79" s="386" t="s">
        <v>195</v>
      </c>
      <c r="M79" s="387" t="s">
        <v>196</v>
      </c>
      <c r="N79" s="388" t="s">
        <v>57</v>
      </c>
      <c r="O79" s="389" t="s">
        <v>74</v>
      </c>
      <c r="P79" s="390" t="s">
        <v>75</v>
      </c>
      <c r="Q79" s="391">
        <f>15*4</f>
        <v>60</v>
      </c>
      <c r="R79" s="392" t="s">
        <v>60</v>
      </c>
      <c r="S79" s="393"/>
      <c r="T79" s="394">
        <v>0.1</v>
      </c>
      <c r="U79" s="388" t="s">
        <v>62</v>
      </c>
      <c r="V79" s="388">
        <v>0.8</v>
      </c>
      <c r="W79" s="388">
        <v>0.8</v>
      </c>
      <c r="X79" s="395"/>
      <c r="Y79" s="396" t="s">
        <v>79</v>
      </c>
      <c r="Z79" s="388">
        <v>0.8</v>
      </c>
      <c r="AA79" s="397">
        <v>20000</v>
      </c>
      <c r="AB79" s="397" t="s">
        <v>65</v>
      </c>
      <c r="AC79" s="394">
        <v>0.05</v>
      </c>
      <c r="AD79" s="394">
        <v>0</v>
      </c>
      <c r="AE79" s="398" t="s">
        <v>88</v>
      </c>
      <c r="AF79" s="399">
        <v>10000</v>
      </c>
      <c r="AG79" s="400">
        <v>4</v>
      </c>
      <c r="AH79" s="400">
        <v>4</v>
      </c>
      <c r="AI79" s="400">
        <v>4</v>
      </c>
      <c r="AJ79" s="392">
        <v>9</v>
      </c>
      <c r="AK79" s="401" t="s">
        <v>67</v>
      </c>
      <c r="AL79" s="402" t="s">
        <v>68</v>
      </c>
      <c r="AM79" s="403" t="s">
        <v>197</v>
      </c>
      <c r="AN79" s="403" t="s">
        <v>198</v>
      </c>
      <c r="AO79" s="314">
        <f>IF(B79=0," ",TIME(,ROUNDDOWN(AG79*AJ79/60,0)*5+(AG79*AJ79),)+B79)</f>
        <v>0.441678240740741</v>
      </c>
      <c r="AP79" s="315">
        <f>IF(Q79=0,,ROUNDUP(Q79/(V79*(1-AC79-AD79)),0))</f>
        <v>79</v>
      </c>
      <c r="AQ79" s="316" t="str">
        <f>IFERROR(IF(V79=0," ",IF(V79&lt;=5,"MICRO",IF(V79&lt;=19.8,"LOW",IF(V79&lt;=99.8,"MEDIUM",IF(V79&lt;=500,"HIGH",IF(V79&gt;500,"SUPER HIGH",)))))),"")</f>
        <v>MICRO</v>
      </c>
    </row>
    <row r="80" ht="29.25" customHeight="1" outlineLevel="1" spans="1:43">
      <c r="B80" s="365"/>
      <c r="C80" s="293" t="str">
        <f t="shared" ref="C80:G80" si="149">TEXT(IF($B80=0," ",$B80-C$6),"hh:mm am/pm")</f>
        <v> </v>
      </c>
      <c r="D80" s="293" t="str">
        <f t="shared" si="149"/>
        <v> </v>
      </c>
      <c r="E80" s="293" t="str">
        <f t="shared" si="149"/>
        <v> </v>
      </c>
      <c r="F80" s="293" t="str">
        <f t="shared" si="149"/>
        <v> </v>
      </c>
      <c r="G80" s="293" t="str">
        <f t="shared" si="149"/>
        <v> </v>
      </c>
      <c r="H80" s="293" t="str">
        <f t="shared" ref="H80:I80" si="150">TEXT(IF($B80=0," ",$B80+H$6),"hh:mm am/pm")</f>
        <v> </v>
      </c>
      <c r="I80" s="293" t="str">
        <f t="shared" si="150"/>
        <v> </v>
      </c>
      <c r="J80" s="344"/>
      <c r="K80" s="367"/>
      <c r="L80" s="367"/>
      <c r="M80" s="368"/>
      <c r="N80" s="369"/>
      <c r="O80" s="370"/>
      <c r="P80" s="370"/>
      <c r="Q80" s="369"/>
      <c r="R80" s="369"/>
      <c r="S80" s="369"/>
      <c r="T80" s="371"/>
      <c r="U80" s="369"/>
      <c r="V80" s="369"/>
      <c r="W80" s="369"/>
      <c r="X80" s="372"/>
      <c r="Y80" s="367"/>
      <c r="Z80" s="369"/>
      <c r="AA80" s="372"/>
      <c r="AB80" s="372"/>
      <c r="AC80" s="371"/>
      <c r="AD80" s="371"/>
      <c r="AE80" s="404"/>
      <c r="AF80" s="372"/>
      <c r="AG80" s="367"/>
      <c r="AH80" s="367"/>
      <c r="AI80" s="367"/>
      <c r="AJ80" s="367"/>
      <c r="AK80" s="373"/>
      <c r="AL80" s="373"/>
      <c r="AM80" s="373"/>
      <c r="AN80" s="373"/>
      <c r="AO80" s="383"/>
      <c r="AP80" s="374"/>
      <c r="AQ80" s="383"/>
    </row>
    <row r="81" ht="29.25" customHeight="1" outlineLevel="1" spans="1:43">
      <c r="A81" s="363" t="s">
        <v>53</v>
      </c>
      <c r="B81" s="317">
        <v>0.437511574074074</v>
      </c>
      <c r="C81" s="293" t="str">
        <f t="shared" ref="C81:G81" si="151">TEXT(IF($B81=0," ",$B81-C$6),"hh:mm am/pm")</f>
        <v>08:30 001/p1</v>
      </c>
      <c r="D81" s="293" t="str">
        <f t="shared" si="151"/>
        <v>06:30 001/p1</v>
      </c>
      <c r="E81" s="293" t="str">
        <f t="shared" si="151"/>
        <v>07:30 001/p1</v>
      </c>
      <c r="F81" s="293" t="str">
        <f t="shared" si="151"/>
        <v>08:30 001/p1</v>
      </c>
      <c r="G81" s="293" t="str">
        <f t="shared" si="151"/>
        <v>09:30 001/p1</v>
      </c>
      <c r="H81" s="293" t="str">
        <f t="shared" ref="H81:I81" si="152">TEXT(IF($B81=0," ",$B81+H$6),"hh:mm am/pm")</f>
        <v>16:30 001/p1</v>
      </c>
      <c r="I81" s="293" t="str">
        <f t="shared" si="152"/>
        <v>21:30 001/p1</v>
      </c>
      <c r="J81" s="405" t="str">
        <f>L50</f>
        <v>#AS OmaX PKO</v>
      </c>
      <c r="K81" s="406"/>
      <c r="L81" s="407" t="s">
        <v>199</v>
      </c>
      <c r="M81" s="408" t="s">
        <v>196</v>
      </c>
      <c r="N81" s="409" t="s">
        <v>100</v>
      </c>
      <c r="O81" s="410" t="s">
        <v>74</v>
      </c>
      <c r="P81" s="411" t="s">
        <v>101</v>
      </c>
      <c r="Q81" s="412">
        <f>12*5</f>
        <v>60</v>
      </c>
      <c r="R81" s="409" t="s">
        <v>60</v>
      </c>
      <c r="S81" s="413"/>
      <c r="T81" s="414">
        <v>0.1</v>
      </c>
      <c r="U81" s="409" t="s">
        <v>62</v>
      </c>
      <c r="V81" s="409">
        <v>0.6</v>
      </c>
      <c r="W81" s="409">
        <v>0.6</v>
      </c>
      <c r="X81" s="415"/>
      <c r="Y81" s="416" t="s">
        <v>79</v>
      </c>
      <c r="Z81" s="409">
        <v>0.8</v>
      </c>
      <c r="AA81" s="417">
        <v>20000</v>
      </c>
      <c r="AB81" s="417" t="s">
        <v>65</v>
      </c>
      <c r="AC81" s="414">
        <v>0.05</v>
      </c>
      <c r="AD81" s="414">
        <v>0</v>
      </c>
      <c r="AE81" s="418" t="s">
        <v>88</v>
      </c>
      <c r="AF81" s="419">
        <v>10000</v>
      </c>
      <c r="AG81" s="420">
        <v>4</v>
      </c>
      <c r="AH81" s="420">
        <v>4</v>
      </c>
      <c r="AI81" s="420">
        <v>4</v>
      </c>
      <c r="AJ81" s="418">
        <v>9</v>
      </c>
      <c r="AK81" s="421" t="s">
        <v>67</v>
      </c>
      <c r="AL81" s="421" t="s">
        <v>68</v>
      </c>
      <c r="AM81" s="422" t="s">
        <v>197</v>
      </c>
      <c r="AN81" s="403" t="s">
        <v>198</v>
      </c>
      <c r="AO81" s="314">
        <f t="shared" ref="AO81:AO90" si="153">IF(B81=0," ",TIME(,ROUNDDOWN(AG81*AJ81/60,0)*5+(AG81*AJ81),)+B81)</f>
        <v>0.462511574074074</v>
      </c>
      <c r="AP81" s="315">
        <f t="shared" ref="AP81:AP90" si="154">IF(Q81=0,,ROUNDUP(Q81/(V81*(1-AC81-AD81)),0))</f>
        <v>106</v>
      </c>
      <c r="AQ81" s="316" t="str">
        <f t="shared" ref="AQ81:AQ90" si="155">IFERROR(IF(V81=0," ",IF(V81&lt;=5,"MICRO",IF(V81&lt;=19.8,"LOW",IF(V81&lt;=99.8,"MEDIUM",IF(V81&lt;=500,"HIGH",IF(V81&gt;500,"SUPER HIGH",)))))),"")</f>
        <v>MICRO</v>
      </c>
    </row>
    <row r="82" ht="29.25" customHeight="1" outlineLevel="1" spans="1:43">
      <c r="B82" s="365"/>
      <c r="C82" s="293" t="str">
        <f t="shared" ref="C82:G82" si="156">TEXT(IF($B82=0," ",$B82-C$6),"hh:mm am/pm")</f>
        <v> </v>
      </c>
      <c r="D82" s="293" t="str">
        <f t="shared" si="156"/>
        <v> </v>
      </c>
      <c r="E82" s="293" t="str">
        <f t="shared" si="156"/>
        <v> </v>
      </c>
      <c r="F82" s="293" t="str">
        <f t="shared" si="156"/>
        <v> </v>
      </c>
      <c r="G82" s="293" t="str">
        <f t="shared" si="156"/>
        <v> </v>
      </c>
      <c r="H82" s="293" t="str">
        <f t="shared" ref="H82:I82" si="157">TEXT(IF($B82=0," ",$B82+H$6),"hh:mm am/pm")</f>
        <v> </v>
      </c>
      <c r="I82" s="293" t="str">
        <f t="shared" si="157"/>
        <v> </v>
      </c>
      <c r="J82" s="344"/>
      <c r="K82" s="367"/>
      <c r="L82" s="367"/>
      <c r="M82" s="368"/>
      <c r="N82" s="369"/>
      <c r="O82" s="370"/>
      <c r="P82" s="370"/>
      <c r="Q82" s="369"/>
      <c r="R82" s="369"/>
      <c r="S82" s="369"/>
      <c r="T82" s="371"/>
      <c r="U82" s="369"/>
      <c r="V82" s="369"/>
      <c r="W82" s="369"/>
      <c r="X82" s="372"/>
      <c r="Y82" s="367"/>
      <c r="Z82" s="369"/>
      <c r="AA82" s="372"/>
      <c r="AB82" s="372"/>
      <c r="AC82" s="371"/>
      <c r="AD82" s="371"/>
      <c r="AE82" s="404"/>
      <c r="AF82" s="372"/>
      <c r="AG82" s="367"/>
      <c r="AH82" s="367"/>
      <c r="AI82" s="367"/>
      <c r="AJ82" s="367"/>
      <c r="AK82" s="373"/>
      <c r="AL82" s="373"/>
      <c r="AM82" s="373"/>
      <c r="AN82" s="373"/>
      <c r="AO82" s="314" t="str">
        <f t="shared" si="153"/>
        <v> </v>
      </c>
      <c r="AP82" s="374">
        <f t="shared" si="154"/>
        <v>0</v>
      </c>
      <c r="AQ82" s="316" t="str">
        <f t="shared" si="155"/>
        <v> </v>
      </c>
    </row>
    <row r="83" ht="29.25" customHeight="1" outlineLevel="1" spans="1:43">
      <c r="B83" s="317">
        <v>0.437511574074074</v>
      </c>
      <c r="C83" s="293" t="str">
        <f t="shared" ref="C83:G83" si="158">TEXT(IF($B83=0," ",$B83-C$6),"hh:mm am/pm")</f>
        <v>08:30 001/p1</v>
      </c>
      <c r="D83" s="293" t="str">
        <f t="shared" si="158"/>
        <v>06:30 001/p1</v>
      </c>
      <c r="E83" s="293" t="str">
        <f t="shared" si="158"/>
        <v>07:30 001/p1</v>
      </c>
      <c r="F83" s="293" t="str">
        <f t="shared" si="158"/>
        <v>08:30 001/p1</v>
      </c>
      <c r="G83" s="293" t="str">
        <f t="shared" si="158"/>
        <v>09:30 001/p1</v>
      </c>
      <c r="H83" s="293" t="str">
        <f t="shared" ref="H83:I83" si="159">TEXT(IF($B83=0," ",$B83+H$6),"hh:mm am/pm")</f>
        <v>16:30 001/p1</v>
      </c>
      <c r="I83" s="293" t="str">
        <f t="shared" si="159"/>
        <v>21:30 001/p1</v>
      </c>
      <c r="J83" s="423" t="str">
        <f>L7</f>
        <v>#AS WarmUp</v>
      </c>
      <c r="K83" s="424"/>
      <c r="L83" s="425" t="s">
        <v>200</v>
      </c>
      <c r="M83" s="408" t="s">
        <v>196</v>
      </c>
      <c r="N83" s="409" t="s">
        <v>57</v>
      </c>
      <c r="O83" s="410" t="s">
        <v>74</v>
      </c>
      <c r="P83" s="411" t="s">
        <v>75</v>
      </c>
      <c r="Q83" s="412">
        <f t="shared" ref="Q83:Q84" si="160">22*5</f>
        <v>110</v>
      </c>
      <c r="R83" s="409" t="s">
        <v>60</v>
      </c>
      <c r="S83" s="426"/>
      <c r="T83" s="414">
        <v>0.1</v>
      </c>
      <c r="U83" s="409" t="s">
        <v>62</v>
      </c>
      <c r="V83" s="409">
        <v>1.2</v>
      </c>
      <c r="W83" s="409">
        <v>1.2</v>
      </c>
      <c r="X83" s="415"/>
      <c r="Y83" s="416" t="s">
        <v>79</v>
      </c>
      <c r="Z83" s="409">
        <v>1.2</v>
      </c>
      <c r="AA83" s="417">
        <v>20000</v>
      </c>
      <c r="AB83" s="417" t="s">
        <v>65</v>
      </c>
      <c r="AC83" s="414">
        <v>0.05</v>
      </c>
      <c r="AD83" s="414">
        <v>0</v>
      </c>
      <c r="AE83" s="427" t="s">
        <v>88</v>
      </c>
      <c r="AF83" s="419">
        <v>10000</v>
      </c>
      <c r="AG83" s="420">
        <v>5</v>
      </c>
      <c r="AH83" s="420">
        <v>4</v>
      </c>
      <c r="AI83" s="420">
        <v>4</v>
      </c>
      <c r="AJ83" s="418">
        <v>9</v>
      </c>
      <c r="AK83" s="421" t="s">
        <v>67</v>
      </c>
      <c r="AL83" s="428" t="s">
        <v>68</v>
      </c>
      <c r="AM83" s="422" t="s">
        <v>197</v>
      </c>
      <c r="AN83" s="403" t="s">
        <v>198</v>
      </c>
      <c r="AO83" s="314">
        <f t="shared" si="153"/>
        <v>0.468761574074074</v>
      </c>
      <c r="AP83" s="315">
        <f t="shared" si="154"/>
        <v>97</v>
      </c>
      <c r="AQ83" s="316" t="str">
        <f t="shared" si="155"/>
        <v>MICRO</v>
      </c>
    </row>
    <row r="84" ht="29.25" customHeight="1" outlineLevel="1" spans="1:43">
      <c r="A84" s="363" t="s">
        <v>53</v>
      </c>
      <c r="B84" s="317">
        <v>0.479178240740741</v>
      </c>
      <c r="C84" s="293" t="str">
        <f t="shared" ref="C84:G84" si="161">TEXT(IF($B84=0," ",$B84-C$6),"hh:mm am/pm")</f>
        <v>09:30 001/p1</v>
      </c>
      <c r="D84" s="293" t="str">
        <f t="shared" si="161"/>
        <v>07:30 001/p1</v>
      </c>
      <c r="E84" s="293" t="str">
        <f t="shared" si="161"/>
        <v>08:30 001/p1</v>
      </c>
      <c r="F84" s="293" t="str">
        <f t="shared" si="161"/>
        <v>09:30 001/p1</v>
      </c>
      <c r="G84" s="293" t="str">
        <f t="shared" si="161"/>
        <v>10:30 001/p1</v>
      </c>
      <c r="H84" s="293" t="str">
        <f t="shared" ref="H84:I84" si="162">TEXT(IF($B84=0," ",$B84+H$6),"hh:mm am/pm")</f>
        <v>17:30 001/p1</v>
      </c>
      <c r="I84" s="293" t="str">
        <f t="shared" si="162"/>
        <v>22:30 001/p1</v>
      </c>
      <c r="J84" s="124"/>
      <c r="K84" s="406"/>
      <c r="L84" s="407" t="s">
        <v>200</v>
      </c>
      <c r="M84" s="408" t="s">
        <v>196</v>
      </c>
      <c r="N84" s="409" t="s">
        <v>57</v>
      </c>
      <c r="O84" s="410" t="s">
        <v>74</v>
      </c>
      <c r="P84" s="411" t="s">
        <v>75</v>
      </c>
      <c r="Q84" s="412">
        <f t="shared" si="160"/>
        <v>110</v>
      </c>
      <c r="R84" s="409" t="s">
        <v>60</v>
      </c>
      <c r="S84" s="426"/>
      <c r="T84" s="414">
        <v>0.1</v>
      </c>
      <c r="U84" s="409" t="s">
        <v>62</v>
      </c>
      <c r="V84" s="409">
        <v>1.2</v>
      </c>
      <c r="W84" s="409">
        <v>1.2</v>
      </c>
      <c r="X84" s="415"/>
      <c r="Y84" s="416" t="s">
        <v>79</v>
      </c>
      <c r="Z84" s="409">
        <v>1.2</v>
      </c>
      <c r="AA84" s="417">
        <v>20000</v>
      </c>
      <c r="AB84" s="417" t="s">
        <v>65</v>
      </c>
      <c r="AC84" s="414">
        <v>0.05</v>
      </c>
      <c r="AD84" s="414">
        <v>0</v>
      </c>
      <c r="AE84" s="427" t="s">
        <v>88</v>
      </c>
      <c r="AF84" s="419">
        <v>10000</v>
      </c>
      <c r="AG84" s="420">
        <v>4</v>
      </c>
      <c r="AH84" s="420">
        <v>4</v>
      </c>
      <c r="AI84" s="420">
        <v>4</v>
      </c>
      <c r="AJ84" s="418">
        <v>9</v>
      </c>
      <c r="AK84" s="429" t="s">
        <v>67</v>
      </c>
      <c r="AL84" s="428" t="s">
        <v>68</v>
      </c>
      <c r="AM84" s="422" t="s">
        <v>197</v>
      </c>
      <c r="AN84" s="403" t="s">
        <v>198</v>
      </c>
      <c r="AO84" s="314">
        <f t="shared" si="153"/>
        <v>0.504178240740741</v>
      </c>
      <c r="AP84" s="315">
        <f t="shared" si="154"/>
        <v>97</v>
      </c>
      <c r="AQ84" s="316" t="str">
        <f t="shared" si="155"/>
        <v>MICRO</v>
      </c>
    </row>
    <row r="85" ht="29.25" customHeight="1" outlineLevel="1" spans="1:43">
      <c r="B85" s="365"/>
      <c r="C85" s="293" t="str">
        <f t="shared" ref="C85:G85" si="163">TEXT(IF($B85=0," ",$B85-C$6),"hh:mm am/pm")</f>
        <v> </v>
      </c>
      <c r="D85" s="293" t="str">
        <f t="shared" si="163"/>
        <v> </v>
      </c>
      <c r="E85" s="293" t="str">
        <f t="shared" si="163"/>
        <v> </v>
      </c>
      <c r="F85" s="293" t="str">
        <f t="shared" si="163"/>
        <v> </v>
      </c>
      <c r="G85" s="293" t="str">
        <f t="shared" si="163"/>
        <v> </v>
      </c>
      <c r="H85" s="293" t="str">
        <f t="shared" ref="H85:I85" si="164">TEXT(IF($B85=0," ",$B85+H$6),"hh:mm am/pm")</f>
        <v> </v>
      </c>
      <c r="I85" s="293" t="str">
        <f t="shared" si="164"/>
        <v> </v>
      </c>
      <c r="J85" s="344"/>
      <c r="K85" s="367"/>
      <c r="L85" s="367"/>
      <c r="M85" s="368"/>
      <c r="N85" s="369"/>
      <c r="O85" s="370"/>
      <c r="P85" s="370"/>
      <c r="Q85" s="369"/>
      <c r="R85" s="369"/>
      <c r="S85" s="369"/>
      <c r="T85" s="371"/>
      <c r="U85" s="369"/>
      <c r="V85" s="369"/>
      <c r="W85" s="369"/>
      <c r="X85" s="372"/>
      <c r="Y85" s="367"/>
      <c r="Z85" s="369"/>
      <c r="AA85" s="372"/>
      <c r="AB85" s="372"/>
      <c r="AC85" s="371"/>
      <c r="AD85" s="371"/>
      <c r="AE85" s="404"/>
      <c r="AF85" s="372"/>
      <c r="AG85" s="367"/>
      <c r="AH85" s="367"/>
      <c r="AI85" s="367"/>
      <c r="AJ85" s="367"/>
      <c r="AK85" s="373"/>
      <c r="AL85" s="373"/>
      <c r="AM85" s="373"/>
      <c r="AN85" s="373"/>
      <c r="AO85" s="314" t="str">
        <f t="shared" si="153"/>
        <v> </v>
      </c>
      <c r="AP85" s="374">
        <f t="shared" si="154"/>
        <v>0</v>
      </c>
      <c r="AQ85" s="316" t="str">
        <f t="shared" si="155"/>
        <v> </v>
      </c>
    </row>
    <row r="86" ht="29.25" customHeight="1" outlineLevel="1" spans="1:43">
      <c r="A86" s="363" t="s">
        <v>53</v>
      </c>
      <c r="B86" s="317">
        <v>0.541678240740741</v>
      </c>
      <c r="C86" s="293" t="str">
        <f t="shared" ref="C86:G86" si="165">TEXT(IF($B86=0," ",$B86-C$6),"hh:mm am/pm")</f>
        <v>11:00 001/p1</v>
      </c>
      <c r="D86" s="293" t="str">
        <f t="shared" si="165"/>
        <v>09:00 001/p1</v>
      </c>
      <c r="E86" s="293" t="str">
        <f t="shared" si="165"/>
        <v>10:00 001/p1</v>
      </c>
      <c r="F86" s="293" t="str">
        <f t="shared" si="165"/>
        <v>11:00 001/p1</v>
      </c>
      <c r="G86" s="293" t="str">
        <f t="shared" si="165"/>
        <v>12:00 001/p1</v>
      </c>
      <c r="H86" s="293" t="str">
        <f t="shared" ref="H86:I86" si="166">TEXT(IF($B86=0," ",$B86+H$6),"hh:mm am/pm")</f>
        <v>19:00 001/p1</v>
      </c>
      <c r="I86" s="293" t="str">
        <f t="shared" si="166"/>
        <v>00:00 001/p1</v>
      </c>
      <c r="J86" s="430" t="str">
        <f>L14</f>
        <v>#AS Battle HR+SPS</v>
      </c>
      <c r="K86" s="431"/>
      <c r="L86" s="432" t="s">
        <v>201</v>
      </c>
      <c r="M86" s="408" t="s">
        <v>196</v>
      </c>
      <c r="N86" s="409" t="s">
        <v>57</v>
      </c>
      <c r="O86" s="410" t="s">
        <v>74</v>
      </c>
      <c r="P86" s="411" t="s">
        <v>59</v>
      </c>
      <c r="Q86" s="412">
        <f>50*4</f>
        <v>200</v>
      </c>
      <c r="R86" s="414" t="s">
        <v>60</v>
      </c>
      <c r="S86" s="413"/>
      <c r="T86" s="414">
        <v>0.1</v>
      </c>
      <c r="U86" s="409" t="s">
        <v>62</v>
      </c>
      <c r="V86" s="409">
        <v>3</v>
      </c>
      <c r="W86" s="409">
        <v>3</v>
      </c>
      <c r="X86" s="415"/>
      <c r="Y86" s="416" t="s">
        <v>79</v>
      </c>
      <c r="Z86" s="409">
        <v>3</v>
      </c>
      <c r="AA86" s="417">
        <v>20000</v>
      </c>
      <c r="AB86" s="417" t="s">
        <v>65</v>
      </c>
      <c r="AC86" s="414">
        <v>0.05</v>
      </c>
      <c r="AD86" s="414">
        <v>0</v>
      </c>
      <c r="AE86" s="427" t="s">
        <v>88</v>
      </c>
      <c r="AF86" s="419">
        <v>10000</v>
      </c>
      <c r="AG86" s="420">
        <v>5</v>
      </c>
      <c r="AH86" s="420">
        <v>4</v>
      </c>
      <c r="AI86" s="420">
        <v>4</v>
      </c>
      <c r="AJ86" s="418">
        <v>9</v>
      </c>
      <c r="AK86" s="421" t="s">
        <v>67</v>
      </c>
      <c r="AL86" s="428" t="s">
        <v>68</v>
      </c>
      <c r="AM86" s="422" t="s">
        <v>197</v>
      </c>
      <c r="AN86" s="403" t="s">
        <v>198</v>
      </c>
      <c r="AO86" s="314">
        <f t="shared" si="153"/>
        <v>0.572928240740741</v>
      </c>
      <c r="AP86" s="315">
        <f t="shared" si="154"/>
        <v>71</v>
      </c>
      <c r="AQ86" s="316" t="str">
        <f t="shared" si="155"/>
        <v>MICRO</v>
      </c>
    </row>
    <row r="87" ht="29.25" customHeight="1" outlineLevel="1" spans="1:43">
      <c r="B87" s="317">
        <v>0.583344907407407</v>
      </c>
      <c r="C87" s="293" t="str">
        <f t="shared" ref="C87:G87" si="167">TEXT(IF($B87=0," ",$B87-C$6),"hh:mm am/pm")</f>
        <v>12:00 001/p1</v>
      </c>
      <c r="D87" s="293" t="str">
        <f t="shared" si="167"/>
        <v>10:00 001/p1</v>
      </c>
      <c r="E87" s="293" t="str">
        <f t="shared" si="167"/>
        <v>11:00 001/p1</v>
      </c>
      <c r="F87" s="293" t="str">
        <f t="shared" si="167"/>
        <v>12:00 001/p1</v>
      </c>
      <c r="G87" s="293" t="str">
        <f t="shared" si="167"/>
        <v>13:00 001/p1</v>
      </c>
      <c r="H87" s="293" t="str">
        <f t="shared" ref="H87:I87" si="168">TEXT(IF($B87=0," ",$B87+H$6),"hh:mm am/pm")</f>
        <v>20:00 001/p1</v>
      </c>
      <c r="I87" s="293" t="str">
        <f t="shared" si="168"/>
        <v>01:00 001/p1</v>
      </c>
      <c r="J87" s="29"/>
      <c r="K87" s="431"/>
      <c r="L87" s="432" t="s">
        <v>202</v>
      </c>
      <c r="M87" s="408" t="s">
        <v>196</v>
      </c>
      <c r="N87" s="409" t="s">
        <v>57</v>
      </c>
      <c r="O87" s="410" t="s">
        <v>74</v>
      </c>
      <c r="P87" s="411" t="s">
        <v>59</v>
      </c>
      <c r="Q87" s="412">
        <f>50*6</f>
        <v>300</v>
      </c>
      <c r="R87" s="414" t="s">
        <v>60</v>
      </c>
      <c r="S87" s="413"/>
      <c r="T87" s="414">
        <v>0.1</v>
      </c>
      <c r="U87" s="409" t="s">
        <v>62</v>
      </c>
      <c r="V87" s="409">
        <v>3.2</v>
      </c>
      <c r="W87" s="409">
        <v>3.2</v>
      </c>
      <c r="X87" s="415"/>
      <c r="Y87" s="416" t="s">
        <v>79</v>
      </c>
      <c r="Z87" s="409">
        <v>3.2</v>
      </c>
      <c r="AA87" s="417">
        <v>20000</v>
      </c>
      <c r="AB87" s="417" t="s">
        <v>65</v>
      </c>
      <c r="AC87" s="414">
        <v>0.05</v>
      </c>
      <c r="AD87" s="414">
        <v>0</v>
      </c>
      <c r="AE87" s="427" t="s">
        <v>88</v>
      </c>
      <c r="AF87" s="419">
        <v>10000</v>
      </c>
      <c r="AG87" s="420">
        <v>5</v>
      </c>
      <c r="AH87" s="420">
        <v>4</v>
      </c>
      <c r="AI87" s="420">
        <v>4</v>
      </c>
      <c r="AJ87" s="418">
        <v>9</v>
      </c>
      <c r="AK87" s="421" t="s">
        <v>67</v>
      </c>
      <c r="AL87" s="428" t="s">
        <v>68</v>
      </c>
      <c r="AM87" s="422" t="s">
        <v>197</v>
      </c>
      <c r="AN87" s="403" t="s">
        <v>198</v>
      </c>
      <c r="AO87" s="314">
        <f t="shared" si="153"/>
        <v>0.614594907407407</v>
      </c>
      <c r="AP87" s="315">
        <f t="shared" si="154"/>
        <v>99</v>
      </c>
      <c r="AQ87" s="316" t="str">
        <f t="shared" si="155"/>
        <v>MICRO</v>
      </c>
    </row>
    <row r="88" ht="29.25" customHeight="1" outlineLevel="1" spans="1:43">
      <c r="B88" s="317">
        <v>0.625011574074074</v>
      </c>
      <c r="C88" s="293" t="str">
        <f t="shared" ref="C88:G88" si="169">TEXT(IF($B88=0," ",$B88-C$6),"hh:mm am/pm")</f>
        <v>13:00 001/p1</v>
      </c>
      <c r="D88" s="293" t="str">
        <f t="shared" si="169"/>
        <v>11:00 001/p1</v>
      </c>
      <c r="E88" s="293" t="str">
        <f t="shared" si="169"/>
        <v>12:00 001/p1</v>
      </c>
      <c r="F88" s="293" t="str">
        <f t="shared" si="169"/>
        <v>13:00 001/p1</v>
      </c>
      <c r="G88" s="293" t="str">
        <f t="shared" si="169"/>
        <v>14:00 001/p1</v>
      </c>
      <c r="H88" s="293" t="str">
        <f t="shared" ref="H88:I88" si="170">TEXT(IF($B88=0," ",$B88+H$6),"hh:mm am/pm")</f>
        <v>21:00 001/p1</v>
      </c>
      <c r="I88" s="293" t="str">
        <f t="shared" si="170"/>
        <v>02:00 001/p1</v>
      </c>
      <c r="J88" s="29"/>
      <c r="K88" s="431"/>
      <c r="L88" s="432" t="s">
        <v>203</v>
      </c>
      <c r="M88" s="408" t="s">
        <v>196</v>
      </c>
      <c r="N88" s="409" t="s">
        <v>57</v>
      </c>
      <c r="O88" s="410" t="s">
        <v>74</v>
      </c>
      <c r="P88" s="411" t="s">
        <v>59</v>
      </c>
      <c r="Q88" s="412">
        <f>50*7</f>
        <v>350</v>
      </c>
      <c r="R88" s="414" t="s">
        <v>60</v>
      </c>
      <c r="S88" s="413"/>
      <c r="T88" s="414">
        <v>0.1</v>
      </c>
      <c r="U88" s="409" t="s">
        <v>62</v>
      </c>
      <c r="V88" s="409">
        <v>3.2</v>
      </c>
      <c r="W88" s="409">
        <v>3.2</v>
      </c>
      <c r="X88" s="415"/>
      <c r="Y88" s="416" t="s">
        <v>79</v>
      </c>
      <c r="Z88" s="409">
        <v>3.2</v>
      </c>
      <c r="AA88" s="417">
        <v>20000</v>
      </c>
      <c r="AB88" s="417" t="s">
        <v>65</v>
      </c>
      <c r="AC88" s="414">
        <v>0.05</v>
      </c>
      <c r="AD88" s="414">
        <v>0</v>
      </c>
      <c r="AE88" s="427" t="s">
        <v>88</v>
      </c>
      <c r="AF88" s="419">
        <v>10000</v>
      </c>
      <c r="AG88" s="420">
        <v>5</v>
      </c>
      <c r="AH88" s="420">
        <v>4</v>
      </c>
      <c r="AI88" s="420">
        <v>4</v>
      </c>
      <c r="AJ88" s="418">
        <v>9</v>
      </c>
      <c r="AK88" s="421" t="s">
        <v>67</v>
      </c>
      <c r="AL88" s="428" t="s">
        <v>68</v>
      </c>
      <c r="AM88" s="422" t="s">
        <v>197</v>
      </c>
      <c r="AN88" s="403" t="s">
        <v>198</v>
      </c>
      <c r="AO88" s="314">
        <f t="shared" si="153"/>
        <v>0.656261574074074</v>
      </c>
      <c r="AP88" s="315">
        <f t="shared" si="154"/>
        <v>116</v>
      </c>
      <c r="AQ88" s="316" t="str">
        <f t="shared" si="155"/>
        <v>MICRO</v>
      </c>
    </row>
    <row r="89" ht="29.25" customHeight="1" outlineLevel="1" spans="1:43">
      <c r="A89" s="363" t="s">
        <v>53</v>
      </c>
      <c r="B89" s="317">
        <v>0.687511574074074</v>
      </c>
      <c r="C89" s="293" t="str">
        <f t="shared" ref="C89:G89" si="171">TEXT(IF($B89=0," ",$B89-C$6),"hh:mm am/pm")</f>
        <v>14:30 001/p1</v>
      </c>
      <c r="D89" s="293" t="str">
        <f t="shared" si="171"/>
        <v>12:30 001/p1</v>
      </c>
      <c r="E89" s="293" t="str">
        <f t="shared" si="171"/>
        <v>13:30 001/p1</v>
      </c>
      <c r="F89" s="293" t="str">
        <f t="shared" si="171"/>
        <v>14:30 001/p1</v>
      </c>
      <c r="G89" s="293" t="str">
        <f t="shared" si="171"/>
        <v>15:30 001/p1</v>
      </c>
      <c r="H89" s="293" t="str">
        <f t="shared" ref="H89:I89" si="172">TEXT(IF($B89=0," ",$B89+H$6),"hh:mm am/pm")</f>
        <v>22:30 001/p1</v>
      </c>
      <c r="I89" s="293" t="str">
        <f t="shared" si="172"/>
        <v>03:30 001/p1</v>
      </c>
      <c r="J89" s="29"/>
      <c r="K89" s="431"/>
      <c r="L89" s="432" t="s">
        <v>204</v>
      </c>
      <c r="M89" s="408" t="s">
        <v>196</v>
      </c>
      <c r="N89" s="409" t="s">
        <v>57</v>
      </c>
      <c r="O89" s="410" t="s">
        <v>74</v>
      </c>
      <c r="P89" s="411" t="s">
        <v>59</v>
      </c>
      <c r="Q89" s="412">
        <f>50*8</f>
        <v>400</v>
      </c>
      <c r="R89" s="414" t="s">
        <v>60</v>
      </c>
      <c r="S89" s="413"/>
      <c r="T89" s="414">
        <v>0.1</v>
      </c>
      <c r="U89" s="409" t="s">
        <v>62</v>
      </c>
      <c r="V89" s="409">
        <v>3.2</v>
      </c>
      <c r="W89" s="409">
        <v>3.2</v>
      </c>
      <c r="X89" s="415"/>
      <c r="Y89" s="416" t="s">
        <v>79</v>
      </c>
      <c r="Z89" s="409">
        <v>3.2</v>
      </c>
      <c r="AA89" s="417">
        <v>20000</v>
      </c>
      <c r="AB89" s="417" t="s">
        <v>65</v>
      </c>
      <c r="AC89" s="414">
        <v>0.05</v>
      </c>
      <c r="AD89" s="414">
        <v>0</v>
      </c>
      <c r="AE89" s="427" t="s">
        <v>88</v>
      </c>
      <c r="AF89" s="419">
        <v>10000</v>
      </c>
      <c r="AG89" s="420">
        <v>4</v>
      </c>
      <c r="AH89" s="420">
        <v>4</v>
      </c>
      <c r="AI89" s="420">
        <v>4</v>
      </c>
      <c r="AJ89" s="418">
        <v>9</v>
      </c>
      <c r="AK89" s="421" t="s">
        <v>67</v>
      </c>
      <c r="AL89" s="428" t="s">
        <v>68</v>
      </c>
      <c r="AM89" s="422" t="s">
        <v>197</v>
      </c>
      <c r="AN89" s="403" t="s">
        <v>198</v>
      </c>
      <c r="AO89" s="314">
        <f t="shared" si="153"/>
        <v>0.712511574074074</v>
      </c>
      <c r="AP89" s="315">
        <f t="shared" si="154"/>
        <v>132</v>
      </c>
      <c r="AQ89" s="316" t="str">
        <f t="shared" si="155"/>
        <v>MICRO</v>
      </c>
    </row>
    <row r="90" ht="29.25" customHeight="1" outlineLevel="1" spans="1:43">
      <c r="B90" s="317">
        <v>0.729178240740741</v>
      </c>
      <c r="C90" s="293" t="str">
        <f t="shared" ref="C90:G90" si="173">TEXT(IF($B90=0," ",$B90-C$6),"hh:mm am/pm")</f>
        <v>15:30 001/p1</v>
      </c>
      <c r="D90" s="293" t="str">
        <f t="shared" si="173"/>
        <v>13:30 001/p1</v>
      </c>
      <c r="E90" s="293" t="str">
        <f t="shared" si="173"/>
        <v>14:30 001/p1</v>
      </c>
      <c r="F90" s="293" t="str">
        <f t="shared" si="173"/>
        <v>15:30 001/p1</v>
      </c>
      <c r="G90" s="293" t="str">
        <f t="shared" si="173"/>
        <v>16:30 001/p1</v>
      </c>
      <c r="H90" s="293" t="str">
        <f t="shared" ref="H90:I90" si="174">TEXT(IF($B90=0," ",$B90+H$6),"hh:mm am/pm")</f>
        <v>23:30 001/p1</v>
      </c>
      <c r="I90" s="293" t="str">
        <f t="shared" si="174"/>
        <v>04:30 001/p1</v>
      </c>
      <c r="J90" s="124"/>
      <c r="K90" s="406"/>
      <c r="L90" s="407" t="s">
        <v>205</v>
      </c>
      <c r="M90" s="408" t="s">
        <v>196</v>
      </c>
      <c r="N90" s="409" t="s">
        <v>57</v>
      </c>
      <c r="O90" s="410" t="s">
        <v>74</v>
      </c>
      <c r="P90" s="411" t="s">
        <v>59</v>
      </c>
      <c r="Q90" s="412">
        <f>50*10</f>
        <v>500</v>
      </c>
      <c r="R90" s="414" t="s">
        <v>60</v>
      </c>
      <c r="S90" s="413"/>
      <c r="T90" s="414">
        <v>0.1</v>
      </c>
      <c r="U90" s="409" t="s">
        <v>62</v>
      </c>
      <c r="V90" s="409">
        <v>3.2</v>
      </c>
      <c r="W90" s="409">
        <v>3.2</v>
      </c>
      <c r="X90" s="415"/>
      <c r="Y90" s="416" t="s">
        <v>79</v>
      </c>
      <c r="Z90" s="409">
        <v>3.2</v>
      </c>
      <c r="AA90" s="417">
        <v>20000</v>
      </c>
      <c r="AB90" s="417" t="s">
        <v>65</v>
      </c>
      <c r="AC90" s="414">
        <v>0.05</v>
      </c>
      <c r="AD90" s="414">
        <v>0</v>
      </c>
      <c r="AE90" s="427" t="s">
        <v>88</v>
      </c>
      <c r="AF90" s="419">
        <v>10000</v>
      </c>
      <c r="AG90" s="420">
        <v>4</v>
      </c>
      <c r="AH90" s="420">
        <v>4</v>
      </c>
      <c r="AI90" s="420">
        <v>4</v>
      </c>
      <c r="AJ90" s="418">
        <v>9</v>
      </c>
      <c r="AK90" s="421" t="s">
        <v>67</v>
      </c>
      <c r="AL90" s="428" t="s">
        <v>68</v>
      </c>
      <c r="AM90" s="422" t="s">
        <v>197</v>
      </c>
      <c r="AN90" s="403" t="s">
        <v>198</v>
      </c>
      <c r="AO90" s="314">
        <f t="shared" si="153"/>
        <v>0.754178240740741</v>
      </c>
      <c r="AP90" s="315">
        <f t="shared" si="154"/>
        <v>165</v>
      </c>
      <c r="AQ90" s="316" t="str">
        <f t="shared" si="155"/>
        <v>MICRO</v>
      </c>
    </row>
    <row r="91" ht="29.25" customHeight="1" outlineLevel="1" spans="1:43">
      <c r="B91" s="365"/>
      <c r="C91" s="293" t="str">
        <f t="shared" ref="C91:G91" si="175">TEXT(IF($B91=0," ",$B91-C$6),"hh:mm am/pm")</f>
        <v> </v>
      </c>
      <c r="D91" s="293" t="str">
        <f t="shared" si="175"/>
        <v> </v>
      </c>
      <c r="E91" s="293" t="str">
        <f t="shared" si="175"/>
        <v> </v>
      </c>
      <c r="F91" s="293" t="str">
        <f t="shared" si="175"/>
        <v> </v>
      </c>
      <c r="G91" s="293" t="str">
        <f t="shared" si="175"/>
        <v> </v>
      </c>
      <c r="H91" s="293" t="str">
        <f t="shared" ref="H91:I91" si="176">TEXT(IF($B91=0," ",$B91+H$6),"hh:mm am/pm")</f>
        <v> </v>
      </c>
      <c r="I91" s="293" t="str">
        <f t="shared" si="176"/>
        <v> </v>
      </c>
      <c r="J91" s="344"/>
      <c r="K91" s="367"/>
      <c r="L91" s="367"/>
      <c r="M91" s="368"/>
      <c r="N91" s="369"/>
      <c r="O91" s="370"/>
      <c r="P91" s="370"/>
      <c r="Q91" s="369"/>
      <c r="R91" s="369"/>
      <c r="S91" s="369"/>
      <c r="T91" s="371"/>
      <c r="U91" s="369"/>
      <c r="V91" s="369"/>
      <c r="W91" s="369"/>
      <c r="X91" s="372"/>
      <c r="Y91" s="367"/>
      <c r="Z91" s="369"/>
      <c r="AA91" s="372"/>
      <c r="AB91" s="372"/>
      <c r="AC91" s="371"/>
      <c r="AD91" s="371"/>
      <c r="AE91" s="404"/>
      <c r="AF91" s="372"/>
      <c r="AG91" s="367"/>
      <c r="AH91" s="367"/>
      <c r="AI91" s="367"/>
      <c r="AJ91" s="367"/>
      <c r="AK91" s="373"/>
      <c r="AL91" s="373"/>
      <c r="AM91" s="373"/>
      <c r="AN91" s="373"/>
      <c r="AO91" s="383"/>
      <c r="AP91" s="374"/>
      <c r="AQ91" s="383"/>
    </row>
    <row r="92" ht="29.25" customHeight="1" outlineLevel="1" spans="1:43">
      <c r="A92" s="363" t="s">
        <v>53</v>
      </c>
      <c r="B92" s="317">
        <v>0.562511574074074</v>
      </c>
      <c r="C92" s="293" t="str">
        <f t="shared" ref="C92:G92" si="177">TEXT(IF($B92=0," ",$B92-C$6),"hh:mm am/pm")</f>
        <v>11:30 001/p1</v>
      </c>
      <c r="D92" s="293" t="str">
        <f t="shared" si="177"/>
        <v>09:30 001/p1</v>
      </c>
      <c r="E92" s="293" t="str">
        <f t="shared" si="177"/>
        <v>10:30 001/p1</v>
      </c>
      <c r="F92" s="293" t="str">
        <f t="shared" si="177"/>
        <v>11:30 001/p1</v>
      </c>
      <c r="G92" s="293" t="str">
        <f t="shared" si="177"/>
        <v>12:30 001/p1</v>
      </c>
      <c r="H92" s="293" t="str">
        <f t="shared" ref="H92:I92" si="178">TEXT(IF($B92=0," ",$B92+H$6),"hh:mm am/pm")</f>
        <v>19:30 001/p1</v>
      </c>
      <c r="I92" s="293" t="str">
        <f t="shared" si="178"/>
        <v>00:30 001/p1</v>
      </c>
      <c r="J92" s="433" t="str">
        <f>L9</f>
        <v>#AS Bounty</v>
      </c>
      <c r="K92" s="385"/>
      <c r="L92" s="386" t="s">
        <v>206</v>
      </c>
      <c r="M92" s="408" t="s">
        <v>196</v>
      </c>
      <c r="N92" s="409" t="s">
        <v>57</v>
      </c>
      <c r="O92" s="410" t="s">
        <v>74</v>
      </c>
      <c r="P92" s="411" t="s">
        <v>59</v>
      </c>
      <c r="Q92" s="412">
        <f>16*5</f>
        <v>80</v>
      </c>
      <c r="R92" s="409" t="s">
        <v>60</v>
      </c>
      <c r="S92" s="426"/>
      <c r="T92" s="414">
        <v>0.1</v>
      </c>
      <c r="U92" s="409" t="s">
        <v>62</v>
      </c>
      <c r="V92" s="409">
        <v>1</v>
      </c>
      <c r="W92" s="409">
        <v>1</v>
      </c>
      <c r="X92" s="415"/>
      <c r="Y92" s="416" t="s">
        <v>79</v>
      </c>
      <c r="Z92" s="409">
        <v>1.2</v>
      </c>
      <c r="AA92" s="417">
        <v>20000</v>
      </c>
      <c r="AB92" s="417" t="s">
        <v>65</v>
      </c>
      <c r="AC92" s="414">
        <v>0.05</v>
      </c>
      <c r="AD92" s="414">
        <v>0</v>
      </c>
      <c r="AE92" s="427" t="s">
        <v>88</v>
      </c>
      <c r="AF92" s="419">
        <v>10000</v>
      </c>
      <c r="AG92" s="420">
        <v>4</v>
      </c>
      <c r="AH92" s="420">
        <v>4</v>
      </c>
      <c r="AI92" s="420">
        <v>4</v>
      </c>
      <c r="AJ92" s="418">
        <v>9</v>
      </c>
      <c r="AK92" s="421" t="s">
        <v>67</v>
      </c>
      <c r="AL92" s="428" t="s">
        <v>68</v>
      </c>
      <c r="AM92" s="422" t="s">
        <v>197</v>
      </c>
      <c r="AN92" s="403" t="s">
        <v>198</v>
      </c>
      <c r="AO92" s="314">
        <f t="shared" ref="AO92:AO110" si="179">IF(B92=0," ",TIME(,ROUNDDOWN(AG92*AJ92/60,0)*5+(AG92*AJ92),)+B92)</f>
        <v>0.587511574074074</v>
      </c>
      <c r="AP92" s="315">
        <f t="shared" ref="AP92:AP110" si="180">IF(Q92=0,,ROUNDUP(Q92/(V92*(1-AC92-AD92)),0))</f>
        <v>85</v>
      </c>
      <c r="AQ92" s="316" t="str">
        <f t="shared" ref="AQ92:AQ110" si="181">IFERROR(IF(V92=0," ",IF(V92&lt;=5,"MICRO",IF(V92&lt;=19.8,"LOW",IF(V92&lt;=99.8,"MEDIUM",IF(V92&lt;=500,"HIGH",IF(V92&gt;500,"SUPER HIGH",)))))),"")</f>
        <v>MICRO</v>
      </c>
    </row>
    <row r="93" ht="29.25" customHeight="1" outlineLevel="1" spans="1:43">
      <c r="B93" s="365"/>
      <c r="C93" s="293" t="str">
        <f t="shared" ref="C93:G93" si="182">TEXT(IF($B93=0," ",$B93-C$6),"hh:mm am/pm")</f>
        <v> </v>
      </c>
      <c r="D93" s="293" t="str">
        <f t="shared" si="182"/>
        <v> </v>
      </c>
      <c r="E93" s="293" t="str">
        <f t="shared" si="182"/>
        <v> </v>
      </c>
      <c r="F93" s="293" t="str">
        <f t="shared" si="182"/>
        <v> </v>
      </c>
      <c r="G93" s="293" t="str">
        <f t="shared" si="182"/>
        <v> </v>
      </c>
      <c r="H93" s="293" t="str">
        <f t="shared" ref="H93:I93" si="183">TEXT(IF($B93=0," ",$B93+H$6),"hh:mm am/pm")</f>
        <v> </v>
      </c>
      <c r="I93" s="293" t="str">
        <f t="shared" si="183"/>
        <v> </v>
      </c>
      <c r="J93" s="344"/>
      <c r="K93" s="367"/>
      <c r="L93" s="367"/>
      <c r="M93" s="368"/>
      <c r="N93" s="369"/>
      <c r="O93" s="370"/>
      <c r="P93" s="370"/>
      <c r="Q93" s="369"/>
      <c r="R93" s="369"/>
      <c r="S93" s="369"/>
      <c r="T93" s="371"/>
      <c r="U93" s="369"/>
      <c r="V93" s="369"/>
      <c r="W93" s="369"/>
      <c r="X93" s="372"/>
      <c r="Y93" s="367"/>
      <c r="Z93" s="369"/>
      <c r="AA93" s="372"/>
      <c r="AB93" s="372"/>
      <c r="AC93" s="371"/>
      <c r="AD93" s="371"/>
      <c r="AE93" s="404"/>
      <c r="AF93" s="372"/>
      <c r="AG93" s="367"/>
      <c r="AH93" s="367"/>
      <c r="AI93" s="367"/>
      <c r="AJ93" s="367"/>
      <c r="AK93" s="373"/>
      <c r="AL93" s="373"/>
      <c r="AM93" s="373"/>
      <c r="AN93" s="373"/>
      <c r="AO93" s="314" t="str">
        <f t="shared" si="179"/>
        <v> </v>
      </c>
      <c r="AP93" s="374">
        <f t="shared" si="180"/>
        <v>0</v>
      </c>
      <c r="AQ93" s="316" t="str">
        <f t="shared" si="181"/>
        <v> </v>
      </c>
    </row>
    <row r="94" ht="29.25" customHeight="1" outlineLevel="1" spans="1:43">
      <c r="A94" s="363" t="s">
        <v>53</v>
      </c>
      <c r="B94" s="317">
        <v>0.562511574074074</v>
      </c>
      <c r="C94" s="293" t="str">
        <f t="shared" ref="C94:G94" si="184">TEXT(IF($B94=0," ",$B94-C$6),"hh:mm am/pm")</f>
        <v>11:30 001/p1</v>
      </c>
      <c r="D94" s="293" t="str">
        <f t="shared" si="184"/>
        <v>09:30 001/p1</v>
      </c>
      <c r="E94" s="293" t="str">
        <f t="shared" si="184"/>
        <v>10:30 001/p1</v>
      </c>
      <c r="F94" s="293" t="str">
        <f t="shared" si="184"/>
        <v>11:30 001/p1</v>
      </c>
      <c r="G94" s="293" t="str">
        <f t="shared" si="184"/>
        <v>12:30 001/p1</v>
      </c>
      <c r="H94" s="293" t="str">
        <f t="shared" ref="H94:I94" si="185">TEXT(IF($B94=0," ",$B94+H$6),"hh:mm am/pm")</f>
        <v>19:30 001/p1</v>
      </c>
      <c r="I94" s="293" t="str">
        <f t="shared" si="185"/>
        <v>00:30 001/p1</v>
      </c>
      <c r="J94" s="405" t="str">
        <f>L60</f>
        <v>#AS OmaX PKO</v>
      </c>
      <c r="K94" s="406"/>
      <c r="L94" s="407" t="s">
        <v>207</v>
      </c>
      <c r="M94" s="408" t="s">
        <v>196</v>
      </c>
      <c r="N94" s="409" t="s">
        <v>100</v>
      </c>
      <c r="O94" s="410" t="s">
        <v>74</v>
      </c>
      <c r="P94" s="411" t="s">
        <v>101</v>
      </c>
      <c r="Q94" s="412">
        <f>30*4</f>
        <v>120</v>
      </c>
      <c r="R94" s="414" t="s">
        <v>60</v>
      </c>
      <c r="S94" s="413"/>
      <c r="T94" s="414">
        <v>0.1</v>
      </c>
      <c r="U94" s="409" t="s">
        <v>62</v>
      </c>
      <c r="V94" s="409">
        <v>1.8</v>
      </c>
      <c r="W94" s="409">
        <v>1.8</v>
      </c>
      <c r="X94" s="415"/>
      <c r="Y94" s="416" t="s">
        <v>79</v>
      </c>
      <c r="Z94" s="409">
        <v>1.8</v>
      </c>
      <c r="AA94" s="417">
        <v>20000</v>
      </c>
      <c r="AB94" s="417" t="s">
        <v>65</v>
      </c>
      <c r="AC94" s="414">
        <v>0.05</v>
      </c>
      <c r="AD94" s="414">
        <v>0</v>
      </c>
      <c r="AE94" s="427" t="s">
        <v>88</v>
      </c>
      <c r="AF94" s="419">
        <v>10000</v>
      </c>
      <c r="AG94" s="420">
        <v>4</v>
      </c>
      <c r="AH94" s="420">
        <v>4</v>
      </c>
      <c r="AI94" s="420">
        <v>4</v>
      </c>
      <c r="AJ94" s="418">
        <v>9</v>
      </c>
      <c r="AK94" s="421" t="s">
        <v>67</v>
      </c>
      <c r="AL94" s="428" t="s">
        <v>68</v>
      </c>
      <c r="AM94" s="422" t="s">
        <v>197</v>
      </c>
      <c r="AN94" s="403" t="s">
        <v>198</v>
      </c>
      <c r="AO94" s="314">
        <f t="shared" si="179"/>
        <v>0.587511574074074</v>
      </c>
      <c r="AP94" s="315">
        <f t="shared" si="180"/>
        <v>71</v>
      </c>
      <c r="AQ94" s="316" t="str">
        <f t="shared" si="181"/>
        <v>MICRO</v>
      </c>
    </row>
    <row r="95" ht="29.25" customHeight="1" outlineLevel="1" spans="1:43">
      <c r="B95" s="365"/>
      <c r="C95" s="293" t="str">
        <f t="shared" ref="C95:G95" si="186">TEXT(IF($B95=0," ",$B95-C$6),"hh:mm am/pm")</f>
        <v> </v>
      </c>
      <c r="D95" s="293" t="str">
        <f t="shared" si="186"/>
        <v> </v>
      </c>
      <c r="E95" s="293" t="str">
        <f t="shared" si="186"/>
        <v> </v>
      </c>
      <c r="F95" s="293" t="str">
        <f t="shared" si="186"/>
        <v> </v>
      </c>
      <c r="G95" s="293" t="str">
        <f t="shared" si="186"/>
        <v> </v>
      </c>
      <c r="H95" s="293" t="str">
        <f t="shared" ref="H95:I95" si="187">TEXT(IF($B95=0," ",$B95+H$6),"hh:mm am/pm")</f>
        <v> </v>
      </c>
      <c r="I95" s="293" t="str">
        <f t="shared" si="187"/>
        <v> </v>
      </c>
      <c r="J95" s="344"/>
      <c r="K95" s="367"/>
      <c r="L95" s="367"/>
      <c r="M95" s="368"/>
      <c r="N95" s="369"/>
      <c r="O95" s="370"/>
      <c r="P95" s="370"/>
      <c r="Q95" s="369"/>
      <c r="R95" s="369"/>
      <c r="S95" s="369"/>
      <c r="T95" s="371"/>
      <c r="U95" s="369"/>
      <c r="V95" s="369"/>
      <c r="W95" s="369"/>
      <c r="X95" s="372"/>
      <c r="Y95" s="367"/>
      <c r="Z95" s="369"/>
      <c r="AA95" s="372"/>
      <c r="AB95" s="372"/>
      <c r="AC95" s="371"/>
      <c r="AD95" s="371"/>
      <c r="AE95" s="404"/>
      <c r="AF95" s="372"/>
      <c r="AG95" s="367"/>
      <c r="AH95" s="367"/>
      <c r="AI95" s="367"/>
      <c r="AJ95" s="367"/>
      <c r="AK95" s="373"/>
      <c r="AL95" s="373"/>
      <c r="AM95" s="373"/>
      <c r="AN95" s="373"/>
      <c r="AO95" s="314" t="str">
        <f t="shared" si="179"/>
        <v> </v>
      </c>
      <c r="AP95" s="374">
        <f t="shared" si="180"/>
        <v>0</v>
      </c>
      <c r="AQ95" s="316" t="str">
        <f t="shared" si="181"/>
        <v> </v>
      </c>
    </row>
    <row r="96" ht="29.25" customHeight="1" outlineLevel="1" spans="1:43">
      <c r="B96" s="317">
        <v>0.666678240740741</v>
      </c>
      <c r="C96" s="293" t="str">
        <f t="shared" ref="C96:G96" si="188">TEXT(IF($B96=0," ",$B96-C$6),"hh:mm am/pm")</f>
        <v>14:00 001/p1</v>
      </c>
      <c r="D96" s="293" t="str">
        <f t="shared" si="188"/>
        <v>12:00 001/p1</v>
      </c>
      <c r="E96" s="293" t="str">
        <f t="shared" si="188"/>
        <v>13:00 001/p1</v>
      </c>
      <c r="F96" s="293" t="str">
        <f t="shared" si="188"/>
        <v>14:00 001/p1</v>
      </c>
      <c r="G96" s="293" t="str">
        <f t="shared" si="188"/>
        <v>15:00 001/p1</v>
      </c>
      <c r="H96" s="293" t="str">
        <f t="shared" ref="H96:I96" si="189">TEXT(IF($B96=0," ",$B96+H$6),"hh:mm am/pm")</f>
        <v>22:00 001/p1</v>
      </c>
      <c r="I96" s="293" t="str">
        <f t="shared" si="189"/>
        <v>03:00 001/p1</v>
      </c>
      <c r="J96" s="423" t="str">
        <f>L12</f>
        <v>#AS Battle+SPS</v>
      </c>
      <c r="K96" s="424"/>
      <c r="L96" s="425" t="s">
        <v>208</v>
      </c>
      <c r="M96" s="408" t="s">
        <v>196</v>
      </c>
      <c r="N96" s="409" t="s">
        <v>57</v>
      </c>
      <c r="O96" s="410" t="s">
        <v>74</v>
      </c>
      <c r="P96" s="411" t="s">
        <v>75</v>
      </c>
      <c r="Q96" s="412">
        <f t="shared" ref="Q96:Q97" si="190">15*8</f>
        <v>120</v>
      </c>
      <c r="R96" s="414" t="s">
        <v>60</v>
      </c>
      <c r="S96" s="413"/>
      <c r="T96" s="414">
        <v>0.1</v>
      </c>
      <c r="U96" s="409" t="s">
        <v>62</v>
      </c>
      <c r="V96" s="409">
        <v>1</v>
      </c>
      <c r="W96" s="409">
        <v>1</v>
      </c>
      <c r="X96" s="415"/>
      <c r="Y96" s="416" t="s">
        <v>79</v>
      </c>
      <c r="Z96" s="409">
        <v>1</v>
      </c>
      <c r="AA96" s="417">
        <v>20000</v>
      </c>
      <c r="AB96" s="417" t="s">
        <v>65</v>
      </c>
      <c r="AC96" s="414">
        <v>0.05</v>
      </c>
      <c r="AD96" s="414">
        <v>0</v>
      </c>
      <c r="AE96" s="427" t="s">
        <v>88</v>
      </c>
      <c r="AF96" s="419">
        <v>10000</v>
      </c>
      <c r="AG96" s="420">
        <v>5</v>
      </c>
      <c r="AH96" s="420">
        <v>4</v>
      </c>
      <c r="AI96" s="420">
        <v>4</v>
      </c>
      <c r="AJ96" s="418">
        <v>9</v>
      </c>
      <c r="AK96" s="421" t="s">
        <v>67</v>
      </c>
      <c r="AL96" s="428" t="s">
        <v>68</v>
      </c>
      <c r="AM96" s="422" t="s">
        <v>197</v>
      </c>
      <c r="AN96" s="403" t="s">
        <v>198</v>
      </c>
      <c r="AO96" s="314">
        <f t="shared" si="179"/>
        <v>0.697928240740741</v>
      </c>
      <c r="AP96" s="315">
        <f t="shared" si="180"/>
        <v>127</v>
      </c>
      <c r="AQ96" s="316" t="str">
        <f t="shared" si="181"/>
        <v>MICRO</v>
      </c>
    </row>
    <row r="97" ht="29.25" customHeight="1" outlineLevel="1" spans="1:43">
      <c r="B97" s="317">
        <v>0.708344907407407</v>
      </c>
      <c r="C97" s="293" t="str">
        <f t="shared" ref="C97:G97" si="191">TEXT(IF($B97=0," ",$B97-C$6),"hh:mm am/pm")</f>
        <v>15:00 001/p1</v>
      </c>
      <c r="D97" s="293" t="str">
        <f t="shared" si="191"/>
        <v>13:00 001/p1</v>
      </c>
      <c r="E97" s="293" t="str">
        <f t="shared" si="191"/>
        <v>14:00 001/p1</v>
      </c>
      <c r="F97" s="293" t="str">
        <f t="shared" si="191"/>
        <v>15:00 001/p1</v>
      </c>
      <c r="G97" s="293" t="str">
        <f t="shared" si="191"/>
        <v>16:00 001/p1</v>
      </c>
      <c r="H97" s="293" t="str">
        <f t="shared" ref="H97:I97" si="192">TEXT(IF($B97=0," ",$B97+H$6),"hh:mm am/pm")</f>
        <v>23:00 001/p1</v>
      </c>
      <c r="I97" s="293" t="str">
        <f t="shared" si="192"/>
        <v>04:00 001/p1</v>
      </c>
      <c r="J97" s="124"/>
      <c r="K97" s="406"/>
      <c r="L97" s="407" t="s">
        <v>208</v>
      </c>
      <c r="M97" s="408" t="s">
        <v>196</v>
      </c>
      <c r="N97" s="409" t="s">
        <v>57</v>
      </c>
      <c r="O97" s="410" t="s">
        <v>74</v>
      </c>
      <c r="P97" s="411" t="s">
        <v>75</v>
      </c>
      <c r="Q97" s="412">
        <f t="shared" si="190"/>
        <v>120</v>
      </c>
      <c r="R97" s="414" t="s">
        <v>60</v>
      </c>
      <c r="S97" s="413"/>
      <c r="T97" s="414">
        <v>0.1</v>
      </c>
      <c r="U97" s="409" t="s">
        <v>62</v>
      </c>
      <c r="V97" s="409">
        <v>1</v>
      </c>
      <c r="W97" s="409">
        <v>1</v>
      </c>
      <c r="X97" s="415"/>
      <c r="Y97" s="416" t="s">
        <v>79</v>
      </c>
      <c r="Z97" s="409">
        <v>1</v>
      </c>
      <c r="AA97" s="417">
        <v>20000</v>
      </c>
      <c r="AB97" s="417" t="s">
        <v>65</v>
      </c>
      <c r="AC97" s="414">
        <v>0.05</v>
      </c>
      <c r="AD97" s="414">
        <v>0</v>
      </c>
      <c r="AE97" s="427" t="s">
        <v>88</v>
      </c>
      <c r="AF97" s="419">
        <v>10000</v>
      </c>
      <c r="AG97" s="420">
        <v>4</v>
      </c>
      <c r="AH97" s="420">
        <v>4</v>
      </c>
      <c r="AI97" s="420">
        <v>4</v>
      </c>
      <c r="AJ97" s="418">
        <v>9</v>
      </c>
      <c r="AK97" s="421" t="s">
        <v>67</v>
      </c>
      <c r="AL97" s="428" t="s">
        <v>68</v>
      </c>
      <c r="AM97" s="422" t="s">
        <v>197</v>
      </c>
      <c r="AN97" s="403" t="s">
        <v>198</v>
      </c>
      <c r="AO97" s="314">
        <f t="shared" si="179"/>
        <v>0.733344907407407</v>
      </c>
      <c r="AP97" s="315">
        <f t="shared" si="180"/>
        <v>127</v>
      </c>
      <c r="AQ97" s="316" t="str">
        <f t="shared" si="181"/>
        <v>MICRO</v>
      </c>
    </row>
    <row r="98" ht="29.25" customHeight="1" outlineLevel="1" spans="1:43">
      <c r="A98" s="363" t="s">
        <v>53</v>
      </c>
      <c r="B98" s="365"/>
      <c r="C98" s="293" t="str">
        <f t="shared" ref="C98:G98" si="193">TEXT(IF($B98=0," ",$B98-C$6),"hh:mm am/pm")</f>
        <v> </v>
      </c>
      <c r="D98" s="293" t="str">
        <f t="shared" si="193"/>
        <v> </v>
      </c>
      <c r="E98" s="293" t="str">
        <f t="shared" si="193"/>
        <v> </v>
      </c>
      <c r="F98" s="293" t="str">
        <f t="shared" si="193"/>
        <v> </v>
      </c>
      <c r="G98" s="293" t="str">
        <f t="shared" si="193"/>
        <v> </v>
      </c>
      <c r="H98" s="293" t="str">
        <f t="shared" ref="H98:I98" si="194">TEXT(IF($B98=0," ",$B98+H$6),"hh:mm am/pm")</f>
        <v> </v>
      </c>
      <c r="I98" s="293" t="str">
        <f t="shared" si="194"/>
        <v> </v>
      </c>
      <c r="J98" s="344"/>
      <c r="K98" s="367"/>
      <c r="L98" s="367"/>
      <c r="M98" s="368"/>
      <c r="N98" s="369"/>
      <c r="O98" s="370"/>
      <c r="P98" s="370"/>
      <c r="Q98" s="369"/>
      <c r="R98" s="369"/>
      <c r="S98" s="369"/>
      <c r="T98" s="371"/>
      <c r="U98" s="369"/>
      <c r="V98" s="369"/>
      <c r="W98" s="369"/>
      <c r="X98" s="372"/>
      <c r="Y98" s="367"/>
      <c r="Z98" s="369"/>
      <c r="AA98" s="372"/>
      <c r="AB98" s="372"/>
      <c r="AC98" s="371"/>
      <c r="AD98" s="371"/>
      <c r="AE98" s="404"/>
      <c r="AF98" s="372"/>
      <c r="AG98" s="367"/>
      <c r="AH98" s="367"/>
      <c r="AI98" s="367"/>
      <c r="AJ98" s="367"/>
      <c r="AK98" s="373"/>
      <c r="AL98" s="373"/>
      <c r="AM98" s="373"/>
      <c r="AN98" s="373"/>
      <c r="AO98" s="314" t="str">
        <f t="shared" si="179"/>
        <v> </v>
      </c>
      <c r="AP98" s="374">
        <f t="shared" si="180"/>
        <v>0</v>
      </c>
      <c r="AQ98" s="316" t="str">
        <f t="shared" si="181"/>
        <v> </v>
      </c>
    </row>
    <row r="99" ht="29.25" customHeight="1" outlineLevel="1" spans="1:43">
      <c r="B99" s="317">
        <v>0.687511574074074</v>
      </c>
      <c r="C99" s="293" t="str">
        <f t="shared" ref="C99:G99" si="195">TEXT(IF($B99=0," ",$B99-C$6),"hh:mm am/pm")</f>
        <v>14:30 001/p1</v>
      </c>
      <c r="D99" s="293" t="str">
        <f t="shared" si="195"/>
        <v>12:30 001/p1</v>
      </c>
      <c r="E99" s="293" t="str">
        <f t="shared" si="195"/>
        <v>13:30 001/p1</v>
      </c>
      <c r="F99" s="293" t="str">
        <f t="shared" si="195"/>
        <v>14:30 001/p1</v>
      </c>
      <c r="G99" s="293" t="str">
        <f t="shared" si="195"/>
        <v>15:30 001/p1</v>
      </c>
      <c r="H99" s="293" t="str">
        <f t="shared" ref="H99:I99" si="196">TEXT(IF($B99=0," ",$B99+H$6),"hh:mm am/pm")</f>
        <v>22:30 001/p1</v>
      </c>
      <c r="I99" s="293" t="str">
        <f t="shared" si="196"/>
        <v>03:30 001/p1</v>
      </c>
      <c r="J99" s="405" t="str">
        <f>L72</f>
        <v>#AS OmaX PKO</v>
      </c>
      <c r="K99" s="406"/>
      <c r="L99" s="407" t="s">
        <v>199</v>
      </c>
      <c r="M99" s="408" t="s">
        <v>196</v>
      </c>
      <c r="N99" s="409" t="s">
        <v>100</v>
      </c>
      <c r="O99" s="410" t="s">
        <v>74</v>
      </c>
      <c r="P99" s="411" t="s">
        <v>101</v>
      </c>
      <c r="Q99" s="412">
        <f>30*5</f>
        <v>150</v>
      </c>
      <c r="R99" s="414" t="s">
        <v>60</v>
      </c>
      <c r="S99" s="413"/>
      <c r="T99" s="414">
        <v>0.1</v>
      </c>
      <c r="U99" s="409" t="s">
        <v>62</v>
      </c>
      <c r="V99" s="409">
        <v>1.6</v>
      </c>
      <c r="W99" s="409">
        <v>1.6</v>
      </c>
      <c r="X99" s="415"/>
      <c r="Y99" s="416" t="s">
        <v>79</v>
      </c>
      <c r="Z99" s="409">
        <v>1.6</v>
      </c>
      <c r="AA99" s="417">
        <v>20000</v>
      </c>
      <c r="AB99" s="417" t="s">
        <v>65</v>
      </c>
      <c r="AC99" s="414">
        <v>0.05</v>
      </c>
      <c r="AD99" s="414">
        <v>0</v>
      </c>
      <c r="AE99" s="427" t="s">
        <v>88</v>
      </c>
      <c r="AF99" s="419">
        <v>10000</v>
      </c>
      <c r="AG99" s="420">
        <v>5</v>
      </c>
      <c r="AH99" s="420">
        <v>4</v>
      </c>
      <c r="AI99" s="420">
        <v>4</v>
      </c>
      <c r="AJ99" s="418">
        <v>9</v>
      </c>
      <c r="AK99" s="421" t="s">
        <v>67</v>
      </c>
      <c r="AL99" s="428" t="s">
        <v>68</v>
      </c>
      <c r="AM99" s="422" t="s">
        <v>197</v>
      </c>
      <c r="AN99" s="403" t="s">
        <v>198</v>
      </c>
      <c r="AO99" s="314">
        <f t="shared" si="179"/>
        <v>0.718761574074074</v>
      </c>
      <c r="AP99" s="315">
        <f t="shared" si="180"/>
        <v>99</v>
      </c>
      <c r="AQ99" s="316" t="str">
        <f t="shared" si="181"/>
        <v>MICRO</v>
      </c>
    </row>
    <row r="100" ht="29.25" customHeight="1" outlineLevel="1" spans="1:43">
      <c r="A100" s="363" t="s">
        <v>53</v>
      </c>
      <c r="B100" s="365"/>
      <c r="C100" s="293" t="str">
        <f t="shared" ref="C100:G100" si="197">TEXT(IF($B100=0," ",$B100-C$6),"hh:mm am/pm")</f>
        <v> </v>
      </c>
      <c r="D100" s="293" t="str">
        <f t="shared" si="197"/>
        <v> </v>
      </c>
      <c r="E100" s="293" t="str">
        <f t="shared" si="197"/>
        <v> </v>
      </c>
      <c r="F100" s="293" t="str">
        <f t="shared" si="197"/>
        <v> </v>
      </c>
      <c r="G100" s="293" t="str">
        <f t="shared" si="197"/>
        <v> </v>
      </c>
      <c r="H100" s="293" t="str">
        <f t="shared" ref="H100:I100" si="198">TEXT(IF($B100=0," ",$B100+H$6),"hh:mm am/pm")</f>
        <v> </v>
      </c>
      <c r="I100" s="293" t="str">
        <f t="shared" si="198"/>
        <v> </v>
      </c>
      <c r="J100" s="344"/>
      <c r="K100" s="367"/>
      <c r="L100" s="367"/>
      <c r="M100" s="368"/>
      <c r="N100" s="369"/>
      <c r="O100" s="370"/>
      <c r="P100" s="370"/>
      <c r="Q100" s="369"/>
      <c r="R100" s="369"/>
      <c r="S100" s="369"/>
      <c r="T100" s="371"/>
      <c r="U100" s="369"/>
      <c r="V100" s="369"/>
      <c r="W100" s="369"/>
      <c r="X100" s="372"/>
      <c r="Y100" s="367"/>
      <c r="Z100" s="369"/>
      <c r="AA100" s="372"/>
      <c r="AB100" s="372"/>
      <c r="AC100" s="371"/>
      <c r="AD100" s="371"/>
      <c r="AE100" s="372"/>
      <c r="AF100" s="372"/>
      <c r="AG100" s="367"/>
      <c r="AH100" s="367"/>
      <c r="AI100" s="367"/>
      <c r="AJ100" s="367"/>
      <c r="AK100" s="373"/>
      <c r="AL100" s="373"/>
      <c r="AM100" s="373"/>
      <c r="AN100" s="373"/>
      <c r="AO100" s="314" t="str">
        <f t="shared" si="179"/>
        <v> </v>
      </c>
      <c r="AP100" s="374">
        <f t="shared" si="180"/>
        <v>0</v>
      </c>
      <c r="AQ100" s="316" t="str">
        <f t="shared" si="181"/>
        <v> </v>
      </c>
    </row>
    <row r="101" ht="29.25" customHeight="1" outlineLevel="1" spans="1:43">
      <c r="B101" s="317">
        <v>0.666678240740741</v>
      </c>
      <c r="C101" s="293" t="str">
        <f t="shared" ref="C101:G101" si="199">TEXT(IF($B101=0," ",$B101-C$6),"hh:mm am/pm")</f>
        <v>14:00 001/p1</v>
      </c>
      <c r="D101" s="293" t="str">
        <f t="shared" si="199"/>
        <v>12:00 001/p1</v>
      </c>
      <c r="E101" s="293" t="str">
        <f t="shared" si="199"/>
        <v>13:00 001/p1</v>
      </c>
      <c r="F101" s="293" t="str">
        <f t="shared" si="199"/>
        <v>14:00 001/p1</v>
      </c>
      <c r="G101" s="293" t="str">
        <f t="shared" si="199"/>
        <v>15:00 001/p1</v>
      </c>
      <c r="H101" s="293" t="str">
        <f t="shared" ref="H101:I101" si="200">TEXT(IF($B101=0," ",$B101+H$6),"hh:mm am/pm")</f>
        <v>22:00 001/p1</v>
      </c>
      <c r="I101" s="293" t="str">
        <f t="shared" si="200"/>
        <v>03:00 001/p1</v>
      </c>
      <c r="J101" s="423" t="str">
        <f>L13</f>
        <v>#AS Monday HighS</v>
      </c>
      <c r="K101" s="424"/>
      <c r="L101" s="425" t="s">
        <v>209</v>
      </c>
      <c r="M101" s="408" t="s">
        <v>196</v>
      </c>
      <c r="N101" s="409" t="s">
        <v>57</v>
      </c>
      <c r="O101" s="410" t="s">
        <v>74</v>
      </c>
      <c r="P101" s="411" t="s">
        <v>59</v>
      </c>
      <c r="Q101" s="412">
        <f>150*5</f>
        <v>750</v>
      </c>
      <c r="R101" s="414" t="s">
        <v>60</v>
      </c>
      <c r="S101" s="413"/>
      <c r="T101" s="414">
        <v>0.1</v>
      </c>
      <c r="U101" s="409" t="s">
        <v>62</v>
      </c>
      <c r="V101" s="409">
        <v>8</v>
      </c>
      <c r="W101" s="409">
        <v>8</v>
      </c>
      <c r="X101" s="415"/>
      <c r="Y101" s="416" t="s">
        <v>79</v>
      </c>
      <c r="Z101" s="409">
        <v>12</v>
      </c>
      <c r="AA101" s="417">
        <v>20000</v>
      </c>
      <c r="AB101" s="417" t="s">
        <v>65</v>
      </c>
      <c r="AC101" s="414">
        <v>0.05</v>
      </c>
      <c r="AD101" s="414">
        <v>0</v>
      </c>
      <c r="AE101" s="418" t="s">
        <v>88</v>
      </c>
      <c r="AF101" s="419">
        <v>10000</v>
      </c>
      <c r="AG101" s="420">
        <v>5</v>
      </c>
      <c r="AH101" s="420">
        <v>4</v>
      </c>
      <c r="AI101" s="420">
        <v>4</v>
      </c>
      <c r="AJ101" s="418">
        <v>9</v>
      </c>
      <c r="AK101" s="421" t="s">
        <v>67</v>
      </c>
      <c r="AL101" s="428" t="s">
        <v>68</v>
      </c>
      <c r="AM101" s="422" t="s">
        <v>197</v>
      </c>
      <c r="AN101" s="403" t="s">
        <v>198</v>
      </c>
      <c r="AO101" s="314">
        <f t="shared" si="179"/>
        <v>0.697928240740741</v>
      </c>
      <c r="AP101" s="315">
        <f t="shared" si="180"/>
        <v>99</v>
      </c>
      <c r="AQ101" s="316" t="str">
        <f t="shared" si="181"/>
        <v>LOW</v>
      </c>
    </row>
    <row r="102" ht="29.25" customHeight="1" outlineLevel="1" spans="1:43">
      <c r="B102" s="317">
        <v>0.708344907407407</v>
      </c>
      <c r="C102" s="293" t="str">
        <f t="shared" ref="C102:G102" si="201">TEXT(IF($B102=0," ",$B102-C$6),"hh:mm am/pm")</f>
        <v>15:00 001/p1</v>
      </c>
      <c r="D102" s="293" t="str">
        <f t="shared" si="201"/>
        <v>13:00 001/p1</v>
      </c>
      <c r="E102" s="293" t="str">
        <f t="shared" si="201"/>
        <v>14:00 001/p1</v>
      </c>
      <c r="F102" s="293" t="str">
        <f t="shared" si="201"/>
        <v>15:00 001/p1</v>
      </c>
      <c r="G102" s="293" t="str">
        <f t="shared" si="201"/>
        <v>16:00 001/p1</v>
      </c>
      <c r="H102" s="293" t="str">
        <f t="shared" ref="H102:I102" si="202">TEXT(IF($B102=0," ",$B102+H$6),"hh:mm am/pm")</f>
        <v>23:00 001/p1</v>
      </c>
      <c r="I102" s="293" t="str">
        <f t="shared" si="202"/>
        <v>04:00 001/p1</v>
      </c>
      <c r="J102" s="124"/>
      <c r="K102" s="406"/>
      <c r="L102" s="407" t="s">
        <v>210</v>
      </c>
      <c r="M102" s="408" t="s">
        <v>196</v>
      </c>
      <c r="N102" s="409" t="s">
        <v>57</v>
      </c>
      <c r="O102" s="410" t="s">
        <v>74</v>
      </c>
      <c r="P102" s="411" t="s">
        <v>59</v>
      </c>
      <c r="Q102" s="412">
        <f>150*10</f>
        <v>1500</v>
      </c>
      <c r="R102" s="414" t="s">
        <v>60</v>
      </c>
      <c r="S102" s="413"/>
      <c r="T102" s="414">
        <v>0.1</v>
      </c>
      <c r="U102" s="409" t="s">
        <v>62</v>
      </c>
      <c r="V102" s="409">
        <v>8</v>
      </c>
      <c r="W102" s="409">
        <v>8</v>
      </c>
      <c r="X102" s="415"/>
      <c r="Y102" s="416" t="s">
        <v>79</v>
      </c>
      <c r="Z102" s="409">
        <v>12</v>
      </c>
      <c r="AA102" s="417">
        <v>20000</v>
      </c>
      <c r="AB102" s="417" t="s">
        <v>65</v>
      </c>
      <c r="AC102" s="414">
        <v>0.05</v>
      </c>
      <c r="AD102" s="414">
        <v>0</v>
      </c>
      <c r="AE102" s="418" t="s">
        <v>88</v>
      </c>
      <c r="AF102" s="419">
        <v>10000</v>
      </c>
      <c r="AG102" s="420">
        <v>5</v>
      </c>
      <c r="AH102" s="420">
        <v>4</v>
      </c>
      <c r="AI102" s="420">
        <v>4</v>
      </c>
      <c r="AJ102" s="418">
        <v>9</v>
      </c>
      <c r="AK102" s="421" t="s">
        <v>67</v>
      </c>
      <c r="AL102" s="428" t="s">
        <v>68</v>
      </c>
      <c r="AM102" s="422" t="s">
        <v>197</v>
      </c>
      <c r="AN102" s="403" t="s">
        <v>198</v>
      </c>
      <c r="AO102" s="314">
        <f t="shared" si="179"/>
        <v>0.739594907407407</v>
      </c>
      <c r="AP102" s="315">
        <f t="shared" si="180"/>
        <v>198</v>
      </c>
      <c r="AQ102" s="316" t="str">
        <f t="shared" si="181"/>
        <v>LOW</v>
      </c>
    </row>
    <row r="103" ht="29.25" customHeight="1" outlineLevel="1" spans="1:43">
      <c r="B103" s="365"/>
      <c r="C103" s="293" t="str">
        <f t="shared" ref="C103:G103" si="203">TEXT(IF($B103=0," ",$B103-C$6),"hh:mm am/pm")</f>
        <v> </v>
      </c>
      <c r="D103" s="293" t="str">
        <f t="shared" si="203"/>
        <v> </v>
      </c>
      <c r="E103" s="293" t="str">
        <f t="shared" si="203"/>
        <v> </v>
      </c>
      <c r="F103" s="293" t="str">
        <f t="shared" si="203"/>
        <v> </v>
      </c>
      <c r="G103" s="293" t="str">
        <f t="shared" si="203"/>
        <v> </v>
      </c>
      <c r="H103" s="293" t="str">
        <f t="shared" ref="H103:I103" si="204">TEXT(IF($B103=0," ",$B103+H$6),"hh:mm am/pm")</f>
        <v> </v>
      </c>
      <c r="I103" s="293" t="str">
        <f t="shared" si="204"/>
        <v> </v>
      </c>
      <c r="J103" s="344"/>
      <c r="K103" s="367"/>
      <c r="L103" s="367"/>
      <c r="M103" s="368"/>
      <c r="N103" s="369"/>
      <c r="O103" s="370"/>
      <c r="P103" s="370"/>
      <c r="Q103" s="369"/>
      <c r="R103" s="369"/>
      <c r="S103" s="369"/>
      <c r="T103" s="371"/>
      <c r="U103" s="369"/>
      <c r="V103" s="369"/>
      <c r="W103" s="369"/>
      <c r="X103" s="372"/>
      <c r="Y103" s="367"/>
      <c r="Z103" s="369"/>
      <c r="AA103" s="372"/>
      <c r="AB103" s="372"/>
      <c r="AC103" s="371"/>
      <c r="AD103" s="371"/>
      <c r="AE103" s="367"/>
      <c r="AF103" s="372"/>
      <c r="AG103" s="367"/>
      <c r="AH103" s="367"/>
      <c r="AI103" s="367"/>
      <c r="AJ103" s="367"/>
      <c r="AK103" s="373"/>
      <c r="AL103" s="373"/>
      <c r="AM103" s="373"/>
      <c r="AN103" s="373"/>
      <c r="AO103" s="314" t="str">
        <f t="shared" si="179"/>
        <v> </v>
      </c>
      <c r="AP103" s="374">
        <f t="shared" si="180"/>
        <v>0</v>
      </c>
      <c r="AQ103" s="316" t="str">
        <f t="shared" si="181"/>
        <v> </v>
      </c>
    </row>
    <row r="104" ht="29.25" customHeight="1" outlineLevel="1" spans="1:43">
      <c r="A104" s="363" t="s">
        <v>53</v>
      </c>
      <c r="B104" s="317">
        <v>0.750011574074074</v>
      </c>
      <c r="C104" s="293" t="str">
        <f t="shared" ref="C104:G104" si="205">TEXT(IF($B104=0," ",$B104-C$6),"hh:mm am/pm")</f>
        <v>16:00 001/p1</v>
      </c>
      <c r="D104" s="293" t="str">
        <f t="shared" si="205"/>
        <v>14:00 001/p1</v>
      </c>
      <c r="E104" s="293" t="str">
        <f t="shared" si="205"/>
        <v>15:00 001/p1</v>
      </c>
      <c r="F104" s="293" t="str">
        <f t="shared" si="205"/>
        <v>16:00 001/p1</v>
      </c>
      <c r="G104" s="293" t="str">
        <f t="shared" si="205"/>
        <v>17:00 001/p1</v>
      </c>
      <c r="H104" s="293" t="str">
        <f t="shared" ref="H104:I104" si="206">TEXT(IF($B104=0," ",$B104+H$6),"hh:mm am/pm")</f>
        <v>00:00 001/p1</v>
      </c>
      <c r="I104" s="293" t="str">
        <f t="shared" si="206"/>
        <v>05:00 001/p1</v>
      </c>
      <c r="J104" s="405" t="str">
        <f>L15</f>
        <v>#AS OmaX HR</v>
      </c>
      <c r="K104" s="406"/>
      <c r="L104" s="407" t="s">
        <v>211</v>
      </c>
      <c r="M104" s="408" t="s">
        <v>196</v>
      </c>
      <c r="N104" s="409" t="s">
        <v>100</v>
      </c>
      <c r="O104" s="410" t="s">
        <v>74</v>
      </c>
      <c r="P104" s="411" t="s">
        <v>101</v>
      </c>
      <c r="Q104" s="412">
        <f>110*6</f>
        <v>660</v>
      </c>
      <c r="R104" s="414" t="s">
        <v>60</v>
      </c>
      <c r="S104" s="413"/>
      <c r="T104" s="414">
        <v>0.1</v>
      </c>
      <c r="U104" s="409" t="s">
        <v>62</v>
      </c>
      <c r="V104" s="409">
        <v>6</v>
      </c>
      <c r="W104" s="409">
        <v>6</v>
      </c>
      <c r="X104" s="415"/>
      <c r="Y104" s="416" t="s">
        <v>79</v>
      </c>
      <c r="Z104" s="409">
        <v>6</v>
      </c>
      <c r="AA104" s="417">
        <v>20000</v>
      </c>
      <c r="AB104" s="417" t="s">
        <v>65</v>
      </c>
      <c r="AC104" s="414">
        <v>0.05</v>
      </c>
      <c r="AD104" s="414">
        <v>0</v>
      </c>
      <c r="AE104" s="418" t="s">
        <v>88</v>
      </c>
      <c r="AF104" s="419">
        <v>10000</v>
      </c>
      <c r="AG104" s="420">
        <v>4</v>
      </c>
      <c r="AH104" s="420">
        <v>4</v>
      </c>
      <c r="AI104" s="420">
        <v>4</v>
      </c>
      <c r="AJ104" s="418">
        <v>9</v>
      </c>
      <c r="AK104" s="421" t="s">
        <v>67</v>
      </c>
      <c r="AL104" s="428" t="s">
        <v>68</v>
      </c>
      <c r="AM104" s="422" t="s">
        <v>197</v>
      </c>
      <c r="AN104" s="403" t="s">
        <v>198</v>
      </c>
      <c r="AO104" s="314">
        <f t="shared" si="179"/>
        <v>0.775011574074074</v>
      </c>
      <c r="AP104" s="315">
        <f t="shared" si="180"/>
        <v>116</v>
      </c>
      <c r="AQ104" s="316" t="str">
        <f t="shared" si="181"/>
        <v>LOW</v>
      </c>
    </row>
    <row r="105" ht="29.25" customHeight="1" outlineLevel="1" spans="1:43">
      <c r="B105" s="365"/>
      <c r="C105" s="293" t="str">
        <f t="shared" ref="C105:G105" si="207">TEXT(IF($B105=0," ",$B105-C$6),"hh:mm am/pm")</f>
        <v> </v>
      </c>
      <c r="D105" s="293" t="str">
        <f t="shared" si="207"/>
        <v> </v>
      </c>
      <c r="E105" s="293" t="str">
        <f t="shared" si="207"/>
        <v> </v>
      </c>
      <c r="F105" s="293" t="str">
        <f t="shared" si="207"/>
        <v> </v>
      </c>
      <c r="G105" s="293" t="str">
        <f t="shared" si="207"/>
        <v> </v>
      </c>
      <c r="H105" s="293" t="str">
        <f t="shared" ref="H105:I105" si="208">TEXT(IF($B105=0," ",$B105+H$6),"hh:mm am/pm")</f>
        <v> </v>
      </c>
      <c r="I105" s="293" t="str">
        <f t="shared" si="208"/>
        <v> </v>
      </c>
      <c r="J105" s="344"/>
      <c r="K105" s="367"/>
      <c r="L105" s="367"/>
      <c r="M105" s="368"/>
      <c r="N105" s="369"/>
      <c r="O105" s="370"/>
      <c r="P105" s="370"/>
      <c r="Q105" s="369"/>
      <c r="R105" s="369"/>
      <c r="S105" s="369"/>
      <c r="T105" s="371"/>
      <c r="U105" s="369"/>
      <c r="V105" s="369"/>
      <c r="W105" s="369"/>
      <c r="X105" s="372"/>
      <c r="Y105" s="367"/>
      <c r="Z105" s="369"/>
      <c r="AA105" s="372"/>
      <c r="AB105" s="372"/>
      <c r="AC105" s="371"/>
      <c r="AD105" s="371"/>
      <c r="AE105" s="367"/>
      <c r="AF105" s="372"/>
      <c r="AG105" s="367"/>
      <c r="AH105" s="367"/>
      <c r="AI105" s="367"/>
      <c r="AJ105" s="367"/>
      <c r="AK105" s="373"/>
      <c r="AL105" s="373"/>
      <c r="AM105" s="373"/>
      <c r="AN105" s="373"/>
      <c r="AO105" s="314" t="str">
        <f t="shared" si="179"/>
        <v> </v>
      </c>
      <c r="AP105" s="374">
        <f t="shared" si="180"/>
        <v>0</v>
      </c>
      <c r="AQ105" s="316" t="str">
        <f t="shared" si="181"/>
        <v> </v>
      </c>
    </row>
    <row r="106" ht="29.25" customHeight="1" outlineLevel="1" spans="1:43">
      <c r="B106" s="317">
        <v>0.750011574074074</v>
      </c>
      <c r="C106" s="293" t="str">
        <f t="shared" ref="C106:G106" si="209">TEXT(IF($B106=0," ",$B106-C$6),"hh:mm am/pm")</f>
        <v>16:00 001/p1</v>
      </c>
      <c r="D106" s="293" t="str">
        <f t="shared" si="209"/>
        <v>14:00 001/p1</v>
      </c>
      <c r="E106" s="293" t="str">
        <f t="shared" si="209"/>
        <v>15:00 001/p1</v>
      </c>
      <c r="F106" s="293" t="str">
        <f t="shared" si="209"/>
        <v>16:00 001/p1</v>
      </c>
      <c r="G106" s="293" t="str">
        <f t="shared" si="209"/>
        <v>17:00 001/p1</v>
      </c>
      <c r="H106" s="293" t="str">
        <f t="shared" ref="H106:I106" si="210">TEXT(IF($B106=0," ",$B106+H$6),"hh:mm am/pm")</f>
        <v>00:00 001/p1</v>
      </c>
      <c r="I106" s="293" t="str">
        <f t="shared" si="210"/>
        <v>05:00 001/p1</v>
      </c>
      <c r="J106" s="405" t="str">
        <f>L75</f>
        <v>#AS Omax Turbo</v>
      </c>
      <c r="K106" s="406"/>
      <c r="L106" s="407" t="s">
        <v>212</v>
      </c>
      <c r="M106" s="408" t="s">
        <v>196</v>
      </c>
      <c r="N106" s="409" t="s">
        <v>100</v>
      </c>
      <c r="O106" s="410" t="s">
        <v>74</v>
      </c>
      <c r="P106" s="411" t="s">
        <v>101</v>
      </c>
      <c r="Q106" s="412">
        <f>11*8</f>
        <v>88</v>
      </c>
      <c r="R106" s="414" t="s">
        <v>60</v>
      </c>
      <c r="S106" s="413"/>
      <c r="T106" s="414">
        <v>0.1</v>
      </c>
      <c r="U106" s="409" t="s">
        <v>62</v>
      </c>
      <c r="V106" s="409">
        <v>0.6</v>
      </c>
      <c r="W106" s="409">
        <v>0.6</v>
      </c>
      <c r="X106" s="415"/>
      <c r="Y106" s="416" t="s">
        <v>79</v>
      </c>
      <c r="Z106" s="409">
        <v>0.6</v>
      </c>
      <c r="AA106" s="417">
        <v>20000</v>
      </c>
      <c r="AB106" s="417" t="s">
        <v>65</v>
      </c>
      <c r="AC106" s="414">
        <v>0.05</v>
      </c>
      <c r="AD106" s="414">
        <v>0</v>
      </c>
      <c r="AE106" s="418" t="s">
        <v>88</v>
      </c>
      <c r="AF106" s="419">
        <v>10000</v>
      </c>
      <c r="AG106" s="420">
        <v>4</v>
      </c>
      <c r="AH106" s="420">
        <v>4</v>
      </c>
      <c r="AI106" s="420">
        <v>4</v>
      </c>
      <c r="AJ106" s="418">
        <v>9</v>
      </c>
      <c r="AK106" s="421" t="s">
        <v>67</v>
      </c>
      <c r="AL106" s="428" t="s">
        <v>68</v>
      </c>
      <c r="AM106" s="422" t="s">
        <v>197</v>
      </c>
      <c r="AN106" s="403" t="s">
        <v>198</v>
      </c>
      <c r="AO106" s="314">
        <f t="shared" si="179"/>
        <v>0.775011574074074</v>
      </c>
      <c r="AP106" s="315">
        <f t="shared" si="180"/>
        <v>155</v>
      </c>
      <c r="AQ106" s="316" t="str">
        <f t="shared" si="181"/>
        <v>MICRO</v>
      </c>
    </row>
    <row r="107" ht="29.25" customHeight="1" outlineLevel="1" spans="1:43">
      <c r="A107" s="363" t="s">
        <v>53</v>
      </c>
      <c r="B107" s="365"/>
      <c r="C107" s="293" t="str">
        <f t="shared" ref="C107:G107" si="211">TEXT(IF($B107=0," ",$B107-C$6),"hh:mm am/pm")</f>
        <v> </v>
      </c>
      <c r="D107" s="293" t="str">
        <f t="shared" si="211"/>
        <v> </v>
      </c>
      <c r="E107" s="293" t="str">
        <f t="shared" si="211"/>
        <v> </v>
      </c>
      <c r="F107" s="293" t="str">
        <f t="shared" si="211"/>
        <v> </v>
      </c>
      <c r="G107" s="293" t="str">
        <f t="shared" si="211"/>
        <v> </v>
      </c>
      <c r="H107" s="293" t="str">
        <f t="shared" ref="H107:I107" si="212">TEXT(IF($B107=0," ",$B107+H$6),"hh:mm am/pm")</f>
        <v> </v>
      </c>
      <c r="I107" s="293" t="str">
        <f t="shared" si="212"/>
        <v> </v>
      </c>
      <c r="J107" s="344"/>
      <c r="K107" s="367"/>
      <c r="L107" s="367"/>
      <c r="M107" s="368"/>
      <c r="N107" s="369"/>
      <c r="O107" s="370"/>
      <c r="P107" s="370"/>
      <c r="Q107" s="369"/>
      <c r="R107" s="369"/>
      <c r="S107" s="369"/>
      <c r="T107" s="371"/>
      <c r="U107" s="369"/>
      <c r="V107" s="369"/>
      <c r="W107" s="369"/>
      <c r="X107" s="372"/>
      <c r="Y107" s="367"/>
      <c r="Z107" s="369"/>
      <c r="AA107" s="372"/>
      <c r="AB107" s="372"/>
      <c r="AC107" s="371"/>
      <c r="AD107" s="371"/>
      <c r="AE107" s="367"/>
      <c r="AF107" s="372"/>
      <c r="AG107" s="367"/>
      <c r="AH107" s="367"/>
      <c r="AI107" s="367"/>
      <c r="AJ107" s="367"/>
      <c r="AK107" s="373"/>
      <c r="AL107" s="373"/>
      <c r="AM107" s="373"/>
      <c r="AN107" s="373"/>
      <c r="AO107" s="314" t="str">
        <f t="shared" si="179"/>
        <v> </v>
      </c>
      <c r="AP107" s="374">
        <f t="shared" si="180"/>
        <v>0</v>
      </c>
      <c r="AQ107" s="316" t="str">
        <f t="shared" si="181"/>
        <v> </v>
      </c>
    </row>
    <row r="108" ht="29.25" customHeight="1" outlineLevel="1" spans="1:43">
      <c r="B108" s="317">
        <v>0.750011574074074</v>
      </c>
      <c r="C108" s="293" t="str">
        <f t="shared" ref="C108:G108" si="213">TEXT(IF($B108=0," ",$B108-C$6),"hh:mm am/pm")</f>
        <v>16:00 001/p1</v>
      </c>
      <c r="D108" s="293" t="str">
        <f t="shared" si="213"/>
        <v>14:00 001/p1</v>
      </c>
      <c r="E108" s="293" t="str">
        <f t="shared" si="213"/>
        <v>15:00 001/p1</v>
      </c>
      <c r="F108" s="293" t="str">
        <f t="shared" si="213"/>
        <v>16:00 001/p1</v>
      </c>
      <c r="G108" s="293" t="str">
        <f t="shared" si="213"/>
        <v>17:00 001/p1</v>
      </c>
      <c r="H108" s="293" t="str">
        <f t="shared" ref="H108:I108" si="214">TEXT(IF($B108=0," ",$B108+H$6),"hh:mm am/pm")</f>
        <v>00:00 001/p1</v>
      </c>
      <c r="I108" s="293" t="str">
        <f t="shared" si="214"/>
        <v>05:00 001/p1</v>
      </c>
      <c r="J108" s="433" t="str">
        <f>L16</f>
        <v>#AS Big Mystery+SPS</v>
      </c>
      <c r="K108" s="385"/>
      <c r="L108" s="386" t="s">
        <v>213</v>
      </c>
      <c r="M108" s="408" t="s">
        <v>196</v>
      </c>
      <c r="N108" s="409" t="s">
        <v>57</v>
      </c>
      <c r="O108" s="410" t="s">
        <v>74</v>
      </c>
      <c r="P108" s="411" t="s">
        <v>59</v>
      </c>
      <c r="Q108" s="412">
        <f>22*6</f>
        <v>132</v>
      </c>
      <c r="R108" s="414" t="s">
        <v>60</v>
      </c>
      <c r="S108" s="413"/>
      <c r="T108" s="414">
        <v>0.1</v>
      </c>
      <c r="U108" s="409" t="s">
        <v>62</v>
      </c>
      <c r="V108" s="409">
        <v>1.4</v>
      </c>
      <c r="W108" s="409">
        <v>1.4</v>
      </c>
      <c r="X108" s="415"/>
      <c r="Y108" s="416" t="s">
        <v>79</v>
      </c>
      <c r="Z108" s="409">
        <v>1.4</v>
      </c>
      <c r="AA108" s="417">
        <v>20000</v>
      </c>
      <c r="AB108" s="417" t="s">
        <v>65</v>
      </c>
      <c r="AC108" s="414">
        <v>0.05</v>
      </c>
      <c r="AD108" s="414">
        <v>0</v>
      </c>
      <c r="AE108" s="418" t="s">
        <v>88</v>
      </c>
      <c r="AF108" s="419">
        <v>10000</v>
      </c>
      <c r="AG108" s="420">
        <v>4</v>
      </c>
      <c r="AH108" s="420">
        <v>4</v>
      </c>
      <c r="AI108" s="420">
        <v>4</v>
      </c>
      <c r="AJ108" s="418">
        <v>9</v>
      </c>
      <c r="AK108" s="421" t="s">
        <v>67</v>
      </c>
      <c r="AL108" s="428" t="s">
        <v>68</v>
      </c>
      <c r="AM108" s="422" t="s">
        <v>197</v>
      </c>
      <c r="AN108" s="403" t="s">
        <v>198</v>
      </c>
      <c r="AO108" s="314">
        <f t="shared" si="179"/>
        <v>0.775011574074074</v>
      </c>
      <c r="AP108" s="315">
        <f t="shared" si="180"/>
        <v>100</v>
      </c>
      <c r="AQ108" s="316" t="str">
        <f t="shared" si="181"/>
        <v>MICRO</v>
      </c>
    </row>
    <row r="109" ht="29.25" customHeight="1" outlineLevel="1" spans="1:43">
      <c r="B109" s="365"/>
      <c r="C109" s="293" t="str">
        <f t="shared" ref="C109:G109" si="215">TEXT(IF($B109=0," ",$B109-C$6),"hh:mm am/pm")</f>
        <v> </v>
      </c>
      <c r="D109" s="293" t="str">
        <f t="shared" si="215"/>
        <v> </v>
      </c>
      <c r="E109" s="293" t="str">
        <f t="shared" si="215"/>
        <v> </v>
      </c>
      <c r="F109" s="293" t="str">
        <f t="shared" si="215"/>
        <v> </v>
      </c>
      <c r="G109" s="293" t="str">
        <f t="shared" si="215"/>
        <v> </v>
      </c>
      <c r="H109" s="293" t="str">
        <f t="shared" ref="H109:I109" si="216">TEXT(IF($B109=0," ",$B109+H$6),"hh:mm am/pm")</f>
        <v> </v>
      </c>
      <c r="I109" s="293" t="str">
        <f t="shared" si="216"/>
        <v> </v>
      </c>
      <c r="J109" s="344"/>
      <c r="K109" s="367"/>
      <c r="L109" s="367"/>
      <c r="M109" s="368"/>
      <c r="N109" s="369"/>
      <c r="O109" s="370"/>
      <c r="P109" s="370"/>
      <c r="Q109" s="369"/>
      <c r="R109" s="369"/>
      <c r="S109" s="369"/>
      <c r="T109" s="371"/>
      <c r="U109" s="369"/>
      <c r="V109" s="369"/>
      <c r="W109" s="369"/>
      <c r="X109" s="372"/>
      <c r="Y109" s="367"/>
      <c r="Z109" s="369"/>
      <c r="AA109" s="372"/>
      <c r="AB109" s="372"/>
      <c r="AC109" s="371"/>
      <c r="AD109" s="371"/>
      <c r="AE109" s="367"/>
      <c r="AF109" s="372"/>
      <c r="AG109" s="367"/>
      <c r="AH109" s="367"/>
      <c r="AI109" s="367"/>
      <c r="AJ109" s="367"/>
      <c r="AK109" s="373"/>
      <c r="AL109" s="373"/>
      <c r="AM109" s="373"/>
      <c r="AN109" s="373"/>
      <c r="AO109" s="314" t="str">
        <f t="shared" si="179"/>
        <v> </v>
      </c>
      <c r="AP109" s="374">
        <f t="shared" si="180"/>
        <v>0</v>
      </c>
      <c r="AQ109" s="316" t="str">
        <f t="shared" si="181"/>
        <v> </v>
      </c>
    </row>
    <row r="110" ht="29.25" customHeight="1" outlineLevel="1" spans="1:43">
      <c r="A110" s="363" t="s">
        <v>53</v>
      </c>
      <c r="B110" s="317">
        <v>0.770833333333333</v>
      </c>
      <c r="C110" s="293" t="str">
        <f t="shared" ref="C110:G110" si="217">TEXT(IF($B110=0," ",$B110-C$6),"hh:mm am/pm")</f>
        <v>16:30 001/p1</v>
      </c>
      <c r="D110" s="293" t="str">
        <f t="shared" si="217"/>
        <v>14:30 001/p1</v>
      </c>
      <c r="E110" s="293" t="str">
        <f t="shared" si="217"/>
        <v>15:30 001/p1</v>
      </c>
      <c r="F110" s="293" t="str">
        <f t="shared" si="217"/>
        <v>16:30 001/p1</v>
      </c>
      <c r="G110" s="293" t="str">
        <f t="shared" si="217"/>
        <v>17:30 001/p1</v>
      </c>
      <c r="H110" s="293" t="str">
        <f t="shared" ref="H110:I110" si="218">TEXT(IF($B110=0," ",$B110+H$6),"hh:mm am/pm")</f>
        <v>00:30 001/p1</v>
      </c>
      <c r="I110" s="293" t="str">
        <f t="shared" si="218"/>
        <v>05:30 001/p1</v>
      </c>
      <c r="J110" s="405" t="str">
        <f>L74</f>
        <v>#AS Freeze</v>
      </c>
      <c r="K110" s="406"/>
      <c r="L110" s="407" t="s">
        <v>214</v>
      </c>
      <c r="M110" s="408" t="s">
        <v>196</v>
      </c>
      <c r="N110" s="409" t="s">
        <v>57</v>
      </c>
      <c r="O110" s="410" t="s">
        <v>74</v>
      </c>
      <c r="P110" s="411" t="s">
        <v>59</v>
      </c>
      <c r="Q110" s="412">
        <f>15*5</f>
        <v>75</v>
      </c>
      <c r="R110" s="414" t="s">
        <v>60</v>
      </c>
      <c r="S110" s="413"/>
      <c r="T110" s="414">
        <v>0.1</v>
      </c>
      <c r="U110" s="409" t="s">
        <v>62</v>
      </c>
      <c r="V110" s="409">
        <v>0.8</v>
      </c>
      <c r="W110" s="409">
        <v>0.8</v>
      </c>
      <c r="X110" s="415"/>
      <c r="Y110" s="416" t="s">
        <v>79</v>
      </c>
      <c r="Z110" s="409">
        <v>0.8</v>
      </c>
      <c r="AA110" s="417">
        <v>20000</v>
      </c>
      <c r="AB110" s="417" t="s">
        <v>65</v>
      </c>
      <c r="AC110" s="414">
        <v>0.05</v>
      </c>
      <c r="AD110" s="414">
        <v>0</v>
      </c>
      <c r="AE110" s="418" t="s">
        <v>88</v>
      </c>
      <c r="AF110" s="419">
        <v>10000</v>
      </c>
      <c r="AG110" s="420">
        <v>4</v>
      </c>
      <c r="AH110" s="420">
        <v>4</v>
      </c>
      <c r="AI110" s="420">
        <v>4</v>
      </c>
      <c r="AJ110" s="418">
        <v>9</v>
      </c>
      <c r="AK110" s="421" t="s">
        <v>67</v>
      </c>
      <c r="AL110" s="428" t="s">
        <v>68</v>
      </c>
      <c r="AM110" s="422" t="s">
        <v>197</v>
      </c>
      <c r="AN110" s="403" t="s">
        <v>198</v>
      </c>
      <c r="AO110" s="314">
        <f t="shared" si="179"/>
        <v>0.795833333333333</v>
      </c>
      <c r="AP110" s="315">
        <f t="shared" si="180"/>
        <v>99</v>
      </c>
      <c r="AQ110" s="316" t="str">
        <f t="shared" si="181"/>
        <v>MICRO</v>
      </c>
    </row>
    <row r="111" ht="29.25" customHeight="1" outlineLevel="1" spans="1:43">
      <c r="B111" s="383"/>
      <c r="C111" s="434"/>
      <c r="D111" s="434"/>
      <c r="E111" s="434"/>
      <c r="F111" s="434"/>
      <c r="G111" s="434"/>
      <c r="H111" s="434"/>
      <c r="I111" s="434"/>
      <c r="J111" s="344"/>
      <c r="K111" s="367"/>
      <c r="L111" s="367"/>
      <c r="M111" s="435"/>
      <c r="N111" s="436"/>
      <c r="O111" s="437"/>
      <c r="P111" s="437"/>
      <c r="Q111" s="436"/>
      <c r="R111" s="436"/>
      <c r="S111" s="436"/>
      <c r="T111" s="438"/>
      <c r="U111" s="436"/>
      <c r="V111" s="436"/>
      <c r="W111" s="436"/>
      <c r="X111" s="436"/>
      <c r="Y111" s="366"/>
      <c r="Z111" s="439"/>
      <c r="AA111" s="439"/>
      <c r="AB111" s="439"/>
      <c r="AC111" s="438"/>
      <c r="AD111" s="438"/>
      <c r="AE111" s="366"/>
      <c r="AF111" s="439"/>
      <c r="AG111" s="366"/>
      <c r="AH111" s="366"/>
      <c r="AI111" s="366"/>
      <c r="AJ111" s="366"/>
      <c r="AK111" s="440"/>
      <c r="AL111" s="440"/>
      <c r="AM111" s="440"/>
      <c r="AN111" s="440"/>
      <c r="AO111" s="383"/>
      <c r="AP111" s="374"/>
      <c r="AQ111" s="383"/>
    </row>
    <row r="112" ht="29.25" customHeight="1" outlineLevel="1" spans="1:43">
      <c r="A112" s="363"/>
      <c r="B112" s="292">
        <v>0.541678240740741</v>
      </c>
      <c r="C112" s="293" t="str">
        <f t="shared" ref="C112:G112" si="219">TEXT(IF($B112=0," ",$B112-C$6),"hh:mm am/pm")</f>
        <v>11:00 001/p1</v>
      </c>
      <c r="D112" s="293" t="str">
        <f t="shared" si="219"/>
        <v>09:00 001/p1</v>
      </c>
      <c r="E112" s="293" t="str">
        <f t="shared" si="219"/>
        <v>10:00 001/p1</v>
      </c>
      <c r="F112" s="293" t="str">
        <f t="shared" si="219"/>
        <v>11:00 001/p1</v>
      </c>
      <c r="G112" s="293" t="str">
        <f t="shared" si="219"/>
        <v>12:00 001/p1</v>
      </c>
      <c r="H112" s="293" t="str">
        <f t="shared" ref="H112:I112" si="220">TEXT(IF($B112=0," ",$B112+H$6),"hh:mm am/pm")</f>
        <v>19:00 001/p1</v>
      </c>
      <c r="I112" s="293" t="str">
        <f t="shared" si="220"/>
        <v>00:00 001/p1</v>
      </c>
      <c r="J112" s="423" t="s">
        <v>215</v>
      </c>
      <c r="K112" s="424"/>
      <c r="L112" s="425" t="s">
        <v>216</v>
      </c>
      <c r="M112" s="441" t="s">
        <v>196</v>
      </c>
      <c r="N112" s="442" t="s">
        <v>57</v>
      </c>
      <c r="O112" s="443" t="s">
        <v>74</v>
      </c>
      <c r="P112" s="444" t="s">
        <v>59</v>
      </c>
      <c r="Q112" s="445">
        <f t="shared" ref="Q112:Q113" si="221">15*4</f>
        <v>60</v>
      </c>
      <c r="R112" s="446" t="s">
        <v>60</v>
      </c>
      <c r="S112" s="447"/>
      <c r="T112" s="446">
        <v>0.1</v>
      </c>
      <c r="U112" s="442" t="s">
        <v>62</v>
      </c>
      <c r="V112" s="442">
        <v>0.6</v>
      </c>
      <c r="W112" s="442">
        <v>0.8</v>
      </c>
      <c r="X112" s="448">
        <v>25000</v>
      </c>
      <c r="Y112" s="449" t="s">
        <v>79</v>
      </c>
      <c r="Z112" s="442">
        <v>1</v>
      </c>
      <c r="AA112" s="450">
        <v>40000</v>
      </c>
      <c r="AB112" s="450" t="s">
        <v>65</v>
      </c>
      <c r="AC112" s="446">
        <v>0.05</v>
      </c>
      <c r="AD112" s="446">
        <v>0</v>
      </c>
      <c r="AE112" s="451" t="s">
        <v>66</v>
      </c>
      <c r="AF112" s="448">
        <v>20000</v>
      </c>
      <c r="AG112" s="452">
        <v>7</v>
      </c>
      <c r="AH112" s="452">
        <v>6</v>
      </c>
      <c r="AI112" s="452">
        <v>6</v>
      </c>
      <c r="AJ112" s="451">
        <v>13</v>
      </c>
      <c r="AK112" s="453" t="s">
        <v>67</v>
      </c>
      <c r="AL112" s="454" t="s">
        <v>68</v>
      </c>
      <c r="AM112" s="455" t="s">
        <v>197</v>
      </c>
      <c r="AN112" s="455" t="s">
        <v>198</v>
      </c>
      <c r="AO112" s="314">
        <f t="shared" ref="AO112:AO115" si="222">IF(B112=0," ",TIME(,ROUNDDOWN(AG112*AJ112/60,0)*5+(AG112*AJ112),)+B112)</f>
        <v>0.608344907407407</v>
      </c>
      <c r="AP112" s="315">
        <f t="shared" ref="AP112:AP115" si="223">IF(Q112=0,,ROUNDUP(Q112/(V112*(1-AC112-AD112)),0))</f>
        <v>106</v>
      </c>
      <c r="AQ112" s="316" t="str">
        <f t="shared" ref="AQ112:AQ115" si="224">IFERROR(IF(V112=0," ",IF(V112&lt;=5,"MICRO",IF(V112&lt;=19.8,"LOW",IF(V112&lt;=99.8,"MEDIUM",IF(V112&lt;=500,"HIGH",IF(V112&gt;500,"SUPER HIGH",)))))),"")</f>
        <v>MICRO</v>
      </c>
    </row>
    <row r="113" ht="29.25" customHeight="1" outlineLevel="1" spans="1:43">
      <c r="B113" s="292">
        <v>0.625011574074074</v>
      </c>
      <c r="C113" s="293" t="str">
        <f t="shared" ref="C113:G113" si="225">TEXT(IF($B113=0," ",$B113-C$6),"hh:mm am/pm")</f>
        <v>13:00 001/p1</v>
      </c>
      <c r="D113" s="293" t="str">
        <f t="shared" si="225"/>
        <v>11:00 001/p1</v>
      </c>
      <c r="E113" s="293" t="str">
        <f t="shared" si="225"/>
        <v>12:00 001/p1</v>
      </c>
      <c r="F113" s="293" t="str">
        <f t="shared" si="225"/>
        <v>13:00 001/p1</v>
      </c>
      <c r="G113" s="293" t="str">
        <f t="shared" si="225"/>
        <v>14:00 001/p1</v>
      </c>
      <c r="H113" s="293" t="str">
        <f t="shared" ref="H113:I113" si="226">TEXT(IF($B113=0," ",$B113+H$6),"hh:mm am/pm")</f>
        <v>21:00 001/p1</v>
      </c>
      <c r="I113" s="293" t="str">
        <f t="shared" si="226"/>
        <v>02:00 001/p1</v>
      </c>
      <c r="J113" s="29"/>
      <c r="K113" s="431"/>
      <c r="L113" s="432" t="s">
        <v>216</v>
      </c>
      <c r="M113" s="441" t="s">
        <v>196</v>
      </c>
      <c r="N113" s="409" t="s">
        <v>57</v>
      </c>
      <c r="O113" s="410" t="s">
        <v>74</v>
      </c>
      <c r="P113" s="411" t="s">
        <v>59</v>
      </c>
      <c r="Q113" s="445">
        <f t="shared" si="221"/>
        <v>60</v>
      </c>
      <c r="R113" s="414" t="s">
        <v>60</v>
      </c>
      <c r="S113" s="413"/>
      <c r="T113" s="414">
        <v>0.1</v>
      </c>
      <c r="U113" s="409" t="s">
        <v>62</v>
      </c>
      <c r="V113" s="442">
        <v>0.6</v>
      </c>
      <c r="W113" s="442">
        <v>0.8</v>
      </c>
      <c r="X113" s="448">
        <v>25000</v>
      </c>
      <c r="Y113" s="416" t="s">
        <v>79</v>
      </c>
      <c r="Z113" s="442">
        <v>1</v>
      </c>
      <c r="AA113" s="450">
        <v>40000</v>
      </c>
      <c r="AB113" s="450" t="s">
        <v>65</v>
      </c>
      <c r="AC113" s="446">
        <v>0.05</v>
      </c>
      <c r="AD113" s="446">
        <v>0</v>
      </c>
      <c r="AE113" s="451" t="s">
        <v>66</v>
      </c>
      <c r="AF113" s="448">
        <v>20000</v>
      </c>
      <c r="AG113" s="452">
        <v>7</v>
      </c>
      <c r="AH113" s="452">
        <v>6</v>
      </c>
      <c r="AI113" s="452">
        <v>6</v>
      </c>
      <c r="AJ113" s="451">
        <v>13</v>
      </c>
      <c r="AK113" s="453" t="s">
        <v>67</v>
      </c>
      <c r="AL113" s="454" t="s">
        <v>68</v>
      </c>
      <c r="AM113" s="455" t="s">
        <v>197</v>
      </c>
      <c r="AN113" s="455" t="s">
        <v>198</v>
      </c>
      <c r="AO113" s="314">
        <f t="shared" si="222"/>
        <v>0.691678240740741</v>
      </c>
      <c r="AP113" s="315">
        <f t="shared" si="223"/>
        <v>106</v>
      </c>
      <c r="AQ113" s="316" t="str">
        <f t="shared" si="224"/>
        <v>MICRO</v>
      </c>
    </row>
    <row r="114" ht="29.25" customHeight="1" outlineLevel="1" spans="1:43">
      <c r="B114" s="292">
        <v>0.708344907407407</v>
      </c>
      <c r="C114" s="293" t="str">
        <f t="shared" ref="C114:G114" si="227">TEXT(IF($B114=0," ",$B114-C$6),"hh:mm am/pm")</f>
        <v>15:00 001/p1</v>
      </c>
      <c r="D114" s="293" t="str">
        <f t="shared" si="227"/>
        <v>13:00 001/p1</v>
      </c>
      <c r="E114" s="293" t="str">
        <f t="shared" si="227"/>
        <v>14:00 001/p1</v>
      </c>
      <c r="F114" s="293" t="str">
        <f t="shared" si="227"/>
        <v>15:00 001/p1</v>
      </c>
      <c r="G114" s="293" t="str">
        <f t="shared" si="227"/>
        <v>16:00 001/p1</v>
      </c>
      <c r="H114" s="293" t="str">
        <f t="shared" ref="H114:I114" si="228">TEXT(IF($B114=0," ",$B114+H$6),"hh:mm am/pm")</f>
        <v>23:00 001/p1</v>
      </c>
      <c r="I114" s="293" t="str">
        <f t="shared" si="228"/>
        <v>04:00 001/p1</v>
      </c>
      <c r="J114" s="29"/>
      <c r="K114" s="431"/>
      <c r="L114" s="432" t="s">
        <v>216</v>
      </c>
      <c r="M114" s="441" t="s">
        <v>196</v>
      </c>
      <c r="N114" s="409" t="s">
        <v>57</v>
      </c>
      <c r="O114" s="410" t="s">
        <v>74</v>
      </c>
      <c r="P114" s="411" t="s">
        <v>59</v>
      </c>
      <c r="Q114" s="445">
        <f t="shared" ref="Q114:Q115" si="229">15*6</f>
        <v>90</v>
      </c>
      <c r="R114" s="414" t="s">
        <v>60</v>
      </c>
      <c r="S114" s="413"/>
      <c r="T114" s="414">
        <v>0.1</v>
      </c>
      <c r="U114" s="409" t="s">
        <v>62</v>
      </c>
      <c r="V114" s="442">
        <v>0.6</v>
      </c>
      <c r="W114" s="442">
        <v>0.8</v>
      </c>
      <c r="X114" s="448">
        <v>25000</v>
      </c>
      <c r="Y114" s="416" t="s">
        <v>79</v>
      </c>
      <c r="Z114" s="442">
        <v>1</v>
      </c>
      <c r="AA114" s="450">
        <v>40000</v>
      </c>
      <c r="AB114" s="450" t="s">
        <v>65</v>
      </c>
      <c r="AC114" s="446">
        <v>0.05</v>
      </c>
      <c r="AD114" s="446">
        <v>0</v>
      </c>
      <c r="AE114" s="451" t="s">
        <v>66</v>
      </c>
      <c r="AF114" s="448">
        <v>20000</v>
      </c>
      <c r="AG114" s="452">
        <v>7</v>
      </c>
      <c r="AH114" s="452">
        <v>6</v>
      </c>
      <c r="AI114" s="452">
        <v>6</v>
      </c>
      <c r="AJ114" s="451">
        <v>13</v>
      </c>
      <c r="AK114" s="453" t="s">
        <v>67</v>
      </c>
      <c r="AL114" s="454" t="s">
        <v>68</v>
      </c>
      <c r="AM114" s="455" t="s">
        <v>197</v>
      </c>
      <c r="AN114" s="455" t="s">
        <v>198</v>
      </c>
      <c r="AO114" s="314">
        <f t="shared" si="222"/>
        <v>0.775011574074074</v>
      </c>
      <c r="AP114" s="315">
        <f t="shared" si="223"/>
        <v>158</v>
      </c>
      <c r="AQ114" s="316" t="str">
        <f t="shared" si="224"/>
        <v>MICRO</v>
      </c>
    </row>
    <row r="115" ht="29.25" customHeight="1" outlineLevel="1" spans="1:43">
      <c r="B115" s="292">
        <v>0.791678240740741</v>
      </c>
      <c r="C115" s="293" t="str">
        <f t="shared" ref="C115:G115" si="230">TEXT(IF($B115=0," ",$B115-C$6),"hh:mm am/pm")</f>
        <v>17:00 001/p1</v>
      </c>
      <c r="D115" s="293" t="str">
        <f t="shared" si="230"/>
        <v>15:00 001/p1</v>
      </c>
      <c r="E115" s="293" t="str">
        <f t="shared" si="230"/>
        <v>16:00 001/p1</v>
      </c>
      <c r="F115" s="293" t="str">
        <f t="shared" si="230"/>
        <v>17:00 001/p1</v>
      </c>
      <c r="G115" s="293" t="str">
        <f t="shared" si="230"/>
        <v>18:00 001/p1</v>
      </c>
      <c r="H115" s="293" t="str">
        <f t="shared" ref="H115:I115" si="231">TEXT(IF($B115=0," ",$B115+H$6),"hh:mm am/pm")</f>
        <v>01:00 001/p1</v>
      </c>
      <c r="I115" s="293" t="str">
        <f t="shared" si="231"/>
        <v>06:00 001/p1</v>
      </c>
      <c r="J115" s="124"/>
      <c r="K115" s="406"/>
      <c r="L115" s="407" t="s">
        <v>216</v>
      </c>
      <c r="M115" s="441" t="s">
        <v>196</v>
      </c>
      <c r="N115" s="409" t="s">
        <v>57</v>
      </c>
      <c r="O115" s="410" t="s">
        <v>74</v>
      </c>
      <c r="P115" s="411" t="s">
        <v>59</v>
      </c>
      <c r="Q115" s="445">
        <f t="shared" si="229"/>
        <v>90</v>
      </c>
      <c r="R115" s="414" t="s">
        <v>60</v>
      </c>
      <c r="S115" s="413"/>
      <c r="T115" s="414">
        <v>0.1</v>
      </c>
      <c r="U115" s="409" t="s">
        <v>62</v>
      </c>
      <c r="V115" s="442">
        <v>0.6</v>
      </c>
      <c r="W115" s="442">
        <v>0.8</v>
      </c>
      <c r="X115" s="448">
        <v>25000</v>
      </c>
      <c r="Y115" s="416" t="s">
        <v>79</v>
      </c>
      <c r="Z115" s="442">
        <v>1</v>
      </c>
      <c r="AA115" s="450">
        <v>40000</v>
      </c>
      <c r="AB115" s="450" t="s">
        <v>65</v>
      </c>
      <c r="AC115" s="446">
        <v>0.05</v>
      </c>
      <c r="AD115" s="446">
        <v>0</v>
      </c>
      <c r="AE115" s="451" t="s">
        <v>66</v>
      </c>
      <c r="AF115" s="448">
        <v>20000</v>
      </c>
      <c r="AG115" s="452">
        <v>7</v>
      </c>
      <c r="AH115" s="452">
        <v>6</v>
      </c>
      <c r="AI115" s="452">
        <v>6</v>
      </c>
      <c r="AJ115" s="451">
        <v>13</v>
      </c>
      <c r="AK115" s="453" t="s">
        <v>67</v>
      </c>
      <c r="AL115" s="454" t="s">
        <v>68</v>
      </c>
      <c r="AM115" s="455" t="s">
        <v>197</v>
      </c>
      <c r="AN115" s="455" t="s">
        <v>198</v>
      </c>
      <c r="AO115" s="314">
        <f t="shared" si="222"/>
        <v>0.858344907407407</v>
      </c>
      <c r="AP115" s="315">
        <f t="shared" si="223"/>
        <v>158</v>
      </c>
      <c r="AQ115" s="316" t="str">
        <f t="shared" si="224"/>
        <v>MICRO</v>
      </c>
    </row>
    <row r="116" ht="29.25" customHeight="1" outlineLevel="1" spans="1:43">
      <c r="B116" s="383"/>
      <c r="C116" s="434"/>
      <c r="D116" s="434"/>
      <c r="E116" s="434"/>
      <c r="F116" s="434"/>
      <c r="G116" s="434"/>
      <c r="H116" s="434"/>
      <c r="I116" s="434"/>
      <c r="J116" s="344"/>
      <c r="K116" s="367"/>
      <c r="L116" s="367"/>
      <c r="M116" s="435"/>
      <c r="N116" s="436"/>
      <c r="O116" s="437"/>
      <c r="P116" s="437"/>
      <c r="Q116" s="436"/>
      <c r="R116" s="436"/>
      <c r="S116" s="436"/>
      <c r="T116" s="438"/>
      <c r="U116" s="436"/>
      <c r="V116" s="436"/>
      <c r="W116" s="436"/>
      <c r="X116" s="436"/>
      <c r="Y116" s="366"/>
      <c r="Z116" s="439"/>
      <c r="AA116" s="439"/>
      <c r="AB116" s="439"/>
      <c r="AC116" s="438"/>
      <c r="AD116" s="438"/>
      <c r="AE116" s="366"/>
      <c r="AF116" s="439"/>
      <c r="AG116" s="366"/>
      <c r="AH116" s="366"/>
      <c r="AI116" s="366"/>
      <c r="AJ116" s="366"/>
      <c r="AK116" s="440"/>
      <c r="AL116" s="440"/>
      <c r="AM116" s="440"/>
      <c r="AN116" s="440"/>
      <c r="AO116" s="383"/>
      <c r="AP116" s="374"/>
      <c r="AQ116" s="383"/>
    </row>
    <row r="117" ht="29.25" customHeight="1" outlineLevel="1" spans="1:43">
      <c r="B117" s="292">
        <v>0.833344907407407</v>
      </c>
      <c r="C117" s="293" t="str">
        <f t="shared" ref="C117:G117" si="232">TEXT(IF($B117=0," ",$B117-C$6),"hh:mm am/pm")</f>
        <v>18:00 001/p1</v>
      </c>
      <c r="D117" s="293" t="str">
        <f t="shared" si="232"/>
        <v>16:00 001/p1</v>
      </c>
      <c r="E117" s="293" t="str">
        <f t="shared" si="232"/>
        <v>17:00 001/p1</v>
      </c>
      <c r="F117" s="293" t="str">
        <f t="shared" si="232"/>
        <v>18:00 001/p1</v>
      </c>
      <c r="G117" s="293" t="str">
        <f t="shared" si="232"/>
        <v>19:00 001/p1</v>
      </c>
      <c r="H117" s="293" t="str">
        <f t="shared" ref="H117:I117" si="233">TEXT(IF($B117=0," ",$B117+H$6),"hh:mm am/pm")</f>
        <v>02:00 001/p1</v>
      </c>
      <c r="I117" s="293" t="str">
        <f t="shared" si="233"/>
        <v>07:00 001/p1</v>
      </c>
      <c r="J117" s="405" t="s">
        <v>217</v>
      </c>
      <c r="K117" s="406"/>
      <c r="L117" s="407" t="s">
        <v>218</v>
      </c>
      <c r="M117" s="441" t="s">
        <v>196</v>
      </c>
      <c r="N117" s="388" t="s">
        <v>57</v>
      </c>
      <c r="O117" s="389" t="s">
        <v>74</v>
      </c>
      <c r="P117" s="390" t="s">
        <v>59</v>
      </c>
      <c r="Q117" s="391">
        <f>200*2</f>
        <v>400</v>
      </c>
      <c r="R117" s="394" t="s">
        <v>60</v>
      </c>
      <c r="S117" s="456"/>
      <c r="T117" s="394">
        <v>0.1</v>
      </c>
      <c r="U117" s="388" t="s">
        <v>62</v>
      </c>
      <c r="V117" s="442">
        <v>2</v>
      </c>
      <c r="W117" s="388">
        <v>3</v>
      </c>
      <c r="X117" s="399">
        <v>50000</v>
      </c>
      <c r="Y117" s="396" t="s">
        <v>79</v>
      </c>
      <c r="Z117" s="388">
        <v>6</v>
      </c>
      <c r="AA117" s="397">
        <v>120000</v>
      </c>
      <c r="AB117" s="397" t="s">
        <v>65</v>
      </c>
      <c r="AC117" s="394">
        <v>0.05</v>
      </c>
      <c r="AD117" s="394">
        <v>0</v>
      </c>
      <c r="AE117" s="392" t="s">
        <v>66</v>
      </c>
      <c r="AF117" s="399">
        <v>40000</v>
      </c>
      <c r="AG117" s="400">
        <v>8</v>
      </c>
      <c r="AH117" s="400">
        <v>6</v>
      </c>
      <c r="AI117" s="400">
        <v>6</v>
      </c>
      <c r="AJ117" s="392">
        <v>15</v>
      </c>
      <c r="AK117" s="457" t="s">
        <v>67</v>
      </c>
      <c r="AL117" s="402" t="s">
        <v>68</v>
      </c>
      <c r="AM117" s="403" t="s">
        <v>197</v>
      </c>
      <c r="AN117" s="403" t="s">
        <v>198</v>
      </c>
      <c r="AO117" s="314">
        <f>IF(B117=0," ",TIME(,ROUNDDOWN(AG117*AJ117/60,0)*5+(AG117*AJ117),)+B117)</f>
        <v>0.923622685185185</v>
      </c>
      <c r="AP117" s="315">
        <f>IF(Q117=0,,ROUNDUP(Q117/(V117*(1-AC117-AD117)),0))</f>
        <v>211</v>
      </c>
      <c r="AQ117" s="316" t="str">
        <f>IFERROR(IF(V117=0," ",IF(V117&lt;=5,"MICRO",IF(V117&lt;=19.8,"LOW",IF(V117&lt;=99.8,"MEDIUM",IF(V117&lt;=500,"HIGH",IF(V117&gt;500,"SUPER HIGH",)))))),"")</f>
        <v>MICRO</v>
      </c>
    </row>
    <row r="118" ht="29.25" customHeight="1" outlineLevel="1" spans="1:43">
      <c r="B118" s="383"/>
      <c r="C118" s="434"/>
      <c r="D118" s="434"/>
      <c r="E118" s="434"/>
      <c r="F118" s="434"/>
      <c r="G118" s="434"/>
      <c r="H118" s="434"/>
      <c r="I118" s="434"/>
      <c r="J118" s="344"/>
      <c r="K118" s="367"/>
      <c r="L118" s="367"/>
      <c r="M118" s="435"/>
      <c r="N118" s="436"/>
      <c r="O118" s="437"/>
      <c r="P118" s="437"/>
      <c r="Q118" s="436"/>
      <c r="R118" s="436"/>
      <c r="S118" s="436"/>
      <c r="T118" s="438"/>
      <c r="U118" s="436"/>
      <c r="V118" s="436"/>
      <c r="W118" s="436"/>
      <c r="X118" s="436"/>
      <c r="Y118" s="366"/>
      <c r="Z118" s="439"/>
      <c r="AA118" s="439"/>
      <c r="AB118" s="439"/>
      <c r="AC118" s="438"/>
      <c r="AD118" s="438"/>
      <c r="AE118" s="366"/>
      <c r="AF118" s="439"/>
      <c r="AG118" s="366"/>
      <c r="AH118" s="366"/>
      <c r="AI118" s="366"/>
      <c r="AJ118" s="366"/>
      <c r="AK118" s="440"/>
      <c r="AL118" s="440"/>
      <c r="AM118" s="440"/>
      <c r="AN118" s="440"/>
      <c r="AO118" s="383"/>
      <c r="AP118" s="374"/>
      <c r="AQ118" s="383"/>
    </row>
    <row r="119" ht="29.25" customHeight="1" outlineLevel="1" spans="1:43">
      <c r="A119" s="363" t="s">
        <v>53</v>
      </c>
      <c r="B119" s="292">
        <v>0.375011574074074</v>
      </c>
      <c r="C119" s="293" t="str">
        <f t="shared" ref="C119:G119" si="234">TEXT(IF($B119=0," ",$B119-C$6),"hh:mm am/pm")</f>
        <v>07:00 001/p1</v>
      </c>
      <c r="D119" s="293" t="str">
        <f t="shared" si="234"/>
        <v>05:00 001/p1</v>
      </c>
      <c r="E119" s="293" t="str">
        <f t="shared" si="234"/>
        <v>06:00 001/p1</v>
      </c>
      <c r="F119" s="293" t="str">
        <f t="shared" si="234"/>
        <v>07:00 001/p1</v>
      </c>
      <c r="G119" s="293" t="str">
        <f t="shared" si="234"/>
        <v>08:00 001/p1</v>
      </c>
      <c r="H119" s="293" t="str">
        <f t="shared" ref="H119:I119" si="235">TEXT(IF($B119=0," ",$B119+H$6),"hh:mm am/pm")</f>
        <v>15:00 001/p1</v>
      </c>
      <c r="I119" s="293" t="str">
        <f t="shared" si="235"/>
        <v>20:00 001/p1</v>
      </c>
      <c r="J119" s="423" t="s">
        <v>219</v>
      </c>
      <c r="K119" s="424"/>
      <c r="L119" s="425" t="s">
        <v>220</v>
      </c>
      <c r="M119" s="387" t="s">
        <v>196</v>
      </c>
      <c r="N119" s="442" t="s">
        <v>57</v>
      </c>
      <c r="O119" s="443" t="s">
        <v>74</v>
      </c>
      <c r="P119" s="444" t="s">
        <v>59</v>
      </c>
      <c r="Q119" s="445">
        <f t="shared" ref="Q119:Q120" si="236">30*2</f>
        <v>60</v>
      </c>
      <c r="R119" s="446" t="s">
        <v>60</v>
      </c>
      <c r="S119" s="447"/>
      <c r="T119" s="446">
        <v>0.1</v>
      </c>
      <c r="U119" s="442" t="s">
        <v>62</v>
      </c>
      <c r="V119" s="442">
        <v>0.2</v>
      </c>
      <c r="W119" s="442">
        <v>0.8</v>
      </c>
      <c r="X119" s="448">
        <v>25000</v>
      </c>
      <c r="Y119" s="449" t="s">
        <v>79</v>
      </c>
      <c r="Z119" s="442">
        <v>2</v>
      </c>
      <c r="AA119" s="450">
        <v>50000</v>
      </c>
      <c r="AB119" s="450" t="s">
        <v>65</v>
      </c>
      <c r="AC119" s="446">
        <v>0.05</v>
      </c>
      <c r="AD119" s="446">
        <v>0</v>
      </c>
      <c r="AE119" s="451" t="s">
        <v>66</v>
      </c>
      <c r="AF119" s="448">
        <v>20000</v>
      </c>
      <c r="AG119" s="452">
        <v>7</v>
      </c>
      <c r="AH119" s="452">
        <v>6</v>
      </c>
      <c r="AI119" s="452">
        <v>6</v>
      </c>
      <c r="AJ119" s="451">
        <v>13</v>
      </c>
      <c r="AK119" s="453" t="s">
        <v>67</v>
      </c>
      <c r="AL119" s="454" t="s">
        <v>68</v>
      </c>
      <c r="AM119" s="455" t="s">
        <v>197</v>
      </c>
      <c r="AN119" s="455" t="s">
        <v>170</v>
      </c>
      <c r="AO119" s="314">
        <f t="shared" ref="AO119:AO125" si="237">IF(B119=0," ",TIME(,ROUNDDOWN(AG119*AJ119/60,0)*5+(AG119*AJ119),)+B119)</f>
        <v>0.441678240740741</v>
      </c>
      <c r="AP119" s="315">
        <f t="shared" ref="AP119:AP125" si="238">IF(Q119=0,,ROUNDUP(Q119/(V119*(1-AC119-AD119)),0))</f>
        <v>316</v>
      </c>
      <c r="AQ119" s="316" t="str">
        <f t="shared" ref="AQ119:AQ125" si="239">IFERROR(IF(V119=0," ",IF(V119&lt;=5,"MICRO",IF(V119&lt;=19.8,"LOW",IF(V119&lt;=99.8,"MEDIUM",IF(V119&lt;=500,"HIGH",IF(V119&gt;500,"SUPER HIGH",)))))),"")</f>
        <v>MICRO</v>
      </c>
    </row>
    <row r="120" ht="29.25" customHeight="1" outlineLevel="1" spans="1:43">
      <c r="B120" s="292">
        <v>0.458344907407407</v>
      </c>
      <c r="C120" s="293" t="str">
        <f t="shared" ref="C120:G120" si="240">TEXT(IF($B120=0," ",$B120-C$6),"hh:mm am/pm")</f>
        <v>09:00 001/p1</v>
      </c>
      <c r="D120" s="293" t="str">
        <f t="shared" si="240"/>
        <v>07:00 001/p1</v>
      </c>
      <c r="E120" s="293" t="str">
        <f t="shared" si="240"/>
        <v>08:00 001/p1</v>
      </c>
      <c r="F120" s="293" t="str">
        <f t="shared" si="240"/>
        <v>09:00 001/p1</v>
      </c>
      <c r="G120" s="293" t="str">
        <f t="shared" si="240"/>
        <v>10:00 001/p1</v>
      </c>
      <c r="H120" s="293" t="str">
        <f t="shared" ref="H120:I120" si="241">TEXT(IF($B120=0," ",$B120+H$6),"hh:mm am/pm")</f>
        <v>17:00 001/p1</v>
      </c>
      <c r="I120" s="293" t="str">
        <f t="shared" si="241"/>
        <v>22:00 001/p1</v>
      </c>
      <c r="J120" s="29"/>
      <c r="K120" s="431"/>
      <c r="L120" s="432" t="s">
        <v>220</v>
      </c>
      <c r="M120" s="387" t="s">
        <v>196</v>
      </c>
      <c r="N120" s="442" t="s">
        <v>57</v>
      </c>
      <c r="O120" s="443" t="s">
        <v>74</v>
      </c>
      <c r="P120" s="444" t="s">
        <v>59</v>
      </c>
      <c r="Q120" s="445">
        <f t="shared" si="236"/>
        <v>60</v>
      </c>
      <c r="R120" s="446" t="s">
        <v>60</v>
      </c>
      <c r="S120" s="447"/>
      <c r="T120" s="446">
        <v>0.1</v>
      </c>
      <c r="U120" s="442" t="s">
        <v>62</v>
      </c>
      <c r="V120" s="442">
        <v>0.2</v>
      </c>
      <c r="W120" s="442">
        <v>0.8</v>
      </c>
      <c r="X120" s="448">
        <v>25000</v>
      </c>
      <c r="Y120" s="449" t="s">
        <v>79</v>
      </c>
      <c r="Z120" s="442">
        <v>2</v>
      </c>
      <c r="AA120" s="450">
        <v>50000</v>
      </c>
      <c r="AB120" s="450" t="s">
        <v>65</v>
      </c>
      <c r="AC120" s="446">
        <v>0.05</v>
      </c>
      <c r="AD120" s="446">
        <v>0</v>
      </c>
      <c r="AE120" s="451" t="s">
        <v>66</v>
      </c>
      <c r="AF120" s="448">
        <v>20000</v>
      </c>
      <c r="AG120" s="452">
        <v>7</v>
      </c>
      <c r="AH120" s="452">
        <v>6</v>
      </c>
      <c r="AI120" s="452">
        <v>6</v>
      </c>
      <c r="AJ120" s="451">
        <v>13</v>
      </c>
      <c r="AK120" s="453" t="s">
        <v>67</v>
      </c>
      <c r="AL120" s="454" t="s">
        <v>68</v>
      </c>
      <c r="AM120" s="455" t="s">
        <v>197</v>
      </c>
      <c r="AN120" s="455" t="s">
        <v>170</v>
      </c>
      <c r="AO120" s="314">
        <f t="shared" si="237"/>
        <v>0.525011574074074</v>
      </c>
      <c r="AP120" s="315">
        <f t="shared" si="238"/>
        <v>316</v>
      </c>
      <c r="AQ120" s="316" t="str">
        <f t="shared" si="239"/>
        <v>MICRO</v>
      </c>
    </row>
    <row r="121" ht="29.25" customHeight="1" outlineLevel="1" spans="1:43">
      <c r="B121" s="317">
        <v>0.541678240740741</v>
      </c>
      <c r="C121" s="293" t="str">
        <f t="shared" ref="C121:G121" si="242">TEXT(IF($B121=0," ",$B121-C$6),"hh:mm am/pm")</f>
        <v>11:00 001/p1</v>
      </c>
      <c r="D121" s="293" t="str">
        <f t="shared" si="242"/>
        <v>09:00 001/p1</v>
      </c>
      <c r="E121" s="293" t="str">
        <f t="shared" si="242"/>
        <v>10:00 001/p1</v>
      </c>
      <c r="F121" s="293" t="str">
        <f t="shared" si="242"/>
        <v>11:00 001/p1</v>
      </c>
      <c r="G121" s="293" t="str">
        <f t="shared" si="242"/>
        <v>12:00 001/p1</v>
      </c>
      <c r="H121" s="293" t="str">
        <f t="shared" ref="H121:I121" si="243">TEXT(IF($B121=0," ",$B121+H$6),"hh:mm am/pm")</f>
        <v>19:00 001/p1</v>
      </c>
      <c r="I121" s="293" t="str">
        <f t="shared" si="243"/>
        <v>00:00 001/p1</v>
      </c>
      <c r="J121" s="29"/>
      <c r="K121" s="431"/>
      <c r="L121" s="432" t="s">
        <v>221</v>
      </c>
      <c r="M121" s="387" t="s">
        <v>196</v>
      </c>
      <c r="N121" s="442" t="s">
        <v>57</v>
      </c>
      <c r="O121" s="443" t="s">
        <v>74</v>
      </c>
      <c r="P121" s="444" t="s">
        <v>59</v>
      </c>
      <c r="Q121" s="445">
        <f>30*3</f>
        <v>90</v>
      </c>
      <c r="R121" s="414" t="s">
        <v>60</v>
      </c>
      <c r="S121" s="413"/>
      <c r="T121" s="414">
        <v>0.1</v>
      </c>
      <c r="U121" s="409" t="s">
        <v>62</v>
      </c>
      <c r="V121" s="442">
        <v>0.6</v>
      </c>
      <c r="W121" s="442">
        <v>1</v>
      </c>
      <c r="X121" s="415"/>
      <c r="Y121" s="416" t="s">
        <v>79</v>
      </c>
      <c r="Z121" s="442">
        <v>2</v>
      </c>
      <c r="AA121" s="417">
        <v>50000</v>
      </c>
      <c r="AB121" s="417" t="s">
        <v>65</v>
      </c>
      <c r="AC121" s="414">
        <v>0.05</v>
      </c>
      <c r="AD121" s="414">
        <v>0</v>
      </c>
      <c r="AE121" s="418" t="s">
        <v>66</v>
      </c>
      <c r="AF121" s="419">
        <v>30000</v>
      </c>
      <c r="AG121" s="420">
        <v>7</v>
      </c>
      <c r="AH121" s="452">
        <v>6</v>
      </c>
      <c r="AI121" s="452">
        <v>6</v>
      </c>
      <c r="AJ121" s="418">
        <v>13</v>
      </c>
      <c r="AK121" s="421" t="s">
        <v>67</v>
      </c>
      <c r="AL121" s="428" t="s">
        <v>68</v>
      </c>
      <c r="AM121" s="422" t="s">
        <v>197</v>
      </c>
      <c r="AN121" s="422" t="s">
        <v>170</v>
      </c>
      <c r="AO121" s="314">
        <f t="shared" si="237"/>
        <v>0.608344907407407</v>
      </c>
      <c r="AP121" s="315">
        <f t="shared" si="238"/>
        <v>158</v>
      </c>
      <c r="AQ121" s="316" t="str">
        <f t="shared" si="239"/>
        <v>MICRO</v>
      </c>
    </row>
    <row r="122" ht="29.25" customHeight="1" outlineLevel="1" spans="1:43">
      <c r="B122" s="317">
        <v>0.625011574074074</v>
      </c>
      <c r="C122" s="293" t="str">
        <f t="shared" ref="C122:G122" si="244">TEXT(IF($B122=0," ",$B122-C$6),"hh:mm am/pm")</f>
        <v>13:00 001/p1</v>
      </c>
      <c r="D122" s="293" t="str">
        <f t="shared" si="244"/>
        <v>11:00 001/p1</v>
      </c>
      <c r="E122" s="293" t="str">
        <f t="shared" si="244"/>
        <v>12:00 001/p1</v>
      </c>
      <c r="F122" s="293" t="str">
        <f t="shared" si="244"/>
        <v>13:00 001/p1</v>
      </c>
      <c r="G122" s="293" t="str">
        <f t="shared" si="244"/>
        <v>14:00 001/p1</v>
      </c>
      <c r="H122" s="293" t="str">
        <f t="shared" ref="H122:I122" si="245">TEXT(IF($B122=0," ",$B122+H$6),"hh:mm am/pm")</f>
        <v>21:00 001/p1</v>
      </c>
      <c r="I122" s="293" t="str">
        <f t="shared" si="245"/>
        <v>02:00 001/p1</v>
      </c>
      <c r="J122" s="29"/>
      <c r="K122" s="431"/>
      <c r="L122" s="432" t="s">
        <v>222</v>
      </c>
      <c r="M122" s="387" t="s">
        <v>196</v>
      </c>
      <c r="N122" s="442" t="s">
        <v>57</v>
      </c>
      <c r="O122" s="443" t="s">
        <v>74</v>
      </c>
      <c r="P122" s="444" t="s">
        <v>59</v>
      </c>
      <c r="Q122" s="445">
        <f t="shared" ref="Q122:Q123" si="246">30*4</f>
        <v>120</v>
      </c>
      <c r="R122" s="414" t="s">
        <v>60</v>
      </c>
      <c r="S122" s="413"/>
      <c r="T122" s="414">
        <v>0.1</v>
      </c>
      <c r="U122" s="409" t="s">
        <v>62</v>
      </c>
      <c r="V122" s="442">
        <v>0.6</v>
      </c>
      <c r="W122" s="442">
        <v>1</v>
      </c>
      <c r="X122" s="415"/>
      <c r="Y122" s="416" t="s">
        <v>79</v>
      </c>
      <c r="Z122" s="442">
        <v>2</v>
      </c>
      <c r="AA122" s="417">
        <v>50000</v>
      </c>
      <c r="AB122" s="417" t="s">
        <v>65</v>
      </c>
      <c r="AC122" s="414">
        <v>0.05</v>
      </c>
      <c r="AD122" s="414">
        <v>0</v>
      </c>
      <c r="AE122" s="418" t="s">
        <v>66</v>
      </c>
      <c r="AF122" s="419">
        <v>30000</v>
      </c>
      <c r="AG122" s="420">
        <v>7</v>
      </c>
      <c r="AH122" s="452">
        <v>6</v>
      </c>
      <c r="AI122" s="452">
        <v>6</v>
      </c>
      <c r="AJ122" s="418">
        <v>13</v>
      </c>
      <c r="AK122" s="421" t="s">
        <v>67</v>
      </c>
      <c r="AL122" s="428" t="s">
        <v>68</v>
      </c>
      <c r="AM122" s="422" t="s">
        <v>197</v>
      </c>
      <c r="AN122" s="422" t="s">
        <v>170</v>
      </c>
      <c r="AO122" s="314">
        <f t="shared" si="237"/>
        <v>0.691678240740741</v>
      </c>
      <c r="AP122" s="315">
        <f t="shared" si="238"/>
        <v>211</v>
      </c>
      <c r="AQ122" s="316" t="str">
        <f t="shared" si="239"/>
        <v>MICRO</v>
      </c>
    </row>
    <row r="123" ht="29.25" customHeight="1" outlineLevel="1" spans="1:43">
      <c r="A123" s="363" t="s">
        <v>53</v>
      </c>
      <c r="B123" s="317">
        <v>0.708344907407407</v>
      </c>
      <c r="C123" s="293" t="str">
        <f t="shared" ref="C123:G123" si="247">TEXT(IF($B123=0," ",$B123-C$6),"hh:mm am/pm")</f>
        <v>15:00 001/p1</v>
      </c>
      <c r="D123" s="293" t="str">
        <f t="shared" si="247"/>
        <v>13:00 001/p1</v>
      </c>
      <c r="E123" s="293" t="str">
        <f t="shared" si="247"/>
        <v>14:00 001/p1</v>
      </c>
      <c r="F123" s="293" t="str">
        <f t="shared" si="247"/>
        <v>15:00 001/p1</v>
      </c>
      <c r="G123" s="293" t="str">
        <f t="shared" si="247"/>
        <v>16:00 001/p1</v>
      </c>
      <c r="H123" s="293" t="str">
        <f t="shared" ref="H123:I123" si="248">TEXT(IF($B123=0," ",$B123+H$6),"hh:mm am/pm")</f>
        <v>23:00 001/p1</v>
      </c>
      <c r="I123" s="293" t="str">
        <f t="shared" si="248"/>
        <v>04:00 001/p1</v>
      </c>
      <c r="J123" s="29"/>
      <c r="K123" s="431"/>
      <c r="L123" s="432" t="s">
        <v>222</v>
      </c>
      <c r="M123" s="387" t="s">
        <v>196</v>
      </c>
      <c r="N123" s="442" t="s">
        <v>57</v>
      </c>
      <c r="O123" s="443" t="s">
        <v>74</v>
      </c>
      <c r="P123" s="444" t="s">
        <v>59</v>
      </c>
      <c r="Q123" s="445">
        <f t="shared" si="246"/>
        <v>120</v>
      </c>
      <c r="R123" s="414" t="s">
        <v>60</v>
      </c>
      <c r="S123" s="413"/>
      <c r="T123" s="414">
        <v>0.1</v>
      </c>
      <c r="U123" s="409" t="s">
        <v>62</v>
      </c>
      <c r="V123" s="442">
        <v>0.6</v>
      </c>
      <c r="W123" s="442">
        <v>1</v>
      </c>
      <c r="X123" s="415"/>
      <c r="Y123" s="416" t="s">
        <v>79</v>
      </c>
      <c r="Z123" s="442">
        <v>2</v>
      </c>
      <c r="AA123" s="417">
        <v>50000</v>
      </c>
      <c r="AB123" s="417" t="s">
        <v>65</v>
      </c>
      <c r="AC123" s="414">
        <v>0.05</v>
      </c>
      <c r="AD123" s="414">
        <v>0</v>
      </c>
      <c r="AE123" s="418" t="s">
        <v>66</v>
      </c>
      <c r="AF123" s="419">
        <v>30000</v>
      </c>
      <c r="AG123" s="420">
        <v>7</v>
      </c>
      <c r="AH123" s="452">
        <v>6</v>
      </c>
      <c r="AI123" s="452">
        <v>6</v>
      </c>
      <c r="AJ123" s="418">
        <v>13</v>
      </c>
      <c r="AK123" s="421" t="s">
        <v>67</v>
      </c>
      <c r="AL123" s="428" t="s">
        <v>68</v>
      </c>
      <c r="AM123" s="422" t="s">
        <v>197</v>
      </c>
      <c r="AN123" s="422" t="s">
        <v>170</v>
      </c>
      <c r="AO123" s="314">
        <f t="shared" si="237"/>
        <v>0.775011574074074</v>
      </c>
      <c r="AP123" s="315">
        <f t="shared" si="238"/>
        <v>211</v>
      </c>
      <c r="AQ123" s="316" t="str">
        <f t="shared" si="239"/>
        <v>MICRO</v>
      </c>
    </row>
    <row r="124" ht="29.25" customHeight="1" outlineLevel="1" spans="1:43">
      <c r="B124" s="317">
        <v>0.833344907407407</v>
      </c>
      <c r="C124" s="293" t="str">
        <f t="shared" ref="C124:G124" si="249">TEXT(IF($B124=0," ",$B124-C$6),"hh:mm am/pm")</f>
        <v>18:00 001/p1</v>
      </c>
      <c r="D124" s="293" t="str">
        <f t="shared" si="249"/>
        <v>16:00 001/p1</v>
      </c>
      <c r="E124" s="293" t="str">
        <f t="shared" si="249"/>
        <v>17:00 001/p1</v>
      </c>
      <c r="F124" s="293" t="str">
        <f t="shared" si="249"/>
        <v>18:00 001/p1</v>
      </c>
      <c r="G124" s="293" t="str">
        <f t="shared" si="249"/>
        <v>19:00 001/p1</v>
      </c>
      <c r="H124" s="293" t="str">
        <f t="shared" ref="H124:I124" si="250">TEXT(IF($B124=0," ",$B124+H$6),"hh:mm am/pm")</f>
        <v>02:00 001/p1</v>
      </c>
      <c r="I124" s="293" t="str">
        <f t="shared" si="250"/>
        <v>07:00 001/p1</v>
      </c>
      <c r="J124" s="124"/>
      <c r="K124" s="406"/>
      <c r="L124" s="407" t="s">
        <v>223</v>
      </c>
      <c r="M124" s="387" t="s">
        <v>196</v>
      </c>
      <c r="N124" s="442" t="s">
        <v>57</v>
      </c>
      <c r="O124" s="443" t="s">
        <v>74</v>
      </c>
      <c r="P124" s="444" t="s">
        <v>59</v>
      </c>
      <c r="Q124" s="445">
        <f>30*5</f>
        <v>150</v>
      </c>
      <c r="R124" s="414" t="s">
        <v>60</v>
      </c>
      <c r="S124" s="413"/>
      <c r="T124" s="414">
        <v>0.1</v>
      </c>
      <c r="U124" s="409" t="s">
        <v>62</v>
      </c>
      <c r="V124" s="442">
        <v>1</v>
      </c>
      <c r="W124" s="442">
        <v>1</v>
      </c>
      <c r="X124" s="419">
        <v>40000</v>
      </c>
      <c r="Y124" s="416" t="s">
        <v>79</v>
      </c>
      <c r="Z124" s="442">
        <v>2</v>
      </c>
      <c r="AA124" s="417">
        <v>60000</v>
      </c>
      <c r="AB124" s="417" t="s">
        <v>65</v>
      </c>
      <c r="AC124" s="414">
        <v>0.05</v>
      </c>
      <c r="AD124" s="414">
        <v>0</v>
      </c>
      <c r="AE124" s="418" t="s">
        <v>66</v>
      </c>
      <c r="AF124" s="419">
        <v>30000</v>
      </c>
      <c r="AG124" s="420">
        <v>7</v>
      </c>
      <c r="AH124" s="452">
        <v>6</v>
      </c>
      <c r="AI124" s="452">
        <v>6</v>
      </c>
      <c r="AJ124" s="418">
        <v>13</v>
      </c>
      <c r="AK124" s="421" t="s">
        <v>67</v>
      </c>
      <c r="AL124" s="428" t="s">
        <v>68</v>
      </c>
      <c r="AM124" s="422" t="s">
        <v>197</v>
      </c>
      <c r="AN124" s="422" t="s">
        <v>170</v>
      </c>
      <c r="AO124" s="314">
        <f t="shared" si="237"/>
        <v>0.900011574074074</v>
      </c>
      <c r="AP124" s="315">
        <f t="shared" si="238"/>
        <v>158</v>
      </c>
      <c r="AQ124" s="316" t="str">
        <f t="shared" si="239"/>
        <v>MICRO</v>
      </c>
    </row>
    <row r="125" ht="29.25" customHeight="1" outlineLevel="1" spans="1:43">
      <c r="A125" s="363"/>
      <c r="B125" s="383"/>
      <c r="C125" s="293" t="str">
        <f t="shared" ref="C125:G125" si="251">TEXT(IF($B125=0," ",$B125-C$6),"hh:mm am/pm")</f>
        <v> </v>
      </c>
      <c r="D125" s="293" t="str">
        <f t="shared" si="251"/>
        <v> </v>
      </c>
      <c r="E125" s="293" t="str">
        <f t="shared" si="251"/>
        <v> </v>
      </c>
      <c r="F125" s="293" t="str">
        <f t="shared" si="251"/>
        <v> </v>
      </c>
      <c r="G125" s="293" t="str">
        <f t="shared" si="251"/>
        <v> </v>
      </c>
      <c r="H125" s="293" t="str">
        <f t="shared" ref="H125:I125" si="252">TEXT(IF($B125=0," ",$B125+H$6),"hh:mm am/pm")</f>
        <v> </v>
      </c>
      <c r="I125" s="293" t="str">
        <f t="shared" si="252"/>
        <v> </v>
      </c>
      <c r="J125" s="436"/>
      <c r="K125" s="381"/>
      <c r="L125" s="366"/>
      <c r="M125" s="435"/>
      <c r="N125" s="436"/>
      <c r="O125" s="437"/>
      <c r="P125" s="437"/>
      <c r="Q125" s="436"/>
      <c r="R125" s="436"/>
      <c r="S125" s="436"/>
      <c r="T125" s="438"/>
      <c r="U125" s="436"/>
      <c r="V125" s="436"/>
      <c r="W125" s="436"/>
      <c r="X125" s="436"/>
      <c r="Y125" s="366"/>
      <c r="Z125" s="439"/>
      <c r="AA125" s="439"/>
      <c r="AB125" s="439"/>
      <c r="AC125" s="438"/>
      <c r="AD125" s="438"/>
      <c r="AE125" s="366"/>
      <c r="AF125" s="439"/>
      <c r="AG125" s="366"/>
      <c r="AH125" s="366"/>
      <c r="AI125" s="366"/>
      <c r="AJ125" s="366"/>
      <c r="AK125" s="440"/>
      <c r="AL125" s="440"/>
      <c r="AM125" s="440"/>
      <c r="AN125" s="440"/>
      <c r="AO125" s="314" t="str">
        <f t="shared" si="237"/>
        <v> </v>
      </c>
      <c r="AP125" s="374">
        <f t="shared" si="238"/>
        <v>0</v>
      </c>
      <c r="AQ125" s="316" t="str">
        <f t="shared" si="239"/>
        <v> </v>
      </c>
    </row>
    <row r="126" ht="24" customHeight="1" spans="1:43">
      <c r="A126" s="458" t="s">
        <v>224</v>
      </c>
      <c r="C126" s="459"/>
      <c r="D126" s="459"/>
      <c r="E126" s="459"/>
      <c r="F126" s="459"/>
      <c r="G126" s="459"/>
      <c r="H126" s="459"/>
      <c r="I126" s="460"/>
      <c r="J126" s="460" t="s">
        <v>224</v>
      </c>
      <c r="K126" s="380"/>
      <c r="L126" s="380" t="s">
        <v>224</v>
      </c>
      <c r="O126" s="461"/>
      <c r="P126" s="462"/>
      <c r="Q126" s="461" t="s">
        <v>224</v>
      </c>
      <c r="R126" s="462"/>
      <c r="S126" s="462"/>
      <c r="T126" s="462"/>
      <c r="U126" s="462"/>
      <c r="V126" s="461" t="s">
        <v>224</v>
      </c>
      <c r="W126" s="462"/>
      <c r="X126" s="462"/>
      <c r="Y126" s="462"/>
      <c r="Z126" s="462"/>
      <c r="AA126" s="462"/>
      <c r="AB126" s="462"/>
      <c r="AC126" s="462"/>
      <c r="AD126" s="461"/>
      <c r="AE126" s="461" t="s">
        <v>224</v>
      </c>
      <c r="AF126" s="461"/>
      <c r="AG126" s="461"/>
      <c r="AH126" s="461"/>
      <c r="AI126" s="461"/>
      <c r="AJ126" s="461" t="s">
        <v>224</v>
      </c>
      <c r="AK126" s="462"/>
      <c r="AL126" s="462"/>
      <c r="AM126" s="314"/>
      <c r="AN126" s="314"/>
      <c r="AO126" s="314"/>
      <c r="AP126" s="463"/>
      <c r="AQ126" s="464"/>
    </row>
    <row r="127" ht="29.25" customHeight="1" outlineLevel="1" spans="1:43">
      <c r="A127" s="291" t="s">
        <v>224</v>
      </c>
      <c r="B127" s="292">
        <v>0.458344907407407</v>
      </c>
      <c r="C127" s="293" t="str">
        <f t="shared" ref="C127:G127" si="253">TEXT(IF($B127=0," ",$B127-C$6),"hh:mm am/pm")</f>
        <v>09:00 001/p1</v>
      </c>
      <c r="D127" s="293" t="str">
        <f t="shared" si="253"/>
        <v>07:00 001/p1</v>
      </c>
      <c r="E127" s="293" t="str">
        <f t="shared" si="253"/>
        <v>08:00 001/p1</v>
      </c>
      <c r="F127" s="293" t="str">
        <f t="shared" si="253"/>
        <v>09:00 001/p1</v>
      </c>
      <c r="G127" s="293" t="str">
        <f t="shared" si="253"/>
        <v>10:00 001/p1</v>
      </c>
      <c r="H127" s="293" t="str">
        <f t="shared" ref="H127:I127" si="254">TEXT(IF($B127=0," ",$B127+H$6),"hh:mm am/pm")</f>
        <v>17:00 001/p1</v>
      </c>
      <c r="I127" s="293" t="str">
        <f t="shared" si="254"/>
        <v>22:00 001/p1</v>
      </c>
      <c r="J127" s="318" t="s">
        <v>225</v>
      </c>
      <c r="K127" s="295"/>
      <c r="L127" s="296" t="s">
        <v>73</v>
      </c>
      <c r="M127" s="297" t="s">
        <v>56</v>
      </c>
      <c r="N127" s="298" t="s">
        <v>57</v>
      </c>
      <c r="O127" s="299" t="s">
        <v>74</v>
      </c>
      <c r="P127" s="300" t="s">
        <v>59</v>
      </c>
      <c r="Q127" s="301">
        <v>6200</v>
      </c>
      <c r="R127" s="325" t="s">
        <v>76</v>
      </c>
      <c r="S127" s="303"/>
      <c r="T127" s="304" t="s">
        <v>77</v>
      </c>
      <c r="U127" s="298" t="s">
        <v>78</v>
      </c>
      <c r="V127" s="298">
        <v>7</v>
      </c>
      <c r="W127" s="298">
        <v>7</v>
      </c>
      <c r="X127" s="305"/>
      <c r="Y127" s="306" t="s">
        <v>79</v>
      </c>
      <c r="Z127" s="298">
        <v>7</v>
      </c>
      <c r="AA127" s="307">
        <v>200000</v>
      </c>
      <c r="AB127" s="307" t="s">
        <v>65</v>
      </c>
      <c r="AC127" s="308">
        <v>0.1</v>
      </c>
      <c r="AD127" s="308">
        <v>0.02</v>
      </c>
      <c r="AE127" s="465" t="s">
        <v>88</v>
      </c>
      <c r="AF127" s="309">
        <v>50000</v>
      </c>
      <c r="AG127" s="310">
        <v>10</v>
      </c>
      <c r="AH127" s="310">
        <v>10</v>
      </c>
      <c r="AI127" s="310">
        <v>10</v>
      </c>
      <c r="AJ127" s="304">
        <v>14</v>
      </c>
      <c r="AK127" s="311" t="s">
        <v>67</v>
      </c>
      <c r="AL127" s="312" t="s">
        <v>68</v>
      </c>
      <c r="AM127" s="313" t="s">
        <v>69</v>
      </c>
      <c r="AN127" s="313" t="s">
        <v>70</v>
      </c>
      <c r="AO127" s="314">
        <f t="shared" ref="AO127:AO191" si="255">IF(B127=0," ",TIME(,ROUNDDOWN(AG127*AJ127/60,0)*5+(AG127*AJ127),)+B127)</f>
        <v>0.562511574074074</v>
      </c>
      <c r="AP127" s="315">
        <f t="shared" ref="AP127:AP191" si="256">IF(Q127=0,,ROUNDUP(Q127/(V127*(1-AC127-AD127)),0))</f>
        <v>1007</v>
      </c>
      <c r="AQ127" s="316" t="str">
        <f t="shared" ref="AQ127:AQ191" si="257">IFERROR(IF(V127=0," ",IF(V127&lt;=5,"MICRO",IF(V127&lt;=19.8,"LOW",IF(V127&lt;=99.8,"MEDIUM",IF(V127&lt;=500,"HIGH",IF(V127&gt;500,"SUPER HIGH",)))))),"")</f>
        <v>LOW</v>
      </c>
    </row>
    <row r="128" ht="29.25" customHeight="1" outlineLevel="1" spans="1:43">
      <c r="A128" s="291" t="s">
        <v>71</v>
      </c>
      <c r="B128" s="317">
        <v>0.583344907407407</v>
      </c>
      <c r="C128" s="293" t="str">
        <f t="shared" ref="C128:G128" si="258">TEXT(IF($B128=0," ",$B128-C$6),"hh:mm am/pm")</f>
        <v>12:00 001/p1</v>
      </c>
      <c r="D128" s="293" t="str">
        <f t="shared" si="258"/>
        <v>10:00 001/p1</v>
      </c>
      <c r="E128" s="293" t="str">
        <f t="shared" si="258"/>
        <v>11:00 001/p1</v>
      </c>
      <c r="F128" s="293" t="str">
        <f t="shared" si="258"/>
        <v>12:00 001/p1</v>
      </c>
      <c r="G128" s="293" t="str">
        <f t="shared" si="258"/>
        <v>13:00 001/p1</v>
      </c>
      <c r="H128" s="293" t="str">
        <f t="shared" ref="H128:I128" si="259">TEXT(IF($B128=0," ",$B128+H$6),"hh:mm am/pm")</f>
        <v>20:00 001/p1</v>
      </c>
      <c r="I128" s="293" t="str">
        <f t="shared" si="259"/>
        <v>01:00 001/p1</v>
      </c>
      <c r="J128" s="294" t="s">
        <v>54</v>
      </c>
      <c r="K128" s="295"/>
      <c r="L128" s="466" t="s">
        <v>55</v>
      </c>
      <c r="M128" s="467" t="s">
        <v>56</v>
      </c>
      <c r="N128" s="468" t="s">
        <v>57</v>
      </c>
      <c r="O128" s="469" t="s">
        <v>58</v>
      </c>
      <c r="P128" s="470" t="s">
        <v>59</v>
      </c>
      <c r="Q128" s="471">
        <v>5000</v>
      </c>
      <c r="R128" s="472" t="s">
        <v>60</v>
      </c>
      <c r="S128" s="473"/>
      <c r="T128" s="360" t="s">
        <v>61</v>
      </c>
      <c r="U128" s="468" t="s">
        <v>62</v>
      </c>
      <c r="V128" s="468">
        <v>22</v>
      </c>
      <c r="W128" s="468">
        <v>22</v>
      </c>
      <c r="X128" s="355"/>
      <c r="Y128" s="474" t="s">
        <v>63</v>
      </c>
      <c r="Z128" s="473"/>
      <c r="AA128" s="356" t="s">
        <v>64</v>
      </c>
      <c r="AB128" s="356" t="s">
        <v>65</v>
      </c>
      <c r="AC128" s="357">
        <v>0.1</v>
      </c>
      <c r="AD128" s="357">
        <v>0.02</v>
      </c>
      <c r="AE128" s="356" t="s">
        <v>66</v>
      </c>
      <c r="AF128" s="358">
        <v>50000</v>
      </c>
      <c r="AG128" s="359">
        <v>12</v>
      </c>
      <c r="AH128" s="359">
        <v>10</v>
      </c>
      <c r="AI128" s="359">
        <v>10</v>
      </c>
      <c r="AJ128" s="360">
        <v>15</v>
      </c>
      <c r="AK128" s="475" t="s">
        <v>67</v>
      </c>
      <c r="AL128" s="476" t="s">
        <v>68</v>
      </c>
      <c r="AM128" s="376" t="s">
        <v>69</v>
      </c>
      <c r="AN128" s="376" t="s">
        <v>70</v>
      </c>
      <c r="AO128" s="314">
        <f t="shared" si="255"/>
        <v>0.718761574074074</v>
      </c>
      <c r="AP128" s="315">
        <f t="shared" si="256"/>
        <v>259</v>
      </c>
      <c r="AQ128" s="316" t="str">
        <f t="shared" si="257"/>
        <v>MEDIUM</v>
      </c>
    </row>
    <row r="129" ht="29.25" customHeight="1" outlineLevel="1" spans="1:43">
      <c r="A129" s="291">
        <f>COUNTIF(M127:M191,"Side event")</f>
        <v>54</v>
      </c>
      <c r="B129" s="317">
        <v>0.625011574074074</v>
      </c>
      <c r="C129" s="293" t="str">
        <f t="shared" ref="C129:G129" si="260">TEXT(IF($B129=0," ",$B129-C$6),"hh:mm am/pm")</f>
        <v>13:00 001/p1</v>
      </c>
      <c r="D129" s="293" t="str">
        <f t="shared" si="260"/>
        <v>11:00 001/p1</v>
      </c>
      <c r="E129" s="293" t="str">
        <f t="shared" si="260"/>
        <v>12:00 001/p1</v>
      </c>
      <c r="F129" s="293" t="str">
        <f t="shared" si="260"/>
        <v>13:00 001/p1</v>
      </c>
      <c r="G129" s="293" t="str">
        <f t="shared" si="260"/>
        <v>14:00 001/p1</v>
      </c>
      <c r="H129" s="293" t="str">
        <f t="shared" ref="H129:I129" si="261">TEXT(IF($B129=0," ",$B129+H$6),"hh:mm am/pm")</f>
        <v>21:00 001/p1</v>
      </c>
      <c r="I129" s="293" t="str">
        <f t="shared" si="261"/>
        <v>02:00 001/p1</v>
      </c>
      <c r="J129" s="318" t="s">
        <v>226</v>
      </c>
      <c r="K129" s="295"/>
      <c r="L129" s="296" t="s">
        <v>227</v>
      </c>
      <c r="M129" s="297" t="s">
        <v>56</v>
      </c>
      <c r="N129" s="298" t="s">
        <v>57</v>
      </c>
      <c r="O129" s="299" t="s">
        <v>74</v>
      </c>
      <c r="P129" s="300" t="s">
        <v>75</v>
      </c>
      <c r="Q129" s="301">
        <v>8200</v>
      </c>
      <c r="R129" s="325" t="s">
        <v>76</v>
      </c>
      <c r="S129" s="303"/>
      <c r="T129" s="304" t="s">
        <v>77</v>
      </c>
      <c r="U129" s="298" t="s">
        <v>78</v>
      </c>
      <c r="V129" s="298">
        <v>15</v>
      </c>
      <c r="W129" s="298">
        <v>15</v>
      </c>
      <c r="X129" s="305"/>
      <c r="Y129" s="306" t="s">
        <v>79</v>
      </c>
      <c r="Z129" s="298">
        <v>15</v>
      </c>
      <c r="AA129" s="307">
        <v>60000</v>
      </c>
      <c r="AB129" s="307" t="s">
        <v>65</v>
      </c>
      <c r="AC129" s="308">
        <v>0.1</v>
      </c>
      <c r="AD129" s="308">
        <v>0.02</v>
      </c>
      <c r="AE129" s="304" t="s">
        <v>66</v>
      </c>
      <c r="AF129" s="309">
        <v>20000</v>
      </c>
      <c r="AG129" s="310">
        <v>12</v>
      </c>
      <c r="AH129" s="310">
        <v>10</v>
      </c>
      <c r="AI129" s="310">
        <v>10</v>
      </c>
      <c r="AJ129" s="304">
        <v>12</v>
      </c>
      <c r="AK129" s="311" t="s">
        <v>67</v>
      </c>
      <c r="AL129" s="312" t="s">
        <v>68</v>
      </c>
      <c r="AM129" s="313" t="s">
        <v>69</v>
      </c>
      <c r="AN129" s="313" t="s">
        <v>70</v>
      </c>
      <c r="AO129" s="314">
        <f t="shared" si="255"/>
        <v>0.731956018518518</v>
      </c>
      <c r="AP129" s="315">
        <f t="shared" si="256"/>
        <v>622</v>
      </c>
      <c r="AQ129" s="316" t="str">
        <f t="shared" si="257"/>
        <v>LOW</v>
      </c>
    </row>
    <row r="130" ht="29.25" customHeight="1" outlineLevel="1" spans="1:43">
      <c r="A130" s="291" t="s">
        <v>56</v>
      </c>
      <c r="B130" s="317">
        <v>0.750011574074074</v>
      </c>
      <c r="C130" s="293" t="str">
        <f t="shared" ref="C130:G130" si="262">TEXT(IF($B130=0," ",$B130-C$6),"hh:mm am/pm")</f>
        <v>16:00 001/p1</v>
      </c>
      <c r="D130" s="293" t="str">
        <f t="shared" si="262"/>
        <v>14:00 001/p1</v>
      </c>
      <c r="E130" s="293" t="str">
        <f t="shared" si="262"/>
        <v>15:00 001/p1</v>
      </c>
      <c r="F130" s="293" t="str">
        <f t="shared" si="262"/>
        <v>16:00 001/p1</v>
      </c>
      <c r="G130" s="293" t="str">
        <f t="shared" si="262"/>
        <v>17:00 001/p1</v>
      </c>
      <c r="H130" s="293" t="str">
        <f t="shared" ref="H130:I130" si="263">TEXT(IF($B130=0," ",$B130+H$6),"hh:mm am/pm")</f>
        <v>00:00 001/p1</v>
      </c>
      <c r="I130" s="293" t="str">
        <f t="shared" si="263"/>
        <v>05:00 001/p1</v>
      </c>
      <c r="J130" s="294" t="s">
        <v>228</v>
      </c>
      <c r="K130" s="295"/>
      <c r="L130" s="466" t="s">
        <v>229</v>
      </c>
      <c r="M130" s="467" t="s">
        <v>56</v>
      </c>
      <c r="N130" s="468" t="s">
        <v>57</v>
      </c>
      <c r="O130" s="469" t="s">
        <v>74</v>
      </c>
      <c r="P130" s="470" t="s">
        <v>59</v>
      </c>
      <c r="Q130" s="471">
        <v>31700</v>
      </c>
      <c r="R130" s="472" t="s">
        <v>87</v>
      </c>
      <c r="S130" s="473"/>
      <c r="T130" s="360" t="s">
        <v>77</v>
      </c>
      <c r="U130" s="468" t="s">
        <v>78</v>
      </c>
      <c r="V130" s="468">
        <v>30</v>
      </c>
      <c r="W130" s="468">
        <v>30</v>
      </c>
      <c r="X130" s="355"/>
      <c r="Y130" s="474" t="s">
        <v>79</v>
      </c>
      <c r="Z130" s="468">
        <v>30</v>
      </c>
      <c r="AA130" s="356">
        <v>250000</v>
      </c>
      <c r="AB130" s="356" t="s">
        <v>65</v>
      </c>
      <c r="AC130" s="357">
        <v>0.1</v>
      </c>
      <c r="AD130" s="357">
        <v>0.02</v>
      </c>
      <c r="AE130" s="356" t="s">
        <v>88</v>
      </c>
      <c r="AF130" s="358">
        <v>50000</v>
      </c>
      <c r="AG130" s="359">
        <v>12</v>
      </c>
      <c r="AH130" s="359">
        <v>10</v>
      </c>
      <c r="AI130" s="359">
        <v>10</v>
      </c>
      <c r="AJ130" s="360">
        <v>15</v>
      </c>
      <c r="AK130" s="475" t="s">
        <v>67</v>
      </c>
      <c r="AL130" s="476" t="s">
        <v>68</v>
      </c>
      <c r="AM130" s="376" t="s">
        <v>69</v>
      </c>
      <c r="AN130" s="376" t="s">
        <v>70</v>
      </c>
      <c r="AO130" s="314">
        <f t="shared" si="255"/>
        <v>0.885428240740741</v>
      </c>
      <c r="AP130" s="315">
        <f t="shared" si="256"/>
        <v>1201</v>
      </c>
      <c r="AQ130" s="316" t="str">
        <f t="shared" si="257"/>
        <v>MEDIUM</v>
      </c>
    </row>
    <row r="131" ht="29.25" customHeight="1" outlineLevel="1" spans="1:43">
      <c r="A131" s="291">
        <f>COUNTIF(M127:M191,"Main Event")</f>
        <v>10</v>
      </c>
      <c r="B131" s="317">
        <v>0.750011574074074</v>
      </c>
      <c r="C131" s="293" t="str">
        <f t="shared" ref="C131:G131" si="264">TEXT(IF($B131=0," ",$B131-C$6),"hh:mm am/pm")</f>
        <v>16:00 001/p1</v>
      </c>
      <c r="D131" s="293" t="str">
        <f t="shared" si="264"/>
        <v>14:00 001/p1</v>
      </c>
      <c r="E131" s="293" t="str">
        <f t="shared" si="264"/>
        <v>15:00 001/p1</v>
      </c>
      <c r="F131" s="293" t="str">
        <f t="shared" si="264"/>
        <v>16:00 001/p1</v>
      </c>
      <c r="G131" s="293" t="str">
        <f t="shared" si="264"/>
        <v>17:00 001/p1</v>
      </c>
      <c r="H131" s="293" t="str">
        <f t="shared" ref="H131:I131" si="265">TEXT(IF($B131=0," ",$B131+H$6),"hh:mm am/pm")</f>
        <v>00:00 001/p1</v>
      </c>
      <c r="I131" s="293" t="str">
        <f t="shared" si="265"/>
        <v>05:00 001/p1</v>
      </c>
      <c r="J131" s="294" t="s">
        <v>85</v>
      </c>
      <c r="K131" s="295"/>
      <c r="L131" s="296" t="s">
        <v>86</v>
      </c>
      <c r="M131" s="297" t="s">
        <v>56</v>
      </c>
      <c r="N131" s="298" t="s">
        <v>57</v>
      </c>
      <c r="O131" s="299" t="s">
        <v>74</v>
      </c>
      <c r="P131" s="300" t="s">
        <v>59</v>
      </c>
      <c r="Q131" s="301">
        <v>21700</v>
      </c>
      <c r="R131" s="302" t="s">
        <v>87</v>
      </c>
      <c r="S131" s="303"/>
      <c r="T131" s="304" t="s">
        <v>77</v>
      </c>
      <c r="U131" s="298" t="s">
        <v>78</v>
      </c>
      <c r="V131" s="298">
        <v>5</v>
      </c>
      <c r="W131" s="298">
        <v>5</v>
      </c>
      <c r="X131" s="305"/>
      <c r="Y131" s="306" t="s">
        <v>79</v>
      </c>
      <c r="Z131" s="298">
        <v>6</v>
      </c>
      <c r="AA131" s="307">
        <v>250000</v>
      </c>
      <c r="AB131" s="307" t="s">
        <v>65</v>
      </c>
      <c r="AC131" s="308">
        <v>0.1</v>
      </c>
      <c r="AD131" s="308">
        <v>0.02</v>
      </c>
      <c r="AE131" s="304" t="s">
        <v>88</v>
      </c>
      <c r="AF131" s="309">
        <v>50000</v>
      </c>
      <c r="AG131" s="310">
        <v>10</v>
      </c>
      <c r="AH131" s="310">
        <v>10</v>
      </c>
      <c r="AI131" s="310">
        <v>10</v>
      </c>
      <c r="AJ131" s="304">
        <v>15</v>
      </c>
      <c r="AK131" s="311" t="s">
        <v>67</v>
      </c>
      <c r="AL131" s="312" t="s">
        <v>68</v>
      </c>
      <c r="AM131" s="313" t="s">
        <v>69</v>
      </c>
      <c r="AN131" s="313" t="s">
        <v>70</v>
      </c>
      <c r="AO131" s="314">
        <f t="shared" si="255"/>
        <v>0.861122685185185</v>
      </c>
      <c r="AP131" s="315">
        <f t="shared" si="256"/>
        <v>4932</v>
      </c>
      <c r="AQ131" s="316" t="str">
        <f t="shared" si="257"/>
        <v>MICRO</v>
      </c>
    </row>
    <row r="132" ht="29.25" customHeight="1" outlineLevel="1" spans="1:43">
      <c r="A132" s="291" t="s">
        <v>89</v>
      </c>
      <c r="B132" s="317">
        <v>0.791678240740741</v>
      </c>
      <c r="C132" s="293" t="str">
        <f t="shared" ref="C132:G132" si="266">TEXT(IF($B132=0," ",$B132-C$6),"hh:mm am/pm")</f>
        <v>17:00 001/p1</v>
      </c>
      <c r="D132" s="293" t="str">
        <f t="shared" si="266"/>
        <v>15:00 001/p1</v>
      </c>
      <c r="E132" s="293" t="str">
        <f t="shared" si="266"/>
        <v>16:00 001/p1</v>
      </c>
      <c r="F132" s="293" t="str">
        <f t="shared" si="266"/>
        <v>17:00 001/p1</v>
      </c>
      <c r="G132" s="293" t="str">
        <f t="shared" si="266"/>
        <v>18:00 001/p1</v>
      </c>
      <c r="H132" s="293" t="str">
        <f t="shared" ref="H132:I132" si="267">TEXT(IF($B132=0," ",$B132+H$6),"hh:mm am/pm")</f>
        <v>01:00 001/p1</v>
      </c>
      <c r="I132" s="293" t="str">
        <f t="shared" si="267"/>
        <v>06:00 001/p1</v>
      </c>
      <c r="J132" s="318" t="s">
        <v>230</v>
      </c>
      <c r="K132" s="295"/>
      <c r="L132" s="466" t="s">
        <v>96</v>
      </c>
      <c r="M132" s="467" t="s">
        <v>56</v>
      </c>
      <c r="N132" s="468" t="s">
        <v>57</v>
      </c>
      <c r="O132" s="469" t="s">
        <v>58</v>
      </c>
      <c r="P132" s="470" t="s">
        <v>59</v>
      </c>
      <c r="Q132" s="471">
        <v>50300</v>
      </c>
      <c r="R132" s="325" t="s">
        <v>97</v>
      </c>
      <c r="S132" s="473"/>
      <c r="T132" s="360" t="s">
        <v>61</v>
      </c>
      <c r="U132" s="468" t="s">
        <v>62</v>
      </c>
      <c r="V132" s="468">
        <v>60</v>
      </c>
      <c r="W132" s="468">
        <v>60</v>
      </c>
      <c r="X132" s="355"/>
      <c r="Y132" s="474" t="s">
        <v>63</v>
      </c>
      <c r="Z132" s="473"/>
      <c r="AA132" s="356" t="s">
        <v>64</v>
      </c>
      <c r="AB132" s="356" t="s">
        <v>65</v>
      </c>
      <c r="AC132" s="357">
        <v>0.1</v>
      </c>
      <c r="AD132" s="357">
        <v>0.02</v>
      </c>
      <c r="AE132" s="356" t="s">
        <v>88</v>
      </c>
      <c r="AF132" s="358">
        <v>80000</v>
      </c>
      <c r="AG132" s="359">
        <v>12</v>
      </c>
      <c r="AH132" s="359">
        <v>12</v>
      </c>
      <c r="AI132" s="359">
        <v>12</v>
      </c>
      <c r="AJ132" s="360">
        <v>15</v>
      </c>
      <c r="AK132" s="475" t="s">
        <v>67</v>
      </c>
      <c r="AL132" s="476" t="s">
        <v>68</v>
      </c>
      <c r="AM132" s="376" t="s">
        <v>69</v>
      </c>
      <c r="AN132" s="376" t="s">
        <v>70</v>
      </c>
      <c r="AO132" s="314">
        <f t="shared" si="255"/>
        <v>0.927094907407407</v>
      </c>
      <c r="AP132" s="315">
        <f t="shared" si="256"/>
        <v>953</v>
      </c>
      <c r="AQ132" s="316" t="str">
        <f t="shared" si="257"/>
        <v>MEDIUM</v>
      </c>
    </row>
    <row r="133" ht="29.25" customHeight="1" outlineLevel="1" spans="1:43">
      <c r="A133" s="361">
        <f>SUM(Q127:Q191,Q193:Q246)</f>
        <v>278246</v>
      </c>
      <c r="B133" s="317">
        <v>0.791678240740741</v>
      </c>
      <c r="C133" s="293" t="str">
        <f t="shared" ref="C133:G133" si="268">TEXT(IF($B133=0," ",$B133-C$6),"hh:mm am/pm")</f>
        <v>17:00 001/p1</v>
      </c>
      <c r="D133" s="293" t="str">
        <f t="shared" si="268"/>
        <v>15:00 001/p1</v>
      </c>
      <c r="E133" s="293" t="str">
        <f t="shared" si="268"/>
        <v>16:00 001/p1</v>
      </c>
      <c r="F133" s="293" t="str">
        <f t="shared" si="268"/>
        <v>17:00 001/p1</v>
      </c>
      <c r="G133" s="293" t="str">
        <f t="shared" si="268"/>
        <v>18:00 001/p1</v>
      </c>
      <c r="H133" s="293" t="str">
        <f t="shared" ref="H133:I133" si="269">TEXT(IF($B133=0," ",$B133+H$6),"hh:mm am/pm")</f>
        <v>01:00 001/p1</v>
      </c>
      <c r="I133" s="293" t="str">
        <f t="shared" si="269"/>
        <v>06:00 001/p1</v>
      </c>
      <c r="J133" s="318" t="s">
        <v>231</v>
      </c>
      <c r="K133" s="295"/>
      <c r="L133" s="296" t="s">
        <v>232</v>
      </c>
      <c r="M133" s="297" t="s">
        <v>56</v>
      </c>
      <c r="N133" s="298" t="s">
        <v>57</v>
      </c>
      <c r="O133" s="299" t="s">
        <v>233</v>
      </c>
      <c r="P133" s="300" t="s">
        <v>75</v>
      </c>
      <c r="Q133" s="301">
        <v>16200</v>
      </c>
      <c r="R133" s="325" t="s">
        <v>76</v>
      </c>
      <c r="S133" s="303"/>
      <c r="T133" s="304" t="s">
        <v>61</v>
      </c>
      <c r="U133" s="298" t="s">
        <v>62</v>
      </c>
      <c r="V133" s="298">
        <v>15</v>
      </c>
      <c r="W133" s="298">
        <v>15</v>
      </c>
      <c r="X133" s="305"/>
      <c r="Y133" s="306" t="s">
        <v>63</v>
      </c>
      <c r="Z133" s="303"/>
      <c r="AA133" s="307" t="s">
        <v>64</v>
      </c>
      <c r="AB133" s="307" t="s">
        <v>65</v>
      </c>
      <c r="AC133" s="308">
        <v>0.1</v>
      </c>
      <c r="AD133" s="308">
        <v>0.02</v>
      </c>
      <c r="AE133" s="304" t="s">
        <v>66</v>
      </c>
      <c r="AF133" s="309">
        <v>50000</v>
      </c>
      <c r="AG133" s="310">
        <v>12</v>
      </c>
      <c r="AH133" s="310">
        <v>10</v>
      </c>
      <c r="AI133" s="310">
        <v>10</v>
      </c>
      <c r="AJ133" s="304">
        <v>15</v>
      </c>
      <c r="AK133" s="311" t="s">
        <v>67</v>
      </c>
      <c r="AL133" s="312" t="s">
        <v>68</v>
      </c>
      <c r="AM133" s="313" t="s">
        <v>69</v>
      </c>
      <c r="AN133" s="313" t="s">
        <v>70</v>
      </c>
      <c r="AO133" s="314">
        <f t="shared" si="255"/>
        <v>0.927094907407407</v>
      </c>
      <c r="AP133" s="315">
        <f t="shared" si="256"/>
        <v>1228</v>
      </c>
      <c r="AQ133" s="316" t="str">
        <f t="shared" si="257"/>
        <v>LOW</v>
      </c>
    </row>
    <row r="134" ht="29.25" customHeight="1" outlineLevel="1" spans="1:43">
      <c r="A134" s="362"/>
      <c r="B134" s="364">
        <v>0.791678240740741</v>
      </c>
      <c r="C134" s="293" t="str">
        <f t="shared" ref="C134:G134" si="270">TEXT(IF($B134=0," ",$B134-C$6),"hh:mm am/pm")</f>
        <v>17:00 001/p1</v>
      </c>
      <c r="D134" s="293" t="str">
        <f t="shared" si="270"/>
        <v>15:00 001/p1</v>
      </c>
      <c r="E134" s="293" t="str">
        <f t="shared" si="270"/>
        <v>16:00 001/p1</v>
      </c>
      <c r="F134" s="293" t="str">
        <f t="shared" si="270"/>
        <v>17:00 001/p1</v>
      </c>
      <c r="G134" s="293" t="str">
        <f t="shared" si="270"/>
        <v>18:00 001/p1</v>
      </c>
      <c r="H134" s="293" t="str">
        <f t="shared" ref="H134:I134" si="271">TEXT(IF($B134=0," ",$B134+H$6),"hh:mm am/pm")</f>
        <v>01:00 001/p1</v>
      </c>
      <c r="I134" s="293" t="str">
        <f t="shared" si="271"/>
        <v>06:00 001/p1</v>
      </c>
      <c r="J134" s="294" t="s">
        <v>234</v>
      </c>
      <c r="K134" s="295"/>
      <c r="L134" s="466" t="s">
        <v>235</v>
      </c>
      <c r="M134" s="467" t="s">
        <v>56</v>
      </c>
      <c r="N134" s="468" t="s">
        <v>57</v>
      </c>
      <c r="O134" s="469" t="s">
        <v>82</v>
      </c>
      <c r="P134" s="470" t="s">
        <v>59</v>
      </c>
      <c r="Q134" s="471">
        <v>30000</v>
      </c>
      <c r="R134" s="472" t="s">
        <v>60</v>
      </c>
      <c r="S134" s="473"/>
      <c r="T134" s="360" t="s">
        <v>92</v>
      </c>
      <c r="U134" s="468" t="s">
        <v>62</v>
      </c>
      <c r="V134" s="468">
        <v>220</v>
      </c>
      <c r="W134" s="468">
        <v>220</v>
      </c>
      <c r="X134" s="358">
        <v>60000</v>
      </c>
      <c r="Y134" s="474" t="s">
        <v>63</v>
      </c>
      <c r="Z134" s="473"/>
      <c r="AA134" s="356" t="s">
        <v>64</v>
      </c>
      <c r="AB134" s="356" t="s">
        <v>65</v>
      </c>
      <c r="AC134" s="357">
        <v>0.1</v>
      </c>
      <c r="AD134" s="357">
        <v>0</v>
      </c>
      <c r="AE134" s="356" t="s">
        <v>66</v>
      </c>
      <c r="AF134" s="358">
        <v>50000</v>
      </c>
      <c r="AG134" s="359">
        <v>12</v>
      </c>
      <c r="AH134" s="359">
        <v>12</v>
      </c>
      <c r="AI134" s="359">
        <v>12</v>
      </c>
      <c r="AJ134" s="360">
        <v>15</v>
      </c>
      <c r="AK134" s="475" t="s">
        <v>67</v>
      </c>
      <c r="AL134" s="476" t="s">
        <v>68</v>
      </c>
      <c r="AM134" s="376" t="s">
        <v>69</v>
      </c>
      <c r="AN134" s="376" t="s">
        <v>70</v>
      </c>
      <c r="AO134" s="314">
        <f t="shared" si="255"/>
        <v>0.927094907407407</v>
      </c>
      <c r="AP134" s="315">
        <f t="shared" si="256"/>
        <v>152</v>
      </c>
      <c r="AQ134" s="316" t="str">
        <f t="shared" si="257"/>
        <v>HIGH</v>
      </c>
    </row>
    <row r="135" ht="29.25" customHeight="1" outlineLevel="1" spans="1:43">
      <c r="A135" s="363" t="s">
        <v>224</v>
      </c>
      <c r="B135" s="364">
        <v>0.833344907407407</v>
      </c>
      <c r="C135" s="293" t="str">
        <f t="shared" ref="C135:G135" si="272">TEXT(IF($B135=0," ",$B135-C$6),"hh:mm am/pm")</f>
        <v>18:00 001/p1</v>
      </c>
      <c r="D135" s="293" t="str">
        <f t="shared" si="272"/>
        <v>16:00 001/p1</v>
      </c>
      <c r="E135" s="293" t="str">
        <f t="shared" si="272"/>
        <v>17:00 001/p1</v>
      </c>
      <c r="F135" s="293" t="str">
        <f t="shared" si="272"/>
        <v>18:00 001/p1</v>
      </c>
      <c r="G135" s="293" t="str">
        <f t="shared" si="272"/>
        <v>19:00 001/p1</v>
      </c>
      <c r="H135" s="293" t="str">
        <f t="shared" ref="H135:I135" si="273">TEXT(IF($B135=0," ",$B135+H$6),"hh:mm am/pm")</f>
        <v>02:00 001/p1</v>
      </c>
      <c r="I135" s="293" t="str">
        <f t="shared" si="273"/>
        <v>07:00 001/p1</v>
      </c>
      <c r="J135" s="294" t="s">
        <v>236</v>
      </c>
      <c r="K135" s="295"/>
      <c r="L135" s="296" t="s">
        <v>99</v>
      </c>
      <c r="M135" s="297" t="s">
        <v>56</v>
      </c>
      <c r="N135" s="298" t="s">
        <v>100</v>
      </c>
      <c r="O135" s="299" t="s">
        <v>82</v>
      </c>
      <c r="P135" s="300" t="s">
        <v>101</v>
      </c>
      <c r="Q135" s="301">
        <v>15000</v>
      </c>
      <c r="R135" s="302" t="s">
        <v>60</v>
      </c>
      <c r="S135" s="303"/>
      <c r="T135" s="304" t="s">
        <v>92</v>
      </c>
      <c r="U135" s="298" t="s">
        <v>78</v>
      </c>
      <c r="V135" s="298">
        <v>100</v>
      </c>
      <c r="W135" s="298">
        <v>100</v>
      </c>
      <c r="X135" s="309">
        <v>60000</v>
      </c>
      <c r="Y135" s="306" t="s">
        <v>63</v>
      </c>
      <c r="Z135" s="303"/>
      <c r="AA135" s="307" t="s">
        <v>64</v>
      </c>
      <c r="AB135" s="307" t="s">
        <v>65</v>
      </c>
      <c r="AC135" s="308">
        <v>0.1</v>
      </c>
      <c r="AD135" s="308">
        <v>0.02</v>
      </c>
      <c r="AE135" s="465" t="s">
        <v>66</v>
      </c>
      <c r="AF135" s="309">
        <v>50000</v>
      </c>
      <c r="AG135" s="310">
        <v>12</v>
      </c>
      <c r="AH135" s="310">
        <v>12</v>
      </c>
      <c r="AI135" s="310">
        <v>12</v>
      </c>
      <c r="AJ135" s="304">
        <v>15</v>
      </c>
      <c r="AK135" s="311" t="s">
        <v>67</v>
      </c>
      <c r="AL135" s="312" t="s">
        <v>68</v>
      </c>
      <c r="AM135" s="313" t="s">
        <v>69</v>
      </c>
      <c r="AN135" s="313" t="s">
        <v>70</v>
      </c>
      <c r="AO135" s="314">
        <f t="shared" si="255"/>
        <v>0.968761574074074</v>
      </c>
      <c r="AP135" s="315">
        <f t="shared" si="256"/>
        <v>171</v>
      </c>
      <c r="AQ135" s="316" t="str">
        <f t="shared" si="257"/>
        <v>HIGH</v>
      </c>
    </row>
    <row r="136" ht="29.25" customHeight="1" outlineLevel="1" spans="1:43">
      <c r="B136" s="364">
        <v>0.875011574074074</v>
      </c>
      <c r="C136" s="293" t="str">
        <f t="shared" ref="C136:G136" si="274">TEXT(IF($B136=0," ",$B136-C$6),"hh:mm am/pm")</f>
        <v>19:00 001/p1</v>
      </c>
      <c r="D136" s="293" t="str">
        <f t="shared" si="274"/>
        <v>17:00 001/p1</v>
      </c>
      <c r="E136" s="293" t="str">
        <f t="shared" si="274"/>
        <v>18:00 001/p1</v>
      </c>
      <c r="F136" s="293" t="str">
        <f t="shared" si="274"/>
        <v>19:00 001/p1</v>
      </c>
      <c r="G136" s="293" t="str">
        <f t="shared" si="274"/>
        <v>20:00 001/p1</v>
      </c>
      <c r="H136" s="293" t="str">
        <f t="shared" ref="H136:I136" si="275">TEXT(IF($B136=0," ",$B136+H$6),"hh:mm am/pm")</f>
        <v>03:00 001/p1</v>
      </c>
      <c r="I136" s="293" t="str">
        <f t="shared" si="275"/>
        <v>08:00 001/p1</v>
      </c>
      <c r="J136" s="294" t="s">
        <v>237</v>
      </c>
      <c r="K136" s="295"/>
      <c r="L136" s="466" t="s">
        <v>81</v>
      </c>
      <c r="M136" s="467" t="s">
        <v>56</v>
      </c>
      <c r="N136" s="468" t="s">
        <v>57</v>
      </c>
      <c r="O136" s="469" t="s">
        <v>82</v>
      </c>
      <c r="P136" s="470" t="s">
        <v>59</v>
      </c>
      <c r="Q136" s="471">
        <v>6000</v>
      </c>
      <c r="R136" s="472" t="s">
        <v>60</v>
      </c>
      <c r="S136" s="473"/>
      <c r="T136" s="360" t="s">
        <v>92</v>
      </c>
      <c r="U136" s="468" t="s">
        <v>62</v>
      </c>
      <c r="V136" s="468">
        <v>22</v>
      </c>
      <c r="W136" s="468">
        <v>22</v>
      </c>
      <c r="X136" s="355"/>
      <c r="Y136" s="474" t="s">
        <v>63</v>
      </c>
      <c r="Z136" s="473"/>
      <c r="AA136" s="356" t="s">
        <v>64</v>
      </c>
      <c r="AB136" s="356" t="s">
        <v>65</v>
      </c>
      <c r="AC136" s="357">
        <v>0.1</v>
      </c>
      <c r="AD136" s="357">
        <v>0.02</v>
      </c>
      <c r="AE136" s="477" t="s">
        <v>66</v>
      </c>
      <c r="AF136" s="358">
        <v>50000</v>
      </c>
      <c r="AG136" s="359">
        <v>10</v>
      </c>
      <c r="AH136" s="359">
        <v>10</v>
      </c>
      <c r="AI136" s="359">
        <v>10</v>
      </c>
      <c r="AJ136" s="360">
        <v>15</v>
      </c>
      <c r="AK136" s="475" t="s">
        <v>67</v>
      </c>
      <c r="AL136" s="478" t="s">
        <v>68</v>
      </c>
      <c r="AM136" s="376" t="s">
        <v>69</v>
      </c>
      <c r="AN136" s="376" t="s">
        <v>70</v>
      </c>
      <c r="AO136" s="314">
        <f t="shared" si="255"/>
        <v>0.986122685185185</v>
      </c>
      <c r="AP136" s="315">
        <f t="shared" si="256"/>
        <v>310</v>
      </c>
      <c r="AQ136" s="316" t="str">
        <f t="shared" si="257"/>
        <v>MEDIUM</v>
      </c>
    </row>
    <row r="137" ht="29.25" customHeight="1" outlineLevel="1" spans="1:43">
      <c r="B137" s="479"/>
      <c r="C137" s="293" t="str">
        <f t="shared" ref="C137:G137" si="276">TEXT(IF($B137=0," ",$B137-C$6),"hh:mm am/pm")</f>
        <v> </v>
      </c>
      <c r="D137" s="293" t="str">
        <f t="shared" si="276"/>
        <v> </v>
      </c>
      <c r="E137" s="293" t="str">
        <f t="shared" si="276"/>
        <v> </v>
      </c>
      <c r="F137" s="293" t="str">
        <f t="shared" si="276"/>
        <v> </v>
      </c>
      <c r="G137" s="293" t="str">
        <f t="shared" si="276"/>
        <v> </v>
      </c>
      <c r="H137" s="293" t="str">
        <f t="shared" ref="H137:I137" si="277">TEXT(IF($B137=0," ",$B137+H$6),"hh:mm am/pm")</f>
        <v> </v>
      </c>
      <c r="I137" s="293" t="str">
        <f t="shared" si="277"/>
        <v> </v>
      </c>
      <c r="J137" s="295"/>
      <c r="K137" s="366"/>
      <c r="L137" s="367"/>
      <c r="M137" s="368"/>
      <c r="N137" s="369"/>
      <c r="O137" s="370"/>
      <c r="P137" s="370"/>
      <c r="Q137" s="369"/>
      <c r="R137" s="369"/>
      <c r="S137" s="369"/>
      <c r="T137" s="371"/>
      <c r="U137" s="369"/>
      <c r="V137" s="369"/>
      <c r="W137" s="369"/>
      <c r="X137" s="372"/>
      <c r="Y137" s="367"/>
      <c r="Z137" s="369"/>
      <c r="AA137" s="372"/>
      <c r="AB137" s="372"/>
      <c r="AC137" s="371"/>
      <c r="AD137" s="371"/>
      <c r="AE137" s="404"/>
      <c r="AF137" s="372"/>
      <c r="AG137" s="404"/>
      <c r="AH137" s="404"/>
      <c r="AI137" s="404"/>
      <c r="AJ137" s="367"/>
      <c r="AK137" s="373"/>
      <c r="AL137" s="373"/>
      <c r="AM137" s="373"/>
      <c r="AN137" s="373"/>
      <c r="AO137" s="314" t="str">
        <f t="shared" si="255"/>
        <v> </v>
      </c>
      <c r="AP137" s="374">
        <f t="shared" si="256"/>
        <v>0</v>
      </c>
      <c r="AQ137" s="316" t="str">
        <f t="shared" si="257"/>
        <v> </v>
      </c>
    </row>
    <row r="138" ht="29.25" customHeight="1" outlineLevel="1" spans="1:43">
      <c r="A138" s="363" t="s">
        <v>224</v>
      </c>
      <c r="B138" s="292">
        <v>0.437511574074074</v>
      </c>
      <c r="C138" s="293" t="str">
        <f t="shared" ref="C138:G138" si="278">TEXT(IF($B138=0," ",$B138-C$6),"hh:mm am/pm")</f>
        <v>08:30 001/p1</v>
      </c>
      <c r="D138" s="293" t="str">
        <f t="shared" si="278"/>
        <v>06:30 001/p1</v>
      </c>
      <c r="E138" s="293" t="str">
        <f t="shared" si="278"/>
        <v>07:30 001/p1</v>
      </c>
      <c r="F138" s="293" t="str">
        <f t="shared" si="278"/>
        <v>08:30 001/p1</v>
      </c>
      <c r="G138" s="293" t="str">
        <f t="shared" si="278"/>
        <v>09:30 001/p1</v>
      </c>
      <c r="H138" s="293" t="str">
        <f t="shared" ref="H138:I138" si="279">TEXT(IF($B138=0," ",$B138+H$6),"hh:mm am/pm")</f>
        <v>16:30 001/p1</v>
      </c>
      <c r="I138" s="293" t="str">
        <f t="shared" si="279"/>
        <v>21:30 001/p1</v>
      </c>
      <c r="J138" s="294" t="s">
        <v>238</v>
      </c>
      <c r="K138" s="295"/>
      <c r="L138" s="319" t="s">
        <v>117</v>
      </c>
      <c r="M138" s="320" t="s">
        <v>71</v>
      </c>
      <c r="N138" s="321" t="s">
        <v>100</v>
      </c>
      <c r="O138" s="322" t="s">
        <v>74</v>
      </c>
      <c r="P138" s="323" t="s">
        <v>101</v>
      </c>
      <c r="Q138" s="324">
        <v>600</v>
      </c>
      <c r="R138" s="375" t="s">
        <v>60</v>
      </c>
      <c r="S138" s="326"/>
      <c r="T138" s="331" t="s">
        <v>61</v>
      </c>
      <c r="U138" s="321" t="s">
        <v>62</v>
      </c>
      <c r="V138" s="321">
        <v>3</v>
      </c>
      <c r="W138" s="321">
        <v>3</v>
      </c>
      <c r="X138" s="328"/>
      <c r="Y138" s="329" t="s">
        <v>79</v>
      </c>
      <c r="Z138" s="321">
        <v>3</v>
      </c>
      <c r="AA138" s="330">
        <v>100000</v>
      </c>
      <c r="AB138" s="330" t="s">
        <v>65</v>
      </c>
      <c r="AC138" s="331">
        <v>0.1</v>
      </c>
      <c r="AD138" s="331">
        <v>0.02</v>
      </c>
      <c r="AE138" s="327" t="s">
        <v>88</v>
      </c>
      <c r="AF138" s="332">
        <v>40000</v>
      </c>
      <c r="AG138" s="333">
        <v>8</v>
      </c>
      <c r="AH138" s="333">
        <v>7</v>
      </c>
      <c r="AI138" s="333">
        <v>7</v>
      </c>
      <c r="AJ138" s="327">
        <v>13</v>
      </c>
      <c r="AK138" s="480" t="s">
        <v>67</v>
      </c>
      <c r="AL138" s="335" t="s">
        <v>68</v>
      </c>
      <c r="AM138" s="336" t="s">
        <v>69</v>
      </c>
      <c r="AN138" s="336" t="s">
        <v>70</v>
      </c>
      <c r="AO138" s="314">
        <f t="shared" si="255"/>
        <v>0.513206018518519</v>
      </c>
      <c r="AP138" s="315">
        <f t="shared" si="256"/>
        <v>228</v>
      </c>
      <c r="AQ138" s="316" t="str">
        <f t="shared" si="257"/>
        <v>MICRO</v>
      </c>
    </row>
    <row r="139" ht="29.25" customHeight="1" outlineLevel="1" spans="1:43">
      <c r="B139" s="364">
        <v>0.437511574074074</v>
      </c>
      <c r="C139" s="293" t="str">
        <f t="shared" ref="C139:G139" si="280">TEXT(IF($B139=0," ",$B139-C$6),"hh:mm am/pm")</f>
        <v>08:30 001/p1</v>
      </c>
      <c r="D139" s="293" t="str">
        <f t="shared" si="280"/>
        <v>06:30 001/p1</v>
      </c>
      <c r="E139" s="293" t="str">
        <f t="shared" si="280"/>
        <v>07:30 001/p1</v>
      </c>
      <c r="F139" s="293" t="str">
        <f t="shared" si="280"/>
        <v>08:30 001/p1</v>
      </c>
      <c r="G139" s="293" t="str">
        <f t="shared" si="280"/>
        <v>09:30 001/p1</v>
      </c>
      <c r="H139" s="293" t="str">
        <f t="shared" ref="H139:I139" si="281">TEXT(IF($B139=0," ",$B139+H$6),"hh:mm am/pm")</f>
        <v>16:30 001/p1</v>
      </c>
      <c r="I139" s="293" t="str">
        <f t="shared" si="281"/>
        <v>21:30 001/p1</v>
      </c>
      <c r="J139" s="294" t="s">
        <v>153</v>
      </c>
      <c r="K139" s="295"/>
      <c r="L139" s="337" t="s">
        <v>114</v>
      </c>
      <c r="M139" s="338" t="s">
        <v>71</v>
      </c>
      <c r="N139" s="339" t="s">
        <v>57</v>
      </c>
      <c r="O139" s="340" t="s">
        <v>74</v>
      </c>
      <c r="P139" s="341" t="s">
        <v>75</v>
      </c>
      <c r="Q139" s="342">
        <v>300</v>
      </c>
      <c r="R139" s="343" t="s">
        <v>60</v>
      </c>
      <c r="S139" s="344"/>
      <c r="T139" s="349" t="s">
        <v>115</v>
      </c>
      <c r="U139" s="339" t="s">
        <v>62</v>
      </c>
      <c r="V139" s="339">
        <v>0.4</v>
      </c>
      <c r="W139" s="339">
        <v>0.4</v>
      </c>
      <c r="X139" s="354"/>
      <c r="Y139" s="347" t="s">
        <v>79</v>
      </c>
      <c r="Z139" s="339">
        <v>0.4</v>
      </c>
      <c r="AA139" s="348">
        <v>60000</v>
      </c>
      <c r="AB139" s="348" t="s">
        <v>65</v>
      </c>
      <c r="AC139" s="349">
        <v>0.1</v>
      </c>
      <c r="AD139" s="349">
        <v>0</v>
      </c>
      <c r="AE139" s="481" t="s">
        <v>66</v>
      </c>
      <c r="AF139" s="346">
        <v>20000</v>
      </c>
      <c r="AG139" s="350">
        <v>6</v>
      </c>
      <c r="AH139" s="350">
        <v>5</v>
      </c>
      <c r="AI139" s="350">
        <v>5</v>
      </c>
      <c r="AJ139" s="345">
        <v>11</v>
      </c>
      <c r="AK139" s="351" t="s">
        <v>67</v>
      </c>
      <c r="AL139" s="352" t="s">
        <v>68</v>
      </c>
      <c r="AM139" s="353" t="s">
        <v>69</v>
      </c>
      <c r="AN139" s="353" t="s">
        <v>70</v>
      </c>
      <c r="AO139" s="314">
        <f t="shared" si="255"/>
        <v>0.48681712962963</v>
      </c>
      <c r="AP139" s="315">
        <f t="shared" si="256"/>
        <v>834</v>
      </c>
      <c r="AQ139" s="316" t="str">
        <f t="shared" si="257"/>
        <v>MICRO</v>
      </c>
    </row>
    <row r="140" ht="29.25" customHeight="1" outlineLevel="1" spans="1:43">
      <c r="B140" s="317">
        <v>0.437511574074074</v>
      </c>
      <c r="C140" s="293" t="str">
        <f t="shared" ref="C140:G140" si="282">TEXT(IF($B140=0," ",$B140-C$6),"hh:mm am/pm")</f>
        <v>08:30 001/p1</v>
      </c>
      <c r="D140" s="293" t="str">
        <f t="shared" si="282"/>
        <v>06:30 001/p1</v>
      </c>
      <c r="E140" s="293" t="str">
        <f t="shared" si="282"/>
        <v>07:30 001/p1</v>
      </c>
      <c r="F140" s="293" t="str">
        <f t="shared" si="282"/>
        <v>08:30 001/p1</v>
      </c>
      <c r="G140" s="293" t="str">
        <f t="shared" si="282"/>
        <v>09:30 001/p1</v>
      </c>
      <c r="H140" s="293" t="str">
        <f t="shared" ref="H140:I140" si="283">TEXT(IF($B140=0," ",$B140+H$6),"hh:mm am/pm")</f>
        <v>16:30 001/p1</v>
      </c>
      <c r="I140" s="293" t="str">
        <f t="shared" si="283"/>
        <v>21:30 001/p1</v>
      </c>
      <c r="J140" s="294" t="s">
        <v>239</v>
      </c>
      <c r="K140" s="295"/>
      <c r="L140" s="319" t="s">
        <v>240</v>
      </c>
      <c r="M140" s="320" t="s">
        <v>71</v>
      </c>
      <c r="N140" s="321" t="s">
        <v>57</v>
      </c>
      <c r="O140" s="322" t="s">
        <v>109</v>
      </c>
      <c r="P140" s="323" t="s">
        <v>59</v>
      </c>
      <c r="Q140" s="324">
        <v>100</v>
      </c>
      <c r="R140" s="375" t="s">
        <v>60</v>
      </c>
      <c r="S140" s="326"/>
      <c r="T140" s="327" t="s">
        <v>61</v>
      </c>
      <c r="U140" s="321" t="s">
        <v>62</v>
      </c>
      <c r="V140" s="321">
        <v>0.4</v>
      </c>
      <c r="W140" s="321">
        <v>0.4</v>
      </c>
      <c r="X140" s="328"/>
      <c r="Y140" s="329" t="s">
        <v>63</v>
      </c>
      <c r="Z140" s="326"/>
      <c r="AA140" s="330" t="s">
        <v>64</v>
      </c>
      <c r="AB140" s="330" t="s">
        <v>65</v>
      </c>
      <c r="AC140" s="331">
        <v>0.1</v>
      </c>
      <c r="AD140" s="331">
        <v>0</v>
      </c>
      <c r="AE140" s="482" t="s">
        <v>88</v>
      </c>
      <c r="AF140" s="332">
        <v>30000</v>
      </c>
      <c r="AG140" s="333">
        <v>8</v>
      </c>
      <c r="AH140" s="333">
        <v>7</v>
      </c>
      <c r="AI140" s="333">
        <v>7</v>
      </c>
      <c r="AJ140" s="327">
        <v>11</v>
      </c>
      <c r="AK140" s="334" t="s">
        <v>67</v>
      </c>
      <c r="AL140" s="335" t="s">
        <v>68</v>
      </c>
      <c r="AM140" s="336" t="s">
        <v>69</v>
      </c>
      <c r="AN140" s="336" t="s">
        <v>70</v>
      </c>
      <c r="AO140" s="314">
        <f t="shared" si="255"/>
        <v>0.502094907407407</v>
      </c>
      <c r="AP140" s="315">
        <f t="shared" si="256"/>
        <v>278</v>
      </c>
      <c r="AQ140" s="316" t="str">
        <f t="shared" si="257"/>
        <v>MICRO</v>
      </c>
    </row>
    <row r="141" ht="29.25" customHeight="1" outlineLevel="1" spans="1:43">
      <c r="A141" s="363" t="s">
        <v>224</v>
      </c>
      <c r="B141" s="317">
        <v>0.458344907407407</v>
      </c>
      <c r="C141" s="293" t="str">
        <f t="shared" ref="C141:G141" si="284">TEXT(IF($B141=0," ",$B141-C$6),"hh:mm am/pm")</f>
        <v>09:00 001/p1</v>
      </c>
      <c r="D141" s="293" t="str">
        <f t="shared" si="284"/>
        <v>07:00 001/p1</v>
      </c>
      <c r="E141" s="293" t="str">
        <f t="shared" si="284"/>
        <v>08:00 001/p1</v>
      </c>
      <c r="F141" s="293" t="str">
        <f t="shared" si="284"/>
        <v>09:00 001/p1</v>
      </c>
      <c r="G141" s="293" t="str">
        <f t="shared" si="284"/>
        <v>10:00 001/p1</v>
      </c>
      <c r="H141" s="293" t="str">
        <f t="shared" ref="H141:I141" si="285">TEXT(IF($B141=0," ",$B141+H$6),"hh:mm am/pm")</f>
        <v>17:00 001/p1</v>
      </c>
      <c r="I141" s="293" t="str">
        <f t="shared" si="285"/>
        <v>22:00 001/p1</v>
      </c>
      <c r="J141" s="294" t="s">
        <v>125</v>
      </c>
      <c r="K141" s="295"/>
      <c r="L141" s="337" t="s">
        <v>126</v>
      </c>
      <c r="M141" s="338" t="s">
        <v>71</v>
      </c>
      <c r="N141" s="339" t="s">
        <v>57</v>
      </c>
      <c r="O141" s="340" t="s">
        <v>82</v>
      </c>
      <c r="P141" s="341" t="s">
        <v>59</v>
      </c>
      <c r="Q141" s="342">
        <v>1000</v>
      </c>
      <c r="R141" s="343" t="s">
        <v>60</v>
      </c>
      <c r="S141" s="344"/>
      <c r="T141" s="345" t="s">
        <v>61</v>
      </c>
      <c r="U141" s="339" t="s">
        <v>62</v>
      </c>
      <c r="V141" s="339">
        <v>6</v>
      </c>
      <c r="W141" s="339">
        <v>6</v>
      </c>
      <c r="X141" s="354"/>
      <c r="Y141" s="347" t="s">
        <v>63</v>
      </c>
      <c r="Z141" s="344"/>
      <c r="AA141" s="348" t="s">
        <v>64</v>
      </c>
      <c r="AB141" s="348" t="s">
        <v>65</v>
      </c>
      <c r="AC141" s="349">
        <v>0.1</v>
      </c>
      <c r="AD141" s="349">
        <v>0.02</v>
      </c>
      <c r="AE141" s="481" t="s">
        <v>66</v>
      </c>
      <c r="AF141" s="346">
        <v>40000</v>
      </c>
      <c r="AG141" s="350">
        <v>10</v>
      </c>
      <c r="AH141" s="350">
        <v>8</v>
      </c>
      <c r="AI141" s="350">
        <v>8</v>
      </c>
      <c r="AJ141" s="345">
        <v>14</v>
      </c>
      <c r="AK141" s="351" t="s">
        <v>67</v>
      </c>
      <c r="AL141" s="352" t="s">
        <v>68</v>
      </c>
      <c r="AM141" s="353" t="s">
        <v>69</v>
      </c>
      <c r="AN141" s="353" t="s">
        <v>70</v>
      </c>
      <c r="AO141" s="314">
        <f t="shared" si="255"/>
        <v>0.562511574074074</v>
      </c>
      <c r="AP141" s="315">
        <f t="shared" si="256"/>
        <v>190</v>
      </c>
      <c r="AQ141" s="316" t="str">
        <f t="shared" si="257"/>
        <v>LOW</v>
      </c>
    </row>
    <row r="142" ht="29.25" customHeight="1" outlineLevel="1" spans="1:43">
      <c r="B142" s="317">
        <v>0.458344907407407</v>
      </c>
      <c r="C142" s="293" t="str">
        <f t="shared" ref="C142:G142" si="286">TEXT(IF($B142=0," ",$B142-C$6),"hh:mm am/pm")</f>
        <v>09:00 001/p1</v>
      </c>
      <c r="D142" s="293" t="str">
        <f t="shared" si="286"/>
        <v>07:00 001/p1</v>
      </c>
      <c r="E142" s="293" t="str">
        <f t="shared" si="286"/>
        <v>08:00 001/p1</v>
      </c>
      <c r="F142" s="293" t="str">
        <f t="shared" si="286"/>
        <v>09:00 001/p1</v>
      </c>
      <c r="G142" s="293" t="str">
        <f t="shared" si="286"/>
        <v>10:00 001/p1</v>
      </c>
      <c r="H142" s="293" t="str">
        <f t="shared" ref="H142:I142" si="287">TEXT(IF($B142=0," ",$B142+H$6),"hh:mm am/pm")</f>
        <v>17:00 001/p1</v>
      </c>
      <c r="I142" s="293" t="str">
        <f t="shared" si="287"/>
        <v>22:00 001/p1</v>
      </c>
      <c r="J142" s="294" t="s">
        <v>137</v>
      </c>
      <c r="K142" s="295"/>
      <c r="L142" s="319" t="s">
        <v>129</v>
      </c>
      <c r="M142" s="320" t="s">
        <v>71</v>
      </c>
      <c r="N142" s="321" t="s">
        <v>122</v>
      </c>
      <c r="O142" s="322" t="s">
        <v>74</v>
      </c>
      <c r="P142" s="323" t="s">
        <v>101</v>
      </c>
      <c r="Q142" s="324">
        <v>100</v>
      </c>
      <c r="R142" s="375" t="s">
        <v>60</v>
      </c>
      <c r="S142" s="326"/>
      <c r="T142" s="327" t="s">
        <v>61</v>
      </c>
      <c r="U142" s="321" t="s">
        <v>62</v>
      </c>
      <c r="V142" s="321">
        <v>0.8</v>
      </c>
      <c r="W142" s="321">
        <v>0.8</v>
      </c>
      <c r="X142" s="328"/>
      <c r="Y142" s="329" t="s">
        <v>79</v>
      </c>
      <c r="Z142" s="321">
        <v>0.8</v>
      </c>
      <c r="AA142" s="330">
        <v>100000</v>
      </c>
      <c r="AB142" s="330" t="s">
        <v>65</v>
      </c>
      <c r="AC142" s="331">
        <v>0.1</v>
      </c>
      <c r="AD142" s="331">
        <v>0</v>
      </c>
      <c r="AE142" s="482" t="s">
        <v>88</v>
      </c>
      <c r="AF142" s="332">
        <v>40000</v>
      </c>
      <c r="AG142" s="333">
        <v>8</v>
      </c>
      <c r="AH142" s="333">
        <v>7</v>
      </c>
      <c r="AI142" s="333">
        <v>7</v>
      </c>
      <c r="AJ142" s="327">
        <v>12</v>
      </c>
      <c r="AK142" s="334" t="s">
        <v>67</v>
      </c>
      <c r="AL142" s="335" t="s">
        <v>68</v>
      </c>
      <c r="AM142" s="336" t="s">
        <v>69</v>
      </c>
      <c r="AN142" s="336" t="s">
        <v>70</v>
      </c>
      <c r="AO142" s="314">
        <f t="shared" si="255"/>
        <v>0.528483796296296</v>
      </c>
      <c r="AP142" s="315">
        <f t="shared" si="256"/>
        <v>139</v>
      </c>
      <c r="AQ142" s="316" t="str">
        <f t="shared" si="257"/>
        <v>MICRO</v>
      </c>
    </row>
    <row r="143" ht="29.25" customHeight="1" outlineLevel="1" spans="1:43">
      <c r="B143" s="317">
        <v>0.500011574074074</v>
      </c>
      <c r="C143" s="293" t="str">
        <f t="shared" ref="C143:G143" si="288">TEXT(IF($B143=0," ",$B143-C$6),"hh:mm am/pm")</f>
        <v>10:00 001/p1</v>
      </c>
      <c r="D143" s="293" t="str">
        <f t="shared" si="288"/>
        <v>08:00 001/p1</v>
      </c>
      <c r="E143" s="293" t="str">
        <f t="shared" si="288"/>
        <v>09:00 001/p1</v>
      </c>
      <c r="F143" s="293" t="str">
        <f t="shared" si="288"/>
        <v>10:00 001/p1</v>
      </c>
      <c r="G143" s="293" t="str">
        <f t="shared" si="288"/>
        <v>11:00 001/p1</v>
      </c>
      <c r="H143" s="293" t="str">
        <f t="shared" ref="H143:I143" si="289">TEXT(IF($B143=0," ",$B143+H$6),"hh:mm am/pm")</f>
        <v>18:00 001/p1</v>
      </c>
      <c r="I143" s="293" t="str">
        <f t="shared" si="289"/>
        <v>23:00 001/p1</v>
      </c>
      <c r="J143" s="294" t="s">
        <v>241</v>
      </c>
      <c r="K143" s="295"/>
      <c r="L143" s="337" t="s">
        <v>152</v>
      </c>
      <c r="M143" s="338" t="s">
        <v>71</v>
      </c>
      <c r="N143" s="339" t="s">
        <v>57</v>
      </c>
      <c r="O143" s="340" t="s">
        <v>104</v>
      </c>
      <c r="P143" s="341" t="s">
        <v>75</v>
      </c>
      <c r="Q143" s="342">
        <v>700</v>
      </c>
      <c r="R143" s="343" t="s">
        <v>60</v>
      </c>
      <c r="S143" s="344"/>
      <c r="T143" s="345" t="s">
        <v>61</v>
      </c>
      <c r="U143" s="339" t="s">
        <v>62</v>
      </c>
      <c r="V143" s="339">
        <v>2</v>
      </c>
      <c r="W143" s="339">
        <v>2</v>
      </c>
      <c r="X143" s="354"/>
      <c r="Y143" s="347" t="s">
        <v>63</v>
      </c>
      <c r="Z143" s="344"/>
      <c r="AA143" s="348" t="s">
        <v>64</v>
      </c>
      <c r="AB143" s="348" t="s">
        <v>65</v>
      </c>
      <c r="AC143" s="349">
        <v>0.1</v>
      </c>
      <c r="AD143" s="349">
        <v>0.02</v>
      </c>
      <c r="AE143" s="481" t="s">
        <v>88</v>
      </c>
      <c r="AF143" s="346">
        <v>50000</v>
      </c>
      <c r="AG143" s="350">
        <v>10</v>
      </c>
      <c r="AH143" s="350">
        <v>8</v>
      </c>
      <c r="AI143" s="350">
        <v>8</v>
      </c>
      <c r="AJ143" s="345">
        <v>13</v>
      </c>
      <c r="AK143" s="351" t="s">
        <v>67</v>
      </c>
      <c r="AL143" s="352" t="s">
        <v>68</v>
      </c>
      <c r="AM143" s="353" t="s">
        <v>69</v>
      </c>
      <c r="AN143" s="353" t="s">
        <v>70</v>
      </c>
      <c r="AO143" s="314">
        <f t="shared" si="255"/>
        <v>0.597233796296296</v>
      </c>
      <c r="AP143" s="315">
        <f t="shared" si="256"/>
        <v>398</v>
      </c>
      <c r="AQ143" s="316" t="str">
        <f t="shared" si="257"/>
        <v>MICRO</v>
      </c>
    </row>
    <row r="144" ht="29.25" customHeight="1" outlineLevel="1" spans="1:43">
      <c r="A144" s="363" t="s">
        <v>224</v>
      </c>
      <c r="B144" s="317">
        <v>0.500011574074074</v>
      </c>
      <c r="C144" s="293" t="str">
        <f t="shared" ref="C144:G144" si="290">TEXT(IF($B144=0," ",$B144-C$6),"hh:mm am/pm")</f>
        <v>10:00 001/p1</v>
      </c>
      <c r="D144" s="293" t="str">
        <f t="shared" si="290"/>
        <v>08:00 001/p1</v>
      </c>
      <c r="E144" s="293" t="str">
        <f t="shared" si="290"/>
        <v>09:00 001/p1</v>
      </c>
      <c r="F144" s="293" t="str">
        <f t="shared" si="290"/>
        <v>10:00 001/p1</v>
      </c>
      <c r="G144" s="293" t="str">
        <f t="shared" si="290"/>
        <v>11:00 001/p1</v>
      </c>
      <c r="H144" s="293" t="str">
        <f t="shared" ref="H144:I144" si="291">TEXT(IF($B144=0," ",$B144+H$6),"hh:mm am/pm")</f>
        <v>18:00 001/p1</v>
      </c>
      <c r="I144" s="293" t="str">
        <f t="shared" si="291"/>
        <v>23:00 001/p1</v>
      </c>
      <c r="J144" s="294" t="s">
        <v>153</v>
      </c>
      <c r="K144" s="295"/>
      <c r="L144" s="319" t="s">
        <v>114</v>
      </c>
      <c r="M144" s="320" t="s">
        <v>71</v>
      </c>
      <c r="N144" s="321" t="s">
        <v>57</v>
      </c>
      <c r="O144" s="322" t="s">
        <v>74</v>
      </c>
      <c r="P144" s="323" t="s">
        <v>75</v>
      </c>
      <c r="Q144" s="324">
        <v>300</v>
      </c>
      <c r="R144" s="375" t="s">
        <v>60</v>
      </c>
      <c r="S144" s="326"/>
      <c r="T144" s="327" t="s">
        <v>115</v>
      </c>
      <c r="U144" s="321" t="s">
        <v>62</v>
      </c>
      <c r="V144" s="321">
        <v>0.6</v>
      </c>
      <c r="W144" s="321">
        <v>0.6</v>
      </c>
      <c r="X144" s="328"/>
      <c r="Y144" s="329" t="s">
        <v>79</v>
      </c>
      <c r="Z144" s="321">
        <v>0.8</v>
      </c>
      <c r="AA144" s="330">
        <v>100000</v>
      </c>
      <c r="AB144" s="330" t="s">
        <v>65</v>
      </c>
      <c r="AC144" s="331">
        <v>0.1</v>
      </c>
      <c r="AD144" s="331">
        <v>0</v>
      </c>
      <c r="AE144" s="482" t="s">
        <v>66</v>
      </c>
      <c r="AF144" s="332">
        <v>40000</v>
      </c>
      <c r="AG144" s="333">
        <v>7</v>
      </c>
      <c r="AH144" s="333">
        <v>6</v>
      </c>
      <c r="AI144" s="333">
        <v>6</v>
      </c>
      <c r="AJ144" s="327">
        <v>15</v>
      </c>
      <c r="AK144" s="334" t="s">
        <v>67</v>
      </c>
      <c r="AL144" s="335" t="s">
        <v>68</v>
      </c>
      <c r="AM144" s="336" t="s">
        <v>69</v>
      </c>
      <c r="AN144" s="336" t="s">
        <v>70</v>
      </c>
      <c r="AO144" s="314">
        <f t="shared" si="255"/>
        <v>0.576400462962963</v>
      </c>
      <c r="AP144" s="315">
        <f t="shared" si="256"/>
        <v>556</v>
      </c>
      <c r="AQ144" s="316" t="str">
        <f t="shared" si="257"/>
        <v>MICRO</v>
      </c>
    </row>
    <row r="145" ht="29.25" customHeight="1" outlineLevel="1" spans="1:43">
      <c r="B145" s="317">
        <v>0.500011574074074</v>
      </c>
      <c r="C145" s="293" t="str">
        <f t="shared" ref="C145:G145" si="292">TEXT(IF($B145=0," ",$B145-C$6),"hh:mm am/pm")</f>
        <v>10:00 001/p1</v>
      </c>
      <c r="D145" s="293" t="str">
        <f t="shared" si="292"/>
        <v>08:00 001/p1</v>
      </c>
      <c r="E145" s="293" t="str">
        <f t="shared" si="292"/>
        <v>09:00 001/p1</v>
      </c>
      <c r="F145" s="293" t="str">
        <f t="shared" si="292"/>
        <v>10:00 001/p1</v>
      </c>
      <c r="G145" s="293" t="str">
        <f t="shared" si="292"/>
        <v>11:00 001/p1</v>
      </c>
      <c r="H145" s="293" t="str">
        <f t="shared" ref="H145:I145" si="293">TEXT(IF($B145=0," ",$B145+H$6),"hh:mm am/pm")</f>
        <v>18:00 001/p1</v>
      </c>
      <c r="I145" s="293" t="str">
        <f t="shared" si="293"/>
        <v>23:00 001/p1</v>
      </c>
      <c r="J145" s="294" t="s">
        <v>242</v>
      </c>
      <c r="K145" s="295"/>
      <c r="L145" s="337" t="s">
        <v>155</v>
      </c>
      <c r="M145" s="338" t="s">
        <v>71</v>
      </c>
      <c r="N145" s="339" t="s">
        <v>57</v>
      </c>
      <c r="O145" s="340" t="s">
        <v>74</v>
      </c>
      <c r="P145" s="341" t="s">
        <v>59</v>
      </c>
      <c r="Q145" s="342">
        <v>1600</v>
      </c>
      <c r="R145" s="343" t="s">
        <v>60</v>
      </c>
      <c r="S145" s="344"/>
      <c r="T145" s="345" t="s">
        <v>61</v>
      </c>
      <c r="U145" s="339" t="s">
        <v>62</v>
      </c>
      <c r="V145" s="339">
        <v>15</v>
      </c>
      <c r="W145" s="339">
        <v>15</v>
      </c>
      <c r="X145" s="354"/>
      <c r="Y145" s="347" t="s">
        <v>63</v>
      </c>
      <c r="Z145" s="344"/>
      <c r="AA145" s="348" t="s">
        <v>64</v>
      </c>
      <c r="AB145" s="348" t="s">
        <v>65</v>
      </c>
      <c r="AC145" s="349">
        <v>0.1</v>
      </c>
      <c r="AD145" s="349">
        <v>0.02</v>
      </c>
      <c r="AE145" s="348" t="s">
        <v>88</v>
      </c>
      <c r="AF145" s="346">
        <v>80000</v>
      </c>
      <c r="AG145" s="350">
        <v>12</v>
      </c>
      <c r="AH145" s="350">
        <v>10</v>
      </c>
      <c r="AI145" s="350">
        <v>10</v>
      </c>
      <c r="AJ145" s="345">
        <v>15</v>
      </c>
      <c r="AK145" s="351" t="s">
        <v>67</v>
      </c>
      <c r="AL145" s="352" t="s">
        <v>68</v>
      </c>
      <c r="AM145" s="353" t="s">
        <v>69</v>
      </c>
      <c r="AN145" s="353" t="s">
        <v>70</v>
      </c>
      <c r="AO145" s="314">
        <f t="shared" si="255"/>
        <v>0.635428240740741</v>
      </c>
      <c r="AP145" s="315">
        <f t="shared" si="256"/>
        <v>122</v>
      </c>
      <c r="AQ145" s="316" t="str">
        <f t="shared" si="257"/>
        <v>LOW</v>
      </c>
    </row>
    <row r="146" ht="29.25" customHeight="1" outlineLevel="1" spans="1:43">
      <c r="A146" s="363" t="s">
        <v>224</v>
      </c>
      <c r="B146" s="317">
        <v>0.520844907407407</v>
      </c>
      <c r="C146" s="293" t="str">
        <f t="shared" ref="C146:G146" si="294">TEXT(IF($B146=0," ",$B146-C$6),"hh:mm am/pm")</f>
        <v>10:30 001/p1</v>
      </c>
      <c r="D146" s="293" t="str">
        <f t="shared" si="294"/>
        <v>08:30 001/p1</v>
      </c>
      <c r="E146" s="293" t="str">
        <f t="shared" si="294"/>
        <v>09:30 001/p1</v>
      </c>
      <c r="F146" s="293" t="str">
        <f t="shared" si="294"/>
        <v>10:30 001/p1</v>
      </c>
      <c r="G146" s="293" t="str">
        <f t="shared" si="294"/>
        <v>11:30 001/p1</v>
      </c>
      <c r="H146" s="293" t="str">
        <f t="shared" ref="H146:I146" si="295">TEXT(IF($B146=0," ",$B146+H$6),"hh:mm am/pm")</f>
        <v>18:30 001/p1</v>
      </c>
      <c r="I146" s="293" t="str">
        <f t="shared" si="295"/>
        <v>23:30 001/p1</v>
      </c>
      <c r="J146" s="294" t="s">
        <v>156</v>
      </c>
      <c r="K146" s="295"/>
      <c r="L146" s="319" t="s">
        <v>157</v>
      </c>
      <c r="M146" s="320" t="s">
        <v>71</v>
      </c>
      <c r="N146" s="321" t="s">
        <v>100</v>
      </c>
      <c r="O146" s="322" t="s">
        <v>82</v>
      </c>
      <c r="P146" s="323" t="s">
        <v>101</v>
      </c>
      <c r="Q146" s="324">
        <v>2000</v>
      </c>
      <c r="R146" s="375" t="s">
        <v>60</v>
      </c>
      <c r="S146" s="326"/>
      <c r="T146" s="327" t="s">
        <v>92</v>
      </c>
      <c r="U146" s="321" t="s">
        <v>62</v>
      </c>
      <c r="V146" s="321">
        <v>12</v>
      </c>
      <c r="W146" s="321">
        <v>12</v>
      </c>
      <c r="X146" s="328"/>
      <c r="Y146" s="329" t="s">
        <v>63</v>
      </c>
      <c r="Z146" s="326"/>
      <c r="AA146" s="330" t="s">
        <v>64</v>
      </c>
      <c r="AB146" s="330" t="s">
        <v>65</v>
      </c>
      <c r="AC146" s="331">
        <v>0.1</v>
      </c>
      <c r="AD146" s="331">
        <v>0.02</v>
      </c>
      <c r="AE146" s="330" t="s">
        <v>66</v>
      </c>
      <c r="AF146" s="332">
        <v>40000</v>
      </c>
      <c r="AG146" s="333">
        <v>12</v>
      </c>
      <c r="AH146" s="333">
        <v>10</v>
      </c>
      <c r="AI146" s="333">
        <v>10</v>
      </c>
      <c r="AJ146" s="327">
        <v>14</v>
      </c>
      <c r="AK146" s="334" t="s">
        <v>67</v>
      </c>
      <c r="AL146" s="335" t="s">
        <v>68</v>
      </c>
      <c r="AM146" s="336" t="s">
        <v>69</v>
      </c>
      <c r="AN146" s="336" t="s">
        <v>70</v>
      </c>
      <c r="AO146" s="314">
        <f t="shared" si="255"/>
        <v>0.644456018518519</v>
      </c>
      <c r="AP146" s="315">
        <f t="shared" si="256"/>
        <v>190</v>
      </c>
      <c r="AQ146" s="316" t="str">
        <f t="shared" si="257"/>
        <v>LOW</v>
      </c>
    </row>
    <row r="147" ht="29.25" customHeight="1" outlineLevel="1" spans="1:43">
      <c r="B147" s="317">
        <v>0.541678240740741</v>
      </c>
      <c r="C147" s="293" t="str">
        <f t="shared" ref="C147:G147" si="296">TEXT(IF($B147=0," ",$B147-C$6),"hh:mm am/pm")</f>
        <v>11:00 001/p1</v>
      </c>
      <c r="D147" s="293" t="str">
        <f t="shared" si="296"/>
        <v>09:00 001/p1</v>
      </c>
      <c r="E147" s="293" t="str">
        <f t="shared" si="296"/>
        <v>10:00 001/p1</v>
      </c>
      <c r="F147" s="293" t="str">
        <f t="shared" si="296"/>
        <v>11:00 001/p1</v>
      </c>
      <c r="G147" s="293" t="str">
        <f t="shared" si="296"/>
        <v>12:00 001/p1</v>
      </c>
      <c r="H147" s="293" t="str">
        <f t="shared" ref="H147:I147" si="297">TEXT(IF($B147=0," ",$B147+H$6),"hh:mm am/pm")</f>
        <v>19:00 001/p1</v>
      </c>
      <c r="I147" s="293" t="str">
        <f t="shared" si="297"/>
        <v>00:00 001/p1</v>
      </c>
      <c r="J147" s="294" t="s">
        <v>243</v>
      </c>
      <c r="K147" s="295"/>
      <c r="L147" s="337" t="s">
        <v>126</v>
      </c>
      <c r="M147" s="338" t="s">
        <v>71</v>
      </c>
      <c r="N147" s="339" t="s">
        <v>57</v>
      </c>
      <c r="O147" s="340" t="s">
        <v>144</v>
      </c>
      <c r="P147" s="341" t="s">
        <v>59</v>
      </c>
      <c r="Q147" s="342">
        <v>1600</v>
      </c>
      <c r="R147" s="343" t="s">
        <v>60</v>
      </c>
      <c r="S147" s="344"/>
      <c r="T147" s="345" t="s">
        <v>61</v>
      </c>
      <c r="U147" s="339" t="s">
        <v>62</v>
      </c>
      <c r="V147" s="339">
        <v>5</v>
      </c>
      <c r="W147" s="339">
        <v>5</v>
      </c>
      <c r="X147" s="354"/>
      <c r="Y147" s="347" t="s">
        <v>63</v>
      </c>
      <c r="Z147" s="344"/>
      <c r="AA147" s="348" t="s">
        <v>64</v>
      </c>
      <c r="AB147" s="348" t="s">
        <v>65</v>
      </c>
      <c r="AC147" s="349">
        <v>0.1</v>
      </c>
      <c r="AD147" s="349">
        <v>0.02</v>
      </c>
      <c r="AE147" s="348" t="s">
        <v>88</v>
      </c>
      <c r="AF147" s="346">
        <v>80000</v>
      </c>
      <c r="AG147" s="350">
        <v>10</v>
      </c>
      <c r="AH147" s="350">
        <v>10</v>
      </c>
      <c r="AI147" s="350">
        <v>10</v>
      </c>
      <c r="AJ147" s="345">
        <v>15</v>
      </c>
      <c r="AK147" s="351" t="s">
        <v>67</v>
      </c>
      <c r="AL147" s="352" t="s">
        <v>68</v>
      </c>
      <c r="AM147" s="353" t="s">
        <v>69</v>
      </c>
      <c r="AN147" s="353" t="s">
        <v>70</v>
      </c>
      <c r="AO147" s="314">
        <f t="shared" si="255"/>
        <v>0.652789351851852</v>
      </c>
      <c r="AP147" s="315">
        <f t="shared" si="256"/>
        <v>364</v>
      </c>
      <c r="AQ147" s="316" t="str">
        <f t="shared" si="257"/>
        <v>MICRO</v>
      </c>
    </row>
    <row r="148" ht="29.25" customHeight="1" outlineLevel="1" spans="1:43">
      <c r="B148" s="317">
        <v>0.552094907407407</v>
      </c>
      <c r="C148" s="293" t="str">
        <f t="shared" ref="C148:G148" si="298">TEXT(IF($B148=0," ",$B148-C$6),"hh:mm am/pm")</f>
        <v>11:15 001/p1</v>
      </c>
      <c r="D148" s="293" t="str">
        <f t="shared" si="298"/>
        <v>09:15 001/p1</v>
      </c>
      <c r="E148" s="293" t="str">
        <f t="shared" si="298"/>
        <v>10:15 001/p1</v>
      </c>
      <c r="F148" s="293" t="str">
        <f t="shared" si="298"/>
        <v>11:15 001/p1</v>
      </c>
      <c r="G148" s="293" t="str">
        <f t="shared" si="298"/>
        <v>12:15 001/p1</v>
      </c>
      <c r="H148" s="293" t="str">
        <f t="shared" ref="H148:I148" si="299">TEXT(IF($B148=0," ",$B148+H$6),"hh:mm am/pm")</f>
        <v>19:15 001/p1</v>
      </c>
      <c r="I148" s="293" t="str">
        <f t="shared" si="299"/>
        <v>00:15 001/p1</v>
      </c>
      <c r="J148" s="294" t="s">
        <v>244</v>
      </c>
      <c r="K148" s="295"/>
      <c r="L148" s="319" t="s">
        <v>160</v>
      </c>
      <c r="M148" s="320" t="s">
        <v>71</v>
      </c>
      <c r="N148" s="321" t="s">
        <v>57</v>
      </c>
      <c r="O148" s="322" t="s">
        <v>74</v>
      </c>
      <c r="P148" s="323" t="s">
        <v>59</v>
      </c>
      <c r="Q148" s="324">
        <v>700</v>
      </c>
      <c r="R148" s="375" t="s">
        <v>60</v>
      </c>
      <c r="S148" s="326"/>
      <c r="T148" s="327" t="s">
        <v>61</v>
      </c>
      <c r="U148" s="321" t="s">
        <v>62</v>
      </c>
      <c r="V148" s="321">
        <v>7</v>
      </c>
      <c r="W148" s="326"/>
      <c r="X148" s="328"/>
      <c r="Y148" s="329" t="s">
        <v>161</v>
      </c>
      <c r="Z148" s="326"/>
      <c r="AA148" s="330" t="s">
        <v>162</v>
      </c>
      <c r="AB148" s="330" t="s">
        <v>65</v>
      </c>
      <c r="AC148" s="331">
        <v>0.1</v>
      </c>
      <c r="AD148" s="331">
        <v>0.02</v>
      </c>
      <c r="AE148" s="330" t="s">
        <v>66</v>
      </c>
      <c r="AF148" s="332">
        <v>40000</v>
      </c>
      <c r="AG148" s="333">
        <v>10</v>
      </c>
      <c r="AH148" s="333">
        <v>10</v>
      </c>
      <c r="AI148" s="333">
        <v>10</v>
      </c>
      <c r="AJ148" s="327">
        <v>14</v>
      </c>
      <c r="AK148" s="334" t="s">
        <v>67</v>
      </c>
      <c r="AL148" s="335" t="s">
        <v>68</v>
      </c>
      <c r="AM148" s="336" t="s">
        <v>69</v>
      </c>
      <c r="AN148" s="336" t="s">
        <v>70</v>
      </c>
      <c r="AO148" s="314">
        <f t="shared" si="255"/>
        <v>0.656261574074074</v>
      </c>
      <c r="AP148" s="315">
        <f t="shared" si="256"/>
        <v>114</v>
      </c>
      <c r="AQ148" s="316" t="str">
        <f t="shared" si="257"/>
        <v>LOW</v>
      </c>
    </row>
    <row r="149" ht="29.25" customHeight="1" outlineLevel="1" spans="1:43">
      <c r="A149" s="363"/>
      <c r="B149" s="317">
        <v>0.562511574074074</v>
      </c>
      <c r="C149" s="293" t="str">
        <f t="shared" ref="C149:G149" si="300">TEXT(IF($B149=0," ",$B149-C$6),"hh:mm am/pm")</f>
        <v>11:30 001/p1</v>
      </c>
      <c r="D149" s="293" t="str">
        <f t="shared" si="300"/>
        <v>09:30 001/p1</v>
      </c>
      <c r="E149" s="293" t="str">
        <f t="shared" si="300"/>
        <v>10:30 001/p1</v>
      </c>
      <c r="F149" s="293" t="str">
        <f t="shared" si="300"/>
        <v>11:30 001/p1</v>
      </c>
      <c r="G149" s="293" t="str">
        <f t="shared" si="300"/>
        <v>12:30 001/p1</v>
      </c>
      <c r="H149" s="293" t="str">
        <f t="shared" ref="H149:I149" si="301">TEXT(IF($B149=0," ",$B149+H$6),"hh:mm am/pm")</f>
        <v>19:30 001/p1</v>
      </c>
      <c r="I149" s="293" t="str">
        <f t="shared" si="301"/>
        <v>00:30 001/p1</v>
      </c>
      <c r="J149" s="294" t="s">
        <v>163</v>
      </c>
      <c r="K149" s="295"/>
      <c r="L149" s="337" t="s">
        <v>119</v>
      </c>
      <c r="M149" s="338" t="s">
        <v>71</v>
      </c>
      <c r="N149" s="339" t="s">
        <v>57</v>
      </c>
      <c r="O149" s="340" t="s">
        <v>74</v>
      </c>
      <c r="P149" s="341" t="s">
        <v>75</v>
      </c>
      <c r="Q149" s="342">
        <v>800</v>
      </c>
      <c r="R149" s="343" t="s">
        <v>60</v>
      </c>
      <c r="S149" s="344"/>
      <c r="T149" s="345" t="s">
        <v>61</v>
      </c>
      <c r="U149" s="339" t="s">
        <v>62</v>
      </c>
      <c r="V149" s="339">
        <v>2</v>
      </c>
      <c r="W149" s="339">
        <v>2</v>
      </c>
      <c r="X149" s="354"/>
      <c r="Y149" s="347" t="s">
        <v>79</v>
      </c>
      <c r="Z149" s="339">
        <v>3</v>
      </c>
      <c r="AA149" s="348">
        <v>120000</v>
      </c>
      <c r="AB149" s="348" t="s">
        <v>65</v>
      </c>
      <c r="AC149" s="349">
        <v>0.1</v>
      </c>
      <c r="AD149" s="349">
        <v>0.02</v>
      </c>
      <c r="AE149" s="348" t="s">
        <v>66</v>
      </c>
      <c r="AF149" s="346">
        <v>40000</v>
      </c>
      <c r="AG149" s="350">
        <v>8</v>
      </c>
      <c r="AH149" s="350">
        <v>8</v>
      </c>
      <c r="AI149" s="350">
        <v>8</v>
      </c>
      <c r="AJ149" s="345">
        <v>15</v>
      </c>
      <c r="AK149" s="352" t="s">
        <v>67</v>
      </c>
      <c r="AL149" s="352" t="s">
        <v>68</v>
      </c>
      <c r="AM149" s="353" t="s">
        <v>69</v>
      </c>
      <c r="AN149" s="353" t="s">
        <v>70</v>
      </c>
      <c r="AO149" s="314">
        <f t="shared" si="255"/>
        <v>0.652789351851852</v>
      </c>
      <c r="AP149" s="315">
        <f t="shared" si="256"/>
        <v>455</v>
      </c>
      <c r="AQ149" s="316" t="str">
        <f t="shared" si="257"/>
        <v>MICRO</v>
      </c>
    </row>
    <row r="150" ht="29.25" customHeight="1" outlineLevel="1" spans="1:43">
      <c r="B150" s="317">
        <v>0.583344907407407</v>
      </c>
      <c r="C150" s="293" t="str">
        <f t="shared" ref="C150:G150" si="302">TEXT(IF($B150=0," ",$B150-C$6),"hh:mm am/pm")</f>
        <v>12:00 001/p1</v>
      </c>
      <c r="D150" s="293" t="str">
        <f t="shared" si="302"/>
        <v>10:00 001/p1</v>
      </c>
      <c r="E150" s="293" t="str">
        <f t="shared" si="302"/>
        <v>11:00 001/p1</v>
      </c>
      <c r="F150" s="293" t="str">
        <f t="shared" si="302"/>
        <v>12:00 001/p1</v>
      </c>
      <c r="G150" s="293" t="str">
        <f t="shared" si="302"/>
        <v>13:00 001/p1</v>
      </c>
      <c r="H150" s="293" t="str">
        <f t="shared" ref="H150:I150" si="303">TEXT(IF($B150=0," ",$B150+H$6),"hh:mm am/pm")</f>
        <v>20:00 001/p1</v>
      </c>
      <c r="I150" s="293" t="str">
        <f t="shared" si="303"/>
        <v>01:00 001/p1</v>
      </c>
      <c r="J150" s="294" t="s">
        <v>149</v>
      </c>
      <c r="K150" s="295"/>
      <c r="L150" s="319" t="s">
        <v>149</v>
      </c>
      <c r="M150" s="320" t="s">
        <v>71</v>
      </c>
      <c r="N150" s="321" t="s">
        <v>57</v>
      </c>
      <c r="O150" s="322" t="s">
        <v>74</v>
      </c>
      <c r="P150" s="323" t="s">
        <v>75</v>
      </c>
      <c r="Q150" s="324">
        <v>40</v>
      </c>
      <c r="R150" s="375" t="s">
        <v>60</v>
      </c>
      <c r="S150" s="326"/>
      <c r="T150" s="327" t="s">
        <v>61</v>
      </c>
      <c r="U150" s="321" t="s">
        <v>62</v>
      </c>
      <c r="V150" s="321">
        <v>0.6</v>
      </c>
      <c r="W150" s="321">
        <v>0.6</v>
      </c>
      <c r="X150" s="328"/>
      <c r="Y150" s="329" t="s">
        <v>63</v>
      </c>
      <c r="Z150" s="321">
        <v>0.6</v>
      </c>
      <c r="AA150" s="330">
        <v>30000</v>
      </c>
      <c r="AB150" s="330" t="s">
        <v>65</v>
      </c>
      <c r="AC150" s="331">
        <v>0.1</v>
      </c>
      <c r="AD150" s="331">
        <v>0</v>
      </c>
      <c r="AE150" s="330" t="s">
        <v>112</v>
      </c>
      <c r="AF150" s="332">
        <v>20000</v>
      </c>
      <c r="AG150" s="333">
        <v>5</v>
      </c>
      <c r="AH150" s="333">
        <v>5</v>
      </c>
      <c r="AI150" s="333">
        <v>5</v>
      </c>
      <c r="AJ150" s="327">
        <v>15</v>
      </c>
      <c r="AK150" s="335" t="s">
        <v>150</v>
      </c>
      <c r="AL150" s="335" t="s">
        <v>68</v>
      </c>
      <c r="AM150" s="336" t="s">
        <v>69</v>
      </c>
      <c r="AN150" s="336" t="s">
        <v>70</v>
      </c>
      <c r="AO150" s="314">
        <f t="shared" si="255"/>
        <v>0.638900462962963</v>
      </c>
      <c r="AP150" s="315">
        <f t="shared" si="256"/>
        <v>75</v>
      </c>
      <c r="AQ150" s="316" t="str">
        <f t="shared" si="257"/>
        <v>MICRO</v>
      </c>
    </row>
    <row r="151" ht="29.25" customHeight="1" outlineLevel="1" spans="1:43">
      <c r="A151" s="363" t="s">
        <v>224</v>
      </c>
      <c r="B151" s="317">
        <v>0.583344907407407</v>
      </c>
      <c r="C151" s="293" t="str">
        <f t="shared" ref="C151:G151" si="304">TEXT(IF($B151=0," ",$B151-C$6),"hh:mm am/pm")</f>
        <v>12:00 001/p1</v>
      </c>
      <c r="D151" s="293" t="str">
        <f t="shared" si="304"/>
        <v>10:00 001/p1</v>
      </c>
      <c r="E151" s="293" t="str">
        <f t="shared" si="304"/>
        <v>11:00 001/p1</v>
      </c>
      <c r="F151" s="293" t="str">
        <f t="shared" si="304"/>
        <v>12:00 001/p1</v>
      </c>
      <c r="G151" s="293" t="str">
        <f t="shared" si="304"/>
        <v>13:00 001/p1</v>
      </c>
      <c r="H151" s="293" t="str">
        <f t="shared" ref="H151:I151" si="305">TEXT(IF($B151=0," ",$B151+H$6),"hh:mm am/pm")</f>
        <v>20:00 001/p1</v>
      </c>
      <c r="I151" s="293" t="str">
        <f t="shared" si="305"/>
        <v>01:00 001/p1</v>
      </c>
      <c r="J151" s="294" t="s">
        <v>164</v>
      </c>
      <c r="K151" s="295"/>
      <c r="L151" s="337" t="s">
        <v>129</v>
      </c>
      <c r="M151" s="338" t="s">
        <v>71</v>
      </c>
      <c r="N151" s="339" t="s">
        <v>165</v>
      </c>
      <c r="O151" s="340" t="s">
        <v>74</v>
      </c>
      <c r="P151" s="341" t="s">
        <v>101</v>
      </c>
      <c r="Q151" s="342">
        <v>200</v>
      </c>
      <c r="R151" s="343" t="s">
        <v>60</v>
      </c>
      <c r="S151" s="344"/>
      <c r="T151" s="345" t="s">
        <v>61</v>
      </c>
      <c r="U151" s="339" t="s">
        <v>62</v>
      </c>
      <c r="V151" s="339">
        <v>2</v>
      </c>
      <c r="W151" s="339">
        <v>2</v>
      </c>
      <c r="X151" s="354"/>
      <c r="Y151" s="347" t="s">
        <v>79</v>
      </c>
      <c r="Z151" s="339">
        <v>2</v>
      </c>
      <c r="AA151" s="348">
        <v>90000</v>
      </c>
      <c r="AB151" s="348" t="s">
        <v>65</v>
      </c>
      <c r="AC151" s="349">
        <v>0.1</v>
      </c>
      <c r="AD151" s="349">
        <v>0</v>
      </c>
      <c r="AE151" s="348" t="s">
        <v>88</v>
      </c>
      <c r="AF151" s="346">
        <v>30000</v>
      </c>
      <c r="AG151" s="350">
        <v>8</v>
      </c>
      <c r="AH151" s="350">
        <v>8</v>
      </c>
      <c r="AI151" s="350">
        <v>8</v>
      </c>
      <c r="AJ151" s="345">
        <v>11</v>
      </c>
      <c r="AK151" s="352" t="s">
        <v>67</v>
      </c>
      <c r="AL151" s="352" t="s">
        <v>68</v>
      </c>
      <c r="AM151" s="353" t="s">
        <v>69</v>
      </c>
      <c r="AN151" s="353" t="s">
        <v>70</v>
      </c>
      <c r="AO151" s="314">
        <f t="shared" si="255"/>
        <v>0.647928240740741</v>
      </c>
      <c r="AP151" s="315">
        <f t="shared" si="256"/>
        <v>112</v>
      </c>
      <c r="AQ151" s="316" t="str">
        <f t="shared" si="257"/>
        <v>MICRO</v>
      </c>
    </row>
    <row r="152" ht="29.25" customHeight="1" outlineLevel="1" spans="1:43">
      <c r="B152" s="317">
        <v>0.583344907407407</v>
      </c>
      <c r="C152" s="293" t="str">
        <f t="shared" ref="C152:G152" si="306">TEXT(IF($B152=0," ",$B152-C$6),"hh:mm am/pm")</f>
        <v>12:00 001/p1</v>
      </c>
      <c r="D152" s="293" t="str">
        <f t="shared" si="306"/>
        <v>10:00 001/p1</v>
      </c>
      <c r="E152" s="293" t="str">
        <f t="shared" si="306"/>
        <v>11:00 001/p1</v>
      </c>
      <c r="F152" s="293" t="str">
        <f t="shared" si="306"/>
        <v>12:00 001/p1</v>
      </c>
      <c r="G152" s="293" t="str">
        <f t="shared" si="306"/>
        <v>13:00 001/p1</v>
      </c>
      <c r="H152" s="293" t="str">
        <f t="shared" ref="H152:I152" si="307">TEXT(IF($B152=0," ",$B152+H$6),"hh:mm am/pm")</f>
        <v>20:00 001/p1</v>
      </c>
      <c r="I152" s="293" t="str">
        <f t="shared" si="307"/>
        <v>01:00 001/p1</v>
      </c>
      <c r="J152" s="294" t="s">
        <v>245</v>
      </c>
      <c r="K152" s="295"/>
      <c r="L152" s="319" t="s">
        <v>167</v>
      </c>
      <c r="M152" s="320" t="s">
        <v>71</v>
      </c>
      <c r="N152" s="321" t="s">
        <v>57</v>
      </c>
      <c r="O152" s="322" t="s">
        <v>74</v>
      </c>
      <c r="P152" s="323" t="s">
        <v>75</v>
      </c>
      <c r="Q152" s="324">
        <v>1500</v>
      </c>
      <c r="R152" s="375" t="s">
        <v>60</v>
      </c>
      <c r="S152" s="326"/>
      <c r="T152" s="327" t="s">
        <v>77</v>
      </c>
      <c r="U152" s="321" t="s">
        <v>78</v>
      </c>
      <c r="V152" s="321">
        <v>1</v>
      </c>
      <c r="W152" s="321">
        <v>1</v>
      </c>
      <c r="X152" s="328"/>
      <c r="Y152" s="329" t="s">
        <v>79</v>
      </c>
      <c r="Z152" s="321">
        <v>1</v>
      </c>
      <c r="AA152" s="330">
        <v>160000</v>
      </c>
      <c r="AB152" s="330" t="s">
        <v>65</v>
      </c>
      <c r="AC152" s="331">
        <v>0.1</v>
      </c>
      <c r="AD152" s="331">
        <v>0.02</v>
      </c>
      <c r="AE152" s="330" t="s">
        <v>66</v>
      </c>
      <c r="AF152" s="332">
        <v>40000</v>
      </c>
      <c r="AG152" s="333">
        <v>8</v>
      </c>
      <c r="AH152" s="333">
        <v>7</v>
      </c>
      <c r="AI152" s="333">
        <v>7</v>
      </c>
      <c r="AJ152" s="327">
        <v>15</v>
      </c>
      <c r="AK152" s="334" t="s">
        <v>67</v>
      </c>
      <c r="AL152" s="335" t="s">
        <v>68</v>
      </c>
      <c r="AM152" s="336" t="s">
        <v>69</v>
      </c>
      <c r="AN152" s="336" t="s">
        <v>70</v>
      </c>
      <c r="AO152" s="314">
        <f t="shared" si="255"/>
        <v>0.673622685185185</v>
      </c>
      <c r="AP152" s="315">
        <f t="shared" si="256"/>
        <v>1705</v>
      </c>
      <c r="AQ152" s="316" t="str">
        <f t="shared" si="257"/>
        <v>MICRO</v>
      </c>
    </row>
    <row r="153" ht="29.25" customHeight="1" outlineLevel="1" spans="1:43">
      <c r="B153" s="317">
        <v>0.583344907407407</v>
      </c>
      <c r="C153" s="293" t="str">
        <f t="shared" ref="C153:G153" si="308">TEXT(IF($B153=0," ",$B153-C$6),"hh:mm am/pm")</f>
        <v>12:00 001/p1</v>
      </c>
      <c r="D153" s="293" t="str">
        <f t="shared" si="308"/>
        <v>10:00 001/p1</v>
      </c>
      <c r="E153" s="293" t="str">
        <f t="shared" si="308"/>
        <v>11:00 001/p1</v>
      </c>
      <c r="F153" s="293" t="str">
        <f t="shared" si="308"/>
        <v>12:00 001/p1</v>
      </c>
      <c r="G153" s="293" t="str">
        <f t="shared" si="308"/>
        <v>13:00 001/p1</v>
      </c>
      <c r="H153" s="293" t="str">
        <f t="shared" ref="H153:I153" si="309">TEXT(IF($B153=0," ",$B153+H$6),"hh:mm am/pm")</f>
        <v>20:00 001/p1</v>
      </c>
      <c r="I153" s="293" t="str">
        <f t="shared" si="309"/>
        <v>01:00 001/p1</v>
      </c>
      <c r="J153" s="294" t="s">
        <v>246</v>
      </c>
      <c r="K153" s="295"/>
      <c r="L153" s="337" t="s">
        <v>124</v>
      </c>
      <c r="M153" s="338" t="s">
        <v>71</v>
      </c>
      <c r="N153" s="339" t="s">
        <v>122</v>
      </c>
      <c r="O153" s="340" t="s">
        <v>82</v>
      </c>
      <c r="P153" s="341" t="s">
        <v>59</v>
      </c>
      <c r="Q153" s="342">
        <v>80</v>
      </c>
      <c r="R153" s="343" t="s">
        <v>60</v>
      </c>
      <c r="S153" s="344"/>
      <c r="T153" s="345" t="s">
        <v>61</v>
      </c>
      <c r="U153" s="339" t="s">
        <v>62</v>
      </c>
      <c r="V153" s="339">
        <v>0.6</v>
      </c>
      <c r="W153" s="339">
        <v>0.6</v>
      </c>
      <c r="X153" s="354"/>
      <c r="Y153" s="347" t="s">
        <v>63</v>
      </c>
      <c r="Z153" s="344"/>
      <c r="AA153" s="348" t="s">
        <v>64</v>
      </c>
      <c r="AB153" s="348" t="s">
        <v>65</v>
      </c>
      <c r="AC153" s="349">
        <v>0.1</v>
      </c>
      <c r="AD153" s="349">
        <v>0</v>
      </c>
      <c r="AE153" s="348" t="s">
        <v>66</v>
      </c>
      <c r="AF153" s="346">
        <v>50000</v>
      </c>
      <c r="AG153" s="350">
        <v>8</v>
      </c>
      <c r="AH153" s="350">
        <v>7</v>
      </c>
      <c r="AI153" s="350">
        <v>7</v>
      </c>
      <c r="AJ153" s="345">
        <v>15</v>
      </c>
      <c r="AK153" s="351" t="s">
        <v>67</v>
      </c>
      <c r="AL153" s="352" t="s">
        <v>68</v>
      </c>
      <c r="AM153" s="353" t="s">
        <v>69</v>
      </c>
      <c r="AN153" s="353" t="s">
        <v>70</v>
      </c>
      <c r="AO153" s="314">
        <f t="shared" si="255"/>
        <v>0.673622685185185</v>
      </c>
      <c r="AP153" s="315">
        <f t="shared" si="256"/>
        <v>149</v>
      </c>
      <c r="AQ153" s="316" t="str">
        <f t="shared" si="257"/>
        <v>MICRO</v>
      </c>
    </row>
    <row r="154" ht="29.25" customHeight="1" outlineLevel="1" spans="1:43">
      <c r="A154" s="363" t="s">
        <v>224</v>
      </c>
      <c r="B154" s="317">
        <v>0.625011574074074</v>
      </c>
      <c r="C154" s="293" t="str">
        <f t="shared" ref="C154:G154" si="310">TEXT(IF($B154=0," ",$B154-C$6),"hh:mm am/pm")</f>
        <v>13:00 001/p1</v>
      </c>
      <c r="D154" s="293" t="str">
        <f t="shared" si="310"/>
        <v>11:00 001/p1</v>
      </c>
      <c r="E154" s="293" t="str">
        <f t="shared" si="310"/>
        <v>12:00 001/p1</v>
      </c>
      <c r="F154" s="293" t="str">
        <f t="shared" si="310"/>
        <v>13:00 001/p1</v>
      </c>
      <c r="G154" s="293" t="str">
        <f t="shared" si="310"/>
        <v>14:00 001/p1</v>
      </c>
      <c r="H154" s="293" t="str">
        <f t="shared" ref="H154:I154" si="311">TEXT(IF($B154=0," ",$B154+H$6),"hh:mm am/pm")</f>
        <v>21:00 001/p1</v>
      </c>
      <c r="I154" s="293" t="str">
        <f t="shared" si="311"/>
        <v>02:00 001/p1</v>
      </c>
      <c r="J154" s="318" t="s">
        <v>168</v>
      </c>
      <c r="K154" s="295"/>
      <c r="L154" s="319" t="s">
        <v>73</v>
      </c>
      <c r="M154" s="320" t="s">
        <v>71</v>
      </c>
      <c r="N154" s="321" t="s">
        <v>57</v>
      </c>
      <c r="O154" s="322" t="s">
        <v>74</v>
      </c>
      <c r="P154" s="323" t="s">
        <v>75</v>
      </c>
      <c r="Q154" s="324">
        <v>4200</v>
      </c>
      <c r="R154" s="325" t="s">
        <v>76</v>
      </c>
      <c r="S154" s="326"/>
      <c r="T154" s="327" t="s">
        <v>115</v>
      </c>
      <c r="U154" s="321" t="s">
        <v>62</v>
      </c>
      <c r="V154" s="321">
        <v>3</v>
      </c>
      <c r="W154" s="321">
        <v>3</v>
      </c>
      <c r="X154" s="328"/>
      <c r="Y154" s="329" t="s">
        <v>79</v>
      </c>
      <c r="Z154" s="321">
        <v>3</v>
      </c>
      <c r="AA154" s="330">
        <v>160000</v>
      </c>
      <c r="AB154" s="330" t="s">
        <v>65</v>
      </c>
      <c r="AC154" s="331">
        <v>0.1</v>
      </c>
      <c r="AD154" s="331">
        <v>0.02</v>
      </c>
      <c r="AE154" s="330" t="s">
        <v>88</v>
      </c>
      <c r="AF154" s="332">
        <v>40000</v>
      </c>
      <c r="AG154" s="333">
        <v>10</v>
      </c>
      <c r="AH154" s="333">
        <v>8</v>
      </c>
      <c r="AI154" s="333">
        <v>8</v>
      </c>
      <c r="AJ154" s="327">
        <v>14</v>
      </c>
      <c r="AK154" s="334" t="s">
        <v>67</v>
      </c>
      <c r="AL154" s="335" t="s">
        <v>68</v>
      </c>
      <c r="AM154" s="336" t="s">
        <v>69</v>
      </c>
      <c r="AN154" s="336" t="s">
        <v>70</v>
      </c>
      <c r="AO154" s="314">
        <f t="shared" si="255"/>
        <v>0.729178240740741</v>
      </c>
      <c r="AP154" s="315">
        <f t="shared" si="256"/>
        <v>1591</v>
      </c>
      <c r="AQ154" s="316" t="str">
        <f t="shared" si="257"/>
        <v>MICRO</v>
      </c>
    </row>
    <row r="155" ht="29.25" customHeight="1" outlineLevel="1" spans="1:43">
      <c r="B155" s="317">
        <v>0.625011574074074</v>
      </c>
      <c r="C155" s="293" t="str">
        <f t="shared" ref="C155:G155" si="312">TEXT(IF($B155=0," ",$B155-C$6),"hh:mm am/pm")</f>
        <v>13:00 001/p1</v>
      </c>
      <c r="D155" s="293" t="str">
        <f t="shared" si="312"/>
        <v>11:00 001/p1</v>
      </c>
      <c r="E155" s="293" t="str">
        <f t="shared" si="312"/>
        <v>12:00 001/p1</v>
      </c>
      <c r="F155" s="293" t="str">
        <f t="shared" si="312"/>
        <v>13:00 001/p1</v>
      </c>
      <c r="G155" s="293" t="str">
        <f t="shared" si="312"/>
        <v>14:00 001/p1</v>
      </c>
      <c r="H155" s="293" t="str">
        <f t="shared" ref="H155:I155" si="313">TEXT(IF($B155=0," ",$B155+H$6),"hh:mm am/pm")</f>
        <v>21:00 001/p1</v>
      </c>
      <c r="I155" s="293" t="str">
        <f t="shared" si="313"/>
        <v>02:00 001/p1</v>
      </c>
      <c r="J155" s="294" t="s">
        <v>138</v>
      </c>
      <c r="K155" s="295"/>
      <c r="L155" s="337" t="s">
        <v>139</v>
      </c>
      <c r="M155" s="338" t="s">
        <v>71</v>
      </c>
      <c r="N155" s="339" t="s">
        <v>100</v>
      </c>
      <c r="O155" s="340" t="s">
        <v>82</v>
      </c>
      <c r="P155" s="341" t="s">
        <v>101</v>
      </c>
      <c r="Q155" s="342">
        <v>300</v>
      </c>
      <c r="R155" s="343" t="s">
        <v>60</v>
      </c>
      <c r="S155" s="344"/>
      <c r="T155" s="345" t="s">
        <v>61</v>
      </c>
      <c r="U155" s="339" t="s">
        <v>62</v>
      </c>
      <c r="V155" s="339">
        <v>2</v>
      </c>
      <c r="W155" s="339">
        <v>2</v>
      </c>
      <c r="X155" s="354"/>
      <c r="Y155" s="347" t="s">
        <v>63</v>
      </c>
      <c r="Z155" s="344"/>
      <c r="AA155" s="348" t="s">
        <v>64</v>
      </c>
      <c r="AB155" s="348" t="s">
        <v>65</v>
      </c>
      <c r="AC155" s="349">
        <v>0.1</v>
      </c>
      <c r="AD155" s="349">
        <v>0.02</v>
      </c>
      <c r="AE155" s="348" t="s">
        <v>66</v>
      </c>
      <c r="AF155" s="346">
        <v>50000</v>
      </c>
      <c r="AG155" s="350">
        <v>8</v>
      </c>
      <c r="AH155" s="350">
        <v>8</v>
      </c>
      <c r="AI155" s="350">
        <v>8</v>
      </c>
      <c r="AJ155" s="345">
        <v>15</v>
      </c>
      <c r="AK155" s="351" t="s">
        <v>67</v>
      </c>
      <c r="AL155" s="352" t="s">
        <v>68</v>
      </c>
      <c r="AM155" s="353" t="s">
        <v>69</v>
      </c>
      <c r="AN155" s="353" t="s">
        <v>70</v>
      </c>
      <c r="AO155" s="314">
        <f t="shared" si="255"/>
        <v>0.715289351851852</v>
      </c>
      <c r="AP155" s="315">
        <f t="shared" si="256"/>
        <v>171</v>
      </c>
      <c r="AQ155" s="316" t="str">
        <f t="shared" si="257"/>
        <v>MICRO</v>
      </c>
    </row>
    <row r="156" ht="29.25" customHeight="1" outlineLevel="1" spans="1:43">
      <c r="B156" s="317">
        <v>0.645844907407407</v>
      </c>
      <c r="C156" s="293" t="str">
        <f t="shared" ref="C156:G156" si="314">TEXT(IF($B156=0," ",$B156-C$6),"hh:mm am/pm")</f>
        <v>13:30 001/p1</v>
      </c>
      <c r="D156" s="293" t="str">
        <f t="shared" si="314"/>
        <v>11:30 001/p1</v>
      </c>
      <c r="E156" s="293" t="str">
        <f t="shared" si="314"/>
        <v>12:30 001/p1</v>
      </c>
      <c r="F156" s="293" t="str">
        <f t="shared" si="314"/>
        <v>13:30 001/p1</v>
      </c>
      <c r="G156" s="293" t="str">
        <f t="shared" si="314"/>
        <v>14:30 001/p1</v>
      </c>
      <c r="H156" s="293" t="str">
        <f t="shared" ref="H156:I156" si="315">TEXT(IF($B156=0," ",$B156+H$6),"hh:mm am/pm")</f>
        <v>21:30 001/p1</v>
      </c>
      <c r="I156" s="293" t="str">
        <f t="shared" si="315"/>
        <v>02:30 001/p1</v>
      </c>
      <c r="J156" s="294" t="s">
        <v>169</v>
      </c>
      <c r="K156" s="295"/>
      <c r="L156" s="319" t="s">
        <v>157</v>
      </c>
      <c r="M156" s="320" t="s">
        <v>71</v>
      </c>
      <c r="N156" s="321" t="s">
        <v>100</v>
      </c>
      <c r="O156" s="322" t="s">
        <v>82</v>
      </c>
      <c r="P156" s="323" t="s">
        <v>101</v>
      </c>
      <c r="Q156" s="324">
        <v>2400</v>
      </c>
      <c r="R156" s="375" t="s">
        <v>60</v>
      </c>
      <c r="S156" s="326"/>
      <c r="T156" s="327" t="s">
        <v>92</v>
      </c>
      <c r="U156" s="321" t="s">
        <v>62</v>
      </c>
      <c r="V156" s="321">
        <v>30</v>
      </c>
      <c r="W156" s="321">
        <v>30</v>
      </c>
      <c r="X156" s="328"/>
      <c r="Y156" s="329" t="s">
        <v>63</v>
      </c>
      <c r="Z156" s="326"/>
      <c r="AA156" s="330" t="s">
        <v>64</v>
      </c>
      <c r="AB156" s="330" t="s">
        <v>65</v>
      </c>
      <c r="AC156" s="331">
        <v>0.1</v>
      </c>
      <c r="AD156" s="331">
        <v>0.02</v>
      </c>
      <c r="AE156" s="330" t="s">
        <v>66</v>
      </c>
      <c r="AF156" s="332">
        <v>40000</v>
      </c>
      <c r="AG156" s="333">
        <v>10</v>
      </c>
      <c r="AH156" s="333">
        <v>10</v>
      </c>
      <c r="AI156" s="333">
        <v>10</v>
      </c>
      <c r="AJ156" s="327">
        <v>14</v>
      </c>
      <c r="AK156" s="334" t="s">
        <v>67</v>
      </c>
      <c r="AL156" s="335" t="s">
        <v>68</v>
      </c>
      <c r="AM156" s="336" t="s">
        <v>69</v>
      </c>
      <c r="AN156" s="336" t="s">
        <v>70</v>
      </c>
      <c r="AO156" s="314">
        <f t="shared" si="255"/>
        <v>0.750011574074074</v>
      </c>
      <c r="AP156" s="315">
        <f t="shared" si="256"/>
        <v>91</v>
      </c>
      <c r="AQ156" s="316" t="str">
        <f t="shared" si="257"/>
        <v>MEDIUM</v>
      </c>
    </row>
    <row r="157" ht="29.25" customHeight="1" outlineLevel="1" spans="1:43">
      <c r="A157" s="363"/>
      <c r="B157" s="317">
        <v>0.666678240740741</v>
      </c>
      <c r="C157" s="293" t="str">
        <f t="shared" ref="C157:G157" si="316">TEXT(IF($B157=0," ",$B157-C$6),"hh:mm am/pm")</f>
        <v>14:00 001/p1</v>
      </c>
      <c r="D157" s="293" t="str">
        <f t="shared" si="316"/>
        <v>12:00 001/p1</v>
      </c>
      <c r="E157" s="293" t="str">
        <f t="shared" si="316"/>
        <v>13:00 001/p1</v>
      </c>
      <c r="F157" s="293" t="str">
        <f t="shared" si="316"/>
        <v>14:00 001/p1</v>
      </c>
      <c r="G157" s="293" t="str">
        <f t="shared" si="316"/>
        <v>15:00 001/p1</v>
      </c>
      <c r="H157" s="293" t="str">
        <f t="shared" ref="H157:I157" si="317">TEXT(IF($B157=0," ",$B157+H$6),"hh:mm am/pm")</f>
        <v>22:00 001/p1</v>
      </c>
      <c r="I157" s="293" t="str">
        <f t="shared" si="317"/>
        <v>03:00 001/p1</v>
      </c>
      <c r="J157" s="294" t="s">
        <v>247</v>
      </c>
      <c r="K157" s="295"/>
      <c r="L157" s="337" t="s">
        <v>192</v>
      </c>
      <c r="M157" s="338" t="s">
        <v>71</v>
      </c>
      <c r="N157" s="339" t="s">
        <v>57</v>
      </c>
      <c r="O157" s="340" t="s">
        <v>233</v>
      </c>
      <c r="P157" s="341" t="s">
        <v>59</v>
      </c>
      <c r="Q157" s="342">
        <v>1000</v>
      </c>
      <c r="R157" s="343" t="s">
        <v>60</v>
      </c>
      <c r="S157" s="344"/>
      <c r="T157" s="345" t="s">
        <v>61</v>
      </c>
      <c r="U157" s="339" t="s">
        <v>62</v>
      </c>
      <c r="V157" s="339">
        <v>2</v>
      </c>
      <c r="W157" s="339">
        <v>2</v>
      </c>
      <c r="X157" s="354"/>
      <c r="Y157" s="347" t="s">
        <v>63</v>
      </c>
      <c r="Z157" s="344"/>
      <c r="AA157" s="348" t="s">
        <v>64</v>
      </c>
      <c r="AB157" s="348" t="s">
        <v>65</v>
      </c>
      <c r="AC157" s="349">
        <v>0.1</v>
      </c>
      <c r="AD157" s="349">
        <v>0.02</v>
      </c>
      <c r="AE157" s="348" t="s">
        <v>88</v>
      </c>
      <c r="AF157" s="346">
        <v>60000</v>
      </c>
      <c r="AG157" s="350">
        <v>10</v>
      </c>
      <c r="AH157" s="350">
        <v>8</v>
      </c>
      <c r="AI157" s="350">
        <v>8</v>
      </c>
      <c r="AJ157" s="345">
        <v>14</v>
      </c>
      <c r="AK157" s="351" t="s">
        <v>67</v>
      </c>
      <c r="AL157" s="352" t="s">
        <v>68</v>
      </c>
      <c r="AM157" s="353" t="s">
        <v>69</v>
      </c>
      <c r="AN157" s="353" t="s">
        <v>70</v>
      </c>
      <c r="AO157" s="314">
        <f t="shared" si="255"/>
        <v>0.770844907407407</v>
      </c>
      <c r="AP157" s="315">
        <f t="shared" si="256"/>
        <v>569</v>
      </c>
      <c r="AQ157" s="316" t="str">
        <f t="shared" si="257"/>
        <v>MICRO</v>
      </c>
    </row>
    <row r="158" ht="29.25" customHeight="1" outlineLevel="1" spans="1:43">
      <c r="B158" s="317">
        <v>0.687511574074074</v>
      </c>
      <c r="C158" s="293" t="str">
        <f t="shared" ref="C158:G158" si="318">TEXT(IF($B158=0," ",$B158-C$6),"hh:mm am/pm")</f>
        <v>14:30 001/p1</v>
      </c>
      <c r="D158" s="293" t="str">
        <f t="shared" si="318"/>
        <v>12:30 001/p1</v>
      </c>
      <c r="E158" s="293" t="str">
        <f t="shared" si="318"/>
        <v>13:30 001/p1</v>
      </c>
      <c r="F158" s="293" t="str">
        <f t="shared" si="318"/>
        <v>14:30 001/p1</v>
      </c>
      <c r="G158" s="293" t="str">
        <f t="shared" si="318"/>
        <v>15:30 001/p1</v>
      </c>
      <c r="H158" s="293" t="str">
        <f t="shared" ref="H158:I158" si="319">TEXT(IF($B158=0," ",$B158+H$6),"hh:mm am/pm")</f>
        <v>22:30 001/p1</v>
      </c>
      <c r="I158" s="293" t="str">
        <f t="shared" si="319"/>
        <v>03:30 001/p1</v>
      </c>
      <c r="J158" s="294" t="s">
        <v>248</v>
      </c>
      <c r="K158" s="295"/>
      <c r="L158" s="319" t="s">
        <v>157</v>
      </c>
      <c r="M158" s="320" t="s">
        <v>71</v>
      </c>
      <c r="N158" s="321" t="s">
        <v>100</v>
      </c>
      <c r="O158" s="322" t="s">
        <v>82</v>
      </c>
      <c r="P158" s="323" t="s">
        <v>101</v>
      </c>
      <c r="Q158" s="324">
        <v>1000</v>
      </c>
      <c r="R158" s="375" t="s">
        <v>60</v>
      </c>
      <c r="S158" s="326"/>
      <c r="T158" s="327" t="s">
        <v>61</v>
      </c>
      <c r="U158" s="321" t="s">
        <v>62</v>
      </c>
      <c r="V158" s="321">
        <v>10</v>
      </c>
      <c r="W158" s="321">
        <v>10</v>
      </c>
      <c r="X158" s="328"/>
      <c r="Y158" s="329" t="s">
        <v>63</v>
      </c>
      <c r="Z158" s="326"/>
      <c r="AA158" s="330" t="s">
        <v>64</v>
      </c>
      <c r="AB158" s="330" t="s">
        <v>65</v>
      </c>
      <c r="AC158" s="331">
        <v>0.1</v>
      </c>
      <c r="AD158" s="331">
        <v>0.02</v>
      </c>
      <c r="AE158" s="330" t="s">
        <v>66</v>
      </c>
      <c r="AF158" s="332">
        <v>50000</v>
      </c>
      <c r="AG158" s="333">
        <v>10</v>
      </c>
      <c r="AH158" s="333">
        <v>8</v>
      </c>
      <c r="AI158" s="333">
        <v>8</v>
      </c>
      <c r="AJ158" s="327">
        <v>15</v>
      </c>
      <c r="AK158" s="334" t="s">
        <v>67</v>
      </c>
      <c r="AL158" s="335" t="s">
        <v>68</v>
      </c>
      <c r="AM158" s="336" t="s">
        <v>69</v>
      </c>
      <c r="AN158" s="336" t="s">
        <v>70</v>
      </c>
      <c r="AO158" s="314">
        <f t="shared" si="255"/>
        <v>0.798622685185185</v>
      </c>
      <c r="AP158" s="315">
        <f t="shared" si="256"/>
        <v>114</v>
      </c>
      <c r="AQ158" s="316" t="str">
        <f t="shared" si="257"/>
        <v>LOW</v>
      </c>
    </row>
    <row r="159" ht="29.25" customHeight="1" outlineLevel="1" spans="1:43">
      <c r="A159" s="363" t="s">
        <v>224</v>
      </c>
      <c r="B159" s="317">
        <v>0.708344907407407</v>
      </c>
      <c r="C159" s="293" t="str">
        <f t="shared" ref="C159:G159" si="320">TEXT(IF($B159=0," ",$B159-C$6),"hh:mm am/pm")</f>
        <v>15:00 001/p1</v>
      </c>
      <c r="D159" s="293" t="str">
        <f t="shared" si="320"/>
        <v>13:00 001/p1</v>
      </c>
      <c r="E159" s="293" t="str">
        <f t="shared" si="320"/>
        <v>14:00 001/p1</v>
      </c>
      <c r="F159" s="293" t="str">
        <f t="shared" si="320"/>
        <v>15:00 001/p1</v>
      </c>
      <c r="G159" s="293" t="str">
        <f t="shared" si="320"/>
        <v>16:00 001/p1</v>
      </c>
      <c r="H159" s="293" t="str">
        <f t="shared" ref="H159:I159" si="321">TEXT(IF($B159=0," ",$B159+H$6),"hh:mm am/pm")</f>
        <v>23:00 001/p1</v>
      </c>
      <c r="I159" s="293" t="str">
        <f t="shared" si="321"/>
        <v>04:00 001/p1</v>
      </c>
      <c r="J159" s="294" t="s">
        <v>173</v>
      </c>
      <c r="K159" s="295"/>
      <c r="L159" s="337" t="s">
        <v>174</v>
      </c>
      <c r="M159" s="338" t="s">
        <v>71</v>
      </c>
      <c r="N159" s="339" t="s">
        <v>57</v>
      </c>
      <c r="O159" s="340" t="s">
        <v>82</v>
      </c>
      <c r="P159" s="341" t="s">
        <v>75</v>
      </c>
      <c r="Q159" s="342">
        <v>3000</v>
      </c>
      <c r="R159" s="343" t="s">
        <v>60</v>
      </c>
      <c r="S159" s="344"/>
      <c r="T159" s="345" t="s">
        <v>92</v>
      </c>
      <c r="U159" s="339" t="s">
        <v>62</v>
      </c>
      <c r="V159" s="339">
        <v>5</v>
      </c>
      <c r="W159" s="339">
        <v>5</v>
      </c>
      <c r="X159" s="354"/>
      <c r="Y159" s="347" t="s">
        <v>63</v>
      </c>
      <c r="Z159" s="344"/>
      <c r="AA159" s="348" t="s">
        <v>64</v>
      </c>
      <c r="AB159" s="348" t="s">
        <v>65</v>
      </c>
      <c r="AC159" s="349">
        <v>0.1</v>
      </c>
      <c r="AD159" s="349">
        <v>0.02</v>
      </c>
      <c r="AE159" s="348" t="s">
        <v>88</v>
      </c>
      <c r="AF159" s="346">
        <v>80000</v>
      </c>
      <c r="AG159" s="350">
        <v>12</v>
      </c>
      <c r="AH159" s="350">
        <v>10</v>
      </c>
      <c r="AI159" s="350">
        <v>10</v>
      </c>
      <c r="AJ159" s="345">
        <v>15</v>
      </c>
      <c r="AK159" s="352" t="s">
        <v>67</v>
      </c>
      <c r="AL159" s="352" t="s">
        <v>68</v>
      </c>
      <c r="AM159" s="353" t="s">
        <v>69</v>
      </c>
      <c r="AN159" s="353" t="s">
        <v>70</v>
      </c>
      <c r="AO159" s="314">
        <f t="shared" si="255"/>
        <v>0.843761574074074</v>
      </c>
      <c r="AP159" s="315">
        <f t="shared" si="256"/>
        <v>682</v>
      </c>
      <c r="AQ159" s="316" t="str">
        <f t="shared" si="257"/>
        <v>MICRO</v>
      </c>
    </row>
    <row r="160" ht="29.25" customHeight="1" outlineLevel="1" spans="1:43">
      <c r="B160" s="317">
        <v>0.708344907407407</v>
      </c>
      <c r="C160" s="293" t="str">
        <f t="shared" ref="C160:G160" si="322">TEXT(IF($B160=0," ",$B160-C$6),"hh:mm am/pm")</f>
        <v>15:00 001/p1</v>
      </c>
      <c r="D160" s="293" t="str">
        <f t="shared" si="322"/>
        <v>13:00 001/p1</v>
      </c>
      <c r="E160" s="293" t="str">
        <f t="shared" si="322"/>
        <v>14:00 001/p1</v>
      </c>
      <c r="F160" s="293" t="str">
        <f t="shared" si="322"/>
        <v>15:00 001/p1</v>
      </c>
      <c r="G160" s="293" t="str">
        <f t="shared" si="322"/>
        <v>16:00 001/p1</v>
      </c>
      <c r="H160" s="293" t="str">
        <f t="shared" ref="H160:I160" si="323">TEXT(IF($B160=0," ",$B160+H$6),"hh:mm am/pm")</f>
        <v>23:00 001/p1</v>
      </c>
      <c r="I160" s="293" t="str">
        <f t="shared" si="323"/>
        <v>04:00 001/p1</v>
      </c>
      <c r="J160" s="294" t="s">
        <v>149</v>
      </c>
      <c r="K160" s="295"/>
      <c r="L160" s="319" t="s">
        <v>149</v>
      </c>
      <c r="M160" s="320" t="s">
        <v>71</v>
      </c>
      <c r="N160" s="321" t="s">
        <v>57</v>
      </c>
      <c r="O160" s="322" t="s">
        <v>74</v>
      </c>
      <c r="P160" s="323" t="s">
        <v>75</v>
      </c>
      <c r="Q160" s="324">
        <v>40</v>
      </c>
      <c r="R160" s="375" t="s">
        <v>60</v>
      </c>
      <c r="S160" s="326"/>
      <c r="T160" s="327" t="s">
        <v>61</v>
      </c>
      <c r="U160" s="321" t="s">
        <v>62</v>
      </c>
      <c r="V160" s="321">
        <v>0.6</v>
      </c>
      <c r="W160" s="321">
        <v>0.6</v>
      </c>
      <c r="X160" s="328"/>
      <c r="Y160" s="329" t="s">
        <v>63</v>
      </c>
      <c r="Z160" s="321">
        <v>0.6</v>
      </c>
      <c r="AA160" s="330">
        <v>30000</v>
      </c>
      <c r="AB160" s="330" t="s">
        <v>65</v>
      </c>
      <c r="AC160" s="331">
        <v>0.1</v>
      </c>
      <c r="AD160" s="331">
        <v>0</v>
      </c>
      <c r="AE160" s="330" t="s">
        <v>112</v>
      </c>
      <c r="AF160" s="332">
        <v>20000</v>
      </c>
      <c r="AG160" s="333">
        <v>5</v>
      </c>
      <c r="AH160" s="333">
        <v>5</v>
      </c>
      <c r="AI160" s="333">
        <v>5</v>
      </c>
      <c r="AJ160" s="327">
        <v>15</v>
      </c>
      <c r="AK160" s="335" t="s">
        <v>150</v>
      </c>
      <c r="AL160" s="335" t="s">
        <v>68</v>
      </c>
      <c r="AM160" s="336" t="s">
        <v>69</v>
      </c>
      <c r="AN160" s="336" t="s">
        <v>70</v>
      </c>
      <c r="AO160" s="314">
        <f t="shared" si="255"/>
        <v>0.763900462962963</v>
      </c>
      <c r="AP160" s="315">
        <f t="shared" si="256"/>
        <v>75</v>
      </c>
      <c r="AQ160" s="316" t="str">
        <f t="shared" si="257"/>
        <v>MICRO</v>
      </c>
    </row>
    <row r="161" ht="29.25" customHeight="1" outlineLevel="1" spans="1:43">
      <c r="B161" s="317">
        <v>0.729178240740741</v>
      </c>
      <c r="C161" s="293" t="str">
        <f t="shared" ref="C161:G161" si="324">TEXT(IF($B161=0," ",$B161-C$6),"hh:mm am/pm")</f>
        <v>15:30 001/p1</v>
      </c>
      <c r="D161" s="293" t="str">
        <f t="shared" si="324"/>
        <v>13:30 001/p1</v>
      </c>
      <c r="E161" s="293" t="str">
        <f t="shared" si="324"/>
        <v>14:30 001/p1</v>
      </c>
      <c r="F161" s="293" t="str">
        <f t="shared" si="324"/>
        <v>15:30 001/p1</v>
      </c>
      <c r="G161" s="293" t="str">
        <f t="shared" si="324"/>
        <v>16:30 001/p1</v>
      </c>
      <c r="H161" s="293" t="str">
        <f t="shared" ref="H161:I161" si="325">TEXT(IF($B161=0," ",$B161+H$6),"hh:mm am/pm")</f>
        <v>23:30 001/p1</v>
      </c>
      <c r="I161" s="293" t="str">
        <f t="shared" si="325"/>
        <v>04:30 001/p1</v>
      </c>
      <c r="J161" s="294" t="s">
        <v>175</v>
      </c>
      <c r="K161" s="295"/>
      <c r="L161" s="337" t="s">
        <v>124</v>
      </c>
      <c r="M161" s="338" t="s">
        <v>71</v>
      </c>
      <c r="N161" s="339" t="s">
        <v>165</v>
      </c>
      <c r="O161" s="340" t="s">
        <v>82</v>
      </c>
      <c r="P161" s="341" t="s">
        <v>101</v>
      </c>
      <c r="Q161" s="342">
        <v>150</v>
      </c>
      <c r="R161" s="343" t="s">
        <v>60</v>
      </c>
      <c r="S161" s="344"/>
      <c r="T161" s="345" t="s">
        <v>61</v>
      </c>
      <c r="U161" s="339" t="s">
        <v>62</v>
      </c>
      <c r="V161" s="339">
        <v>1</v>
      </c>
      <c r="W161" s="339">
        <v>1</v>
      </c>
      <c r="X161" s="354"/>
      <c r="Y161" s="347" t="s">
        <v>63</v>
      </c>
      <c r="Z161" s="344"/>
      <c r="AA161" s="348" t="s">
        <v>64</v>
      </c>
      <c r="AB161" s="348" t="s">
        <v>65</v>
      </c>
      <c r="AC161" s="349">
        <v>0.1</v>
      </c>
      <c r="AD161" s="349">
        <v>0</v>
      </c>
      <c r="AE161" s="348" t="s">
        <v>66</v>
      </c>
      <c r="AF161" s="346">
        <v>30000</v>
      </c>
      <c r="AG161" s="350">
        <v>8</v>
      </c>
      <c r="AH161" s="350">
        <v>7</v>
      </c>
      <c r="AI161" s="350">
        <v>7</v>
      </c>
      <c r="AJ161" s="345">
        <v>13</v>
      </c>
      <c r="AK161" s="352" t="s">
        <v>67</v>
      </c>
      <c r="AL161" s="352" t="s">
        <v>68</v>
      </c>
      <c r="AM161" s="353" t="s">
        <v>69</v>
      </c>
      <c r="AN161" s="353" t="s">
        <v>70</v>
      </c>
      <c r="AO161" s="314">
        <f t="shared" si="255"/>
        <v>0.804872685185185</v>
      </c>
      <c r="AP161" s="315">
        <f t="shared" si="256"/>
        <v>167</v>
      </c>
      <c r="AQ161" s="316" t="str">
        <f t="shared" si="257"/>
        <v>MICRO</v>
      </c>
    </row>
    <row r="162" ht="29.25" customHeight="1" outlineLevel="1" spans="1:43">
      <c r="A162" s="363" t="s">
        <v>224</v>
      </c>
      <c r="B162" s="317">
        <v>0.729178240740741</v>
      </c>
      <c r="C162" s="293" t="str">
        <f t="shared" ref="C162:G162" si="326">TEXT(IF($B162=0," ",$B162-C$6),"hh:mm am/pm")</f>
        <v>15:30 001/p1</v>
      </c>
      <c r="D162" s="293" t="str">
        <f t="shared" si="326"/>
        <v>13:30 001/p1</v>
      </c>
      <c r="E162" s="293" t="str">
        <f t="shared" si="326"/>
        <v>14:30 001/p1</v>
      </c>
      <c r="F162" s="293" t="str">
        <f t="shared" si="326"/>
        <v>15:30 001/p1</v>
      </c>
      <c r="G162" s="293" t="str">
        <f t="shared" si="326"/>
        <v>16:30 001/p1</v>
      </c>
      <c r="H162" s="293" t="str">
        <f t="shared" ref="H162:I162" si="327">TEXT(IF($B162=0," ",$B162+H$6),"hh:mm am/pm")</f>
        <v>23:30 001/p1</v>
      </c>
      <c r="I162" s="293" t="str">
        <f t="shared" si="327"/>
        <v>04:30 001/p1</v>
      </c>
      <c r="J162" s="294" t="s">
        <v>249</v>
      </c>
      <c r="K162" s="295"/>
      <c r="L162" s="319" t="s">
        <v>81</v>
      </c>
      <c r="M162" s="320" t="s">
        <v>71</v>
      </c>
      <c r="N162" s="321" t="s">
        <v>57</v>
      </c>
      <c r="O162" s="322" t="s">
        <v>82</v>
      </c>
      <c r="P162" s="323" t="s">
        <v>59</v>
      </c>
      <c r="Q162" s="324">
        <v>3000</v>
      </c>
      <c r="R162" s="375" t="s">
        <v>60</v>
      </c>
      <c r="S162" s="326"/>
      <c r="T162" s="327" t="s">
        <v>61</v>
      </c>
      <c r="U162" s="321" t="s">
        <v>62</v>
      </c>
      <c r="V162" s="321">
        <v>20</v>
      </c>
      <c r="W162" s="321">
        <v>20</v>
      </c>
      <c r="X162" s="328"/>
      <c r="Y162" s="329" t="s">
        <v>63</v>
      </c>
      <c r="Z162" s="326"/>
      <c r="AA162" s="330" t="s">
        <v>64</v>
      </c>
      <c r="AB162" s="330" t="s">
        <v>65</v>
      </c>
      <c r="AC162" s="331">
        <v>0.1</v>
      </c>
      <c r="AD162" s="331">
        <v>0.02</v>
      </c>
      <c r="AE162" s="330" t="s">
        <v>88</v>
      </c>
      <c r="AF162" s="332">
        <v>80000</v>
      </c>
      <c r="AG162" s="333">
        <v>12</v>
      </c>
      <c r="AH162" s="333">
        <v>10</v>
      </c>
      <c r="AI162" s="333">
        <v>10</v>
      </c>
      <c r="AJ162" s="327">
        <v>15</v>
      </c>
      <c r="AK162" s="335" t="s">
        <v>67</v>
      </c>
      <c r="AL162" s="335" t="s">
        <v>68</v>
      </c>
      <c r="AM162" s="336" t="s">
        <v>69</v>
      </c>
      <c r="AN162" s="336" t="s">
        <v>70</v>
      </c>
      <c r="AO162" s="314">
        <f t="shared" si="255"/>
        <v>0.864594907407407</v>
      </c>
      <c r="AP162" s="315">
        <f t="shared" si="256"/>
        <v>171</v>
      </c>
      <c r="AQ162" s="316" t="str">
        <f t="shared" si="257"/>
        <v>MEDIUM</v>
      </c>
    </row>
    <row r="163" ht="29.25" customHeight="1" outlineLevel="1" spans="1:43">
      <c r="B163" s="317">
        <v>0.750011574074074</v>
      </c>
      <c r="C163" s="293" t="str">
        <f t="shared" ref="C163:G163" si="328">TEXT(IF($B163=0," ",$B163-C$6),"hh:mm am/pm")</f>
        <v>16:00 001/p1</v>
      </c>
      <c r="D163" s="293" t="str">
        <f t="shared" si="328"/>
        <v>14:00 001/p1</v>
      </c>
      <c r="E163" s="293" t="str">
        <f t="shared" si="328"/>
        <v>15:00 001/p1</v>
      </c>
      <c r="F163" s="293" t="str">
        <f t="shared" si="328"/>
        <v>16:00 001/p1</v>
      </c>
      <c r="G163" s="293" t="str">
        <f t="shared" si="328"/>
        <v>17:00 001/p1</v>
      </c>
      <c r="H163" s="293" t="str">
        <f t="shared" ref="H163:I163" si="329">TEXT(IF($B163=0," ",$B163+H$6),"hh:mm am/pm")</f>
        <v>00:00 001/p1</v>
      </c>
      <c r="I163" s="293" t="str">
        <f t="shared" si="329"/>
        <v>05:00 001/p1</v>
      </c>
      <c r="J163" s="294" t="s">
        <v>250</v>
      </c>
      <c r="K163" s="295"/>
      <c r="L163" s="337" t="s">
        <v>251</v>
      </c>
      <c r="M163" s="338" t="s">
        <v>71</v>
      </c>
      <c r="N163" s="339" t="s">
        <v>57</v>
      </c>
      <c r="O163" s="340" t="s">
        <v>58</v>
      </c>
      <c r="P163" s="341" t="s">
        <v>59</v>
      </c>
      <c r="Q163" s="342">
        <v>1000</v>
      </c>
      <c r="R163" s="343" t="s">
        <v>60</v>
      </c>
      <c r="S163" s="344"/>
      <c r="T163" s="345" t="s">
        <v>77</v>
      </c>
      <c r="U163" s="339" t="s">
        <v>62</v>
      </c>
      <c r="V163" s="339">
        <v>3</v>
      </c>
      <c r="W163" s="339">
        <v>3</v>
      </c>
      <c r="X163" s="354"/>
      <c r="Y163" s="347" t="s">
        <v>63</v>
      </c>
      <c r="Z163" s="344"/>
      <c r="AA163" s="348" t="s">
        <v>64</v>
      </c>
      <c r="AB163" s="348" t="s">
        <v>65</v>
      </c>
      <c r="AC163" s="349">
        <v>0.1</v>
      </c>
      <c r="AD163" s="349">
        <v>0.02</v>
      </c>
      <c r="AE163" s="348" t="s">
        <v>66</v>
      </c>
      <c r="AF163" s="346">
        <v>50000</v>
      </c>
      <c r="AG163" s="350">
        <v>10</v>
      </c>
      <c r="AH163" s="350">
        <v>8</v>
      </c>
      <c r="AI163" s="350">
        <v>8</v>
      </c>
      <c r="AJ163" s="345">
        <v>15</v>
      </c>
      <c r="AK163" s="352" t="s">
        <v>67</v>
      </c>
      <c r="AL163" s="352" t="s">
        <v>68</v>
      </c>
      <c r="AM163" s="353" t="s">
        <v>69</v>
      </c>
      <c r="AN163" s="353" t="s">
        <v>70</v>
      </c>
      <c r="AO163" s="314">
        <f t="shared" si="255"/>
        <v>0.861122685185185</v>
      </c>
      <c r="AP163" s="315">
        <f t="shared" si="256"/>
        <v>379</v>
      </c>
      <c r="AQ163" s="316" t="str">
        <f t="shared" si="257"/>
        <v>MICRO</v>
      </c>
    </row>
    <row r="164" ht="29.25" customHeight="1" outlineLevel="1" spans="1:43">
      <c r="B164" s="317">
        <v>0.770844907407407</v>
      </c>
      <c r="C164" s="293" t="str">
        <f t="shared" ref="C164:G164" si="330">TEXT(IF($B164=0," ",$B164-C$6),"hh:mm am/pm")</f>
        <v>16:30 001/p1</v>
      </c>
      <c r="D164" s="293" t="str">
        <f t="shared" si="330"/>
        <v>14:30 001/p1</v>
      </c>
      <c r="E164" s="293" t="str">
        <f t="shared" si="330"/>
        <v>15:30 001/p1</v>
      </c>
      <c r="F164" s="293" t="str">
        <f t="shared" si="330"/>
        <v>16:30 001/p1</v>
      </c>
      <c r="G164" s="293" t="str">
        <f t="shared" si="330"/>
        <v>17:30 001/p1</v>
      </c>
      <c r="H164" s="293" t="str">
        <f t="shared" ref="H164:I164" si="331">TEXT(IF($B164=0," ",$B164+H$6),"hh:mm am/pm")</f>
        <v>00:30 001/p1</v>
      </c>
      <c r="I164" s="293" t="str">
        <f t="shared" si="331"/>
        <v>05:30 001/p1</v>
      </c>
      <c r="J164" s="318" t="s">
        <v>176</v>
      </c>
      <c r="K164" s="295"/>
      <c r="L164" s="319" t="s">
        <v>177</v>
      </c>
      <c r="M164" s="320" t="s">
        <v>71</v>
      </c>
      <c r="N164" s="321" t="s">
        <v>57</v>
      </c>
      <c r="O164" s="322" t="s">
        <v>74</v>
      </c>
      <c r="P164" s="323" t="s">
        <v>75</v>
      </c>
      <c r="Q164" s="324">
        <v>1700</v>
      </c>
      <c r="R164" s="325" t="s">
        <v>76</v>
      </c>
      <c r="S164" s="326"/>
      <c r="T164" s="327" t="s">
        <v>115</v>
      </c>
      <c r="U164" s="321" t="s">
        <v>62</v>
      </c>
      <c r="V164" s="321">
        <v>0.6</v>
      </c>
      <c r="W164" s="321">
        <v>0.6</v>
      </c>
      <c r="X164" s="328"/>
      <c r="Y164" s="329" t="s">
        <v>79</v>
      </c>
      <c r="Z164" s="321">
        <v>0.6</v>
      </c>
      <c r="AA164" s="330">
        <v>120000</v>
      </c>
      <c r="AB164" s="330" t="s">
        <v>65</v>
      </c>
      <c r="AC164" s="331">
        <v>0.1</v>
      </c>
      <c r="AD164" s="331">
        <v>0.02</v>
      </c>
      <c r="AE164" s="330" t="s">
        <v>66</v>
      </c>
      <c r="AF164" s="332">
        <v>40000</v>
      </c>
      <c r="AG164" s="333">
        <v>8</v>
      </c>
      <c r="AH164" s="333">
        <v>7</v>
      </c>
      <c r="AI164" s="333">
        <v>7</v>
      </c>
      <c r="AJ164" s="327">
        <v>15</v>
      </c>
      <c r="AK164" s="335" t="s">
        <v>67</v>
      </c>
      <c r="AL164" s="335" t="s">
        <v>68</v>
      </c>
      <c r="AM164" s="336" t="s">
        <v>69</v>
      </c>
      <c r="AN164" s="336" t="s">
        <v>70</v>
      </c>
      <c r="AO164" s="314">
        <f t="shared" si="255"/>
        <v>0.861122685185185</v>
      </c>
      <c r="AP164" s="315">
        <f t="shared" si="256"/>
        <v>3220</v>
      </c>
      <c r="AQ164" s="316" t="str">
        <f t="shared" si="257"/>
        <v>MICRO</v>
      </c>
    </row>
    <row r="165" ht="29.25" customHeight="1" outlineLevel="1" spans="1:43">
      <c r="A165" s="363" t="s">
        <v>224</v>
      </c>
      <c r="B165" s="317">
        <v>0.791678240740741</v>
      </c>
      <c r="C165" s="293" t="str">
        <f t="shared" ref="C165:G165" si="332">TEXT(IF($B165=0," ",$B165-C$6),"hh:mm am/pm")</f>
        <v>17:00 001/p1</v>
      </c>
      <c r="D165" s="293" t="str">
        <f t="shared" si="332"/>
        <v>15:00 001/p1</v>
      </c>
      <c r="E165" s="293" t="str">
        <f t="shared" si="332"/>
        <v>16:00 001/p1</v>
      </c>
      <c r="F165" s="293" t="str">
        <f t="shared" si="332"/>
        <v>17:00 001/p1</v>
      </c>
      <c r="G165" s="293" t="str">
        <f t="shared" si="332"/>
        <v>18:00 001/p1</v>
      </c>
      <c r="H165" s="293" t="str">
        <f t="shared" ref="H165:I165" si="333">TEXT(IF($B165=0," ",$B165+H$6),"hh:mm am/pm")</f>
        <v>01:00 001/p1</v>
      </c>
      <c r="I165" s="293" t="str">
        <f t="shared" si="333"/>
        <v>06:00 001/p1</v>
      </c>
      <c r="J165" s="294" t="s">
        <v>252</v>
      </c>
      <c r="K165" s="295"/>
      <c r="L165" s="337" t="s">
        <v>121</v>
      </c>
      <c r="M165" s="338" t="s">
        <v>71</v>
      </c>
      <c r="N165" s="339" t="s">
        <v>100</v>
      </c>
      <c r="O165" s="340" t="s">
        <v>109</v>
      </c>
      <c r="P165" s="341" t="s">
        <v>101</v>
      </c>
      <c r="Q165" s="342">
        <v>400</v>
      </c>
      <c r="R165" s="343" t="s">
        <v>60</v>
      </c>
      <c r="S165" s="344"/>
      <c r="T165" s="345" t="s">
        <v>61</v>
      </c>
      <c r="U165" s="339" t="s">
        <v>62</v>
      </c>
      <c r="V165" s="339">
        <v>2</v>
      </c>
      <c r="W165" s="339">
        <v>2</v>
      </c>
      <c r="X165" s="354"/>
      <c r="Y165" s="347" t="s">
        <v>63</v>
      </c>
      <c r="Z165" s="344"/>
      <c r="AA165" s="348" t="s">
        <v>64</v>
      </c>
      <c r="AB165" s="348" t="s">
        <v>65</v>
      </c>
      <c r="AC165" s="349">
        <v>0.1</v>
      </c>
      <c r="AD165" s="349">
        <v>0.02</v>
      </c>
      <c r="AE165" s="348" t="s">
        <v>66</v>
      </c>
      <c r="AF165" s="346">
        <v>50000</v>
      </c>
      <c r="AG165" s="350">
        <v>10</v>
      </c>
      <c r="AH165" s="350">
        <v>8</v>
      </c>
      <c r="AI165" s="350">
        <v>8</v>
      </c>
      <c r="AJ165" s="345">
        <v>15</v>
      </c>
      <c r="AK165" s="352" t="s">
        <v>67</v>
      </c>
      <c r="AL165" s="352" t="s">
        <v>68</v>
      </c>
      <c r="AM165" s="353" t="s">
        <v>69</v>
      </c>
      <c r="AN165" s="353" t="s">
        <v>70</v>
      </c>
      <c r="AO165" s="314">
        <f t="shared" si="255"/>
        <v>0.902789351851852</v>
      </c>
      <c r="AP165" s="315">
        <f t="shared" si="256"/>
        <v>228</v>
      </c>
      <c r="AQ165" s="316" t="str">
        <f t="shared" si="257"/>
        <v>MICRO</v>
      </c>
    </row>
    <row r="166" ht="29.25" customHeight="1" outlineLevel="1" spans="1:43">
      <c r="B166" s="317">
        <v>0.791678240740741</v>
      </c>
      <c r="C166" s="293" t="str">
        <f t="shared" ref="C166:G166" si="334">TEXT(IF($B166=0," ",$B166-C$6),"hh:mm am/pm")</f>
        <v>17:00 001/p1</v>
      </c>
      <c r="D166" s="293" t="str">
        <f t="shared" si="334"/>
        <v>15:00 001/p1</v>
      </c>
      <c r="E166" s="293" t="str">
        <f t="shared" si="334"/>
        <v>16:00 001/p1</v>
      </c>
      <c r="F166" s="293" t="str">
        <f t="shared" si="334"/>
        <v>17:00 001/p1</v>
      </c>
      <c r="G166" s="293" t="str">
        <f t="shared" si="334"/>
        <v>18:00 001/p1</v>
      </c>
      <c r="H166" s="293" t="str">
        <f t="shared" ref="H166:I166" si="335">TEXT(IF($B166=0," ",$B166+H$6),"hh:mm am/pm")</f>
        <v>01:00 001/p1</v>
      </c>
      <c r="I166" s="293" t="str">
        <f t="shared" si="335"/>
        <v>06:00 001/p1</v>
      </c>
      <c r="J166" s="294" t="s">
        <v>253</v>
      </c>
      <c r="K166" s="295"/>
      <c r="L166" s="319" t="s">
        <v>157</v>
      </c>
      <c r="M166" s="320" t="s">
        <v>71</v>
      </c>
      <c r="N166" s="321" t="s">
        <v>100</v>
      </c>
      <c r="O166" s="322" t="s">
        <v>82</v>
      </c>
      <c r="P166" s="323" t="s">
        <v>101</v>
      </c>
      <c r="Q166" s="324">
        <v>5000</v>
      </c>
      <c r="R166" s="375" t="s">
        <v>60</v>
      </c>
      <c r="S166" s="326"/>
      <c r="T166" s="327" t="s">
        <v>92</v>
      </c>
      <c r="U166" s="321" t="s">
        <v>62</v>
      </c>
      <c r="V166" s="321">
        <v>15</v>
      </c>
      <c r="W166" s="321">
        <v>15</v>
      </c>
      <c r="X166" s="328"/>
      <c r="Y166" s="329" t="s">
        <v>63</v>
      </c>
      <c r="Z166" s="326"/>
      <c r="AA166" s="330" t="s">
        <v>64</v>
      </c>
      <c r="AB166" s="330" t="s">
        <v>65</v>
      </c>
      <c r="AC166" s="331">
        <v>0.1</v>
      </c>
      <c r="AD166" s="331">
        <v>0.02</v>
      </c>
      <c r="AE166" s="330" t="s">
        <v>66</v>
      </c>
      <c r="AF166" s="332">
        <v>50000</v>
      </c>
      <c r="AG166" s="333">
        <v>12</v>
      </c>
      <c r="AH166" s="333">
        <v>10</v>
      </c>
      <c r="AI166" s="333">
        <v>10</v>
      </c>
      <c r="AJ166" s="327">
        <v>15</v>
      </c>
      <c r="AK166" s="335" t="s">
        <v>67</v>
      </c>
      <c r="AL166" s="335" t="s">
        <v>68</v>
      </c>
      <c r="AM166" s="336" t="s">
        <v>69</v>
      </c>
      <c r="AN166" s="336" t="s">
        <v>70</v>
      </c>
      <c r="AO166" s="314">
        <f t="shared" si="255"/>
        <v>0.927094907407407</v>
      </c>
      <c r="AP166" s="315">
        <f t="shared" si="256"/>
        <v>379</v>
      </c>
      <c r="AQ166" s="316" t="str">
        <f t="shared" si="257"/>
        <v>LOW</v>
      </c>
    </row>
    <row r="167" ht="29.25" customHeight="1" outlineLevel="1" spans="1:43">
      <c r="B167" s="364">
        <v>0.791678240740741</v>
      </c>
      <c r="C167" s="293" t="str">
        <f t="shared" ref="C167:G167" si="336">TEXT(IF($B167=0," ",$B167-C$6),"hh:mm am/pm")</f>
        <v>17:00 001/p1</v>
      </c>
      <c r="D167" s="293" t="str">
        <f t="shared" si="336"/>
        <v>15:00 001/p1</v>
      </c>
      <c r="E167" s="293" t="str">
        <f t="shared" si="336"/>
        <v>16:00 001/p1</v>
      </c>
      <c r="F167" s="293" t="str">
        <f t="shared" si="336"/>
        <v>17:00 001/p1</v>
      </c>
      <c r="G167" s="293" t="str">
        <f t="shared" si="336"/>
        <v>18:00 001/p1</v>
      </c>
      <c r="H167" s="293" t="str">
        <f t="shared" ref="H167:I167" si="337">TEXT(IF($B167=0," ",$B167+H$6),"hh:mm am/pm")</f>
        <v>01:00 001/p1</v>
      </c>
      <c r="I167" s="293" t="str">
        <f t="shared" si="337"/>
        <v>06:00 001/p1</v>
      </c>
      <c r="J167" s="294" t="s">
        <v>254</v>
      </c>
      <c r="K167" s="295"/>
      <c r="L167" s="337" t="s">
        <v>255</v>
      </c>
      <c r="M167" s="338" t="s">
        <v>71</v>
      </c>
      <c r="N167" s="339" t="s">
        <v>57</v>
      </c>
      <c r="O167" s="340" t="s">
        <v>104</v>
      </c>
      <c r="P167" s="341" t="s">
        <v>59</v>
      </c>
      <c r="Q167" s="342">
        <v>800</v>
      </c>
      <c r="R167" s="343" t="s">
        <v>60</v>
      </c>
      <c r="S167" s="344"/>
      <c r="T167" s="345" t="s">
        <v>61</v>
      </c>
      <c r="U167" s="339" t="s">
        <v>62</v>
      </c>
      <c r="V167" s="339">
        <v>1</v>
      </c>
      <c r="W167" s="339">
        <v>1</v>
      </c>
      <c r="X167" s="354"/>
      <c r="Y167" s="346" t="s">
        <v>63</v>
      </c>
      <c r="Z167" s="344"/>
      <c r="AA167" s="348" t="s">
        <v>64</v>
      </c>
      <c r="AB167" s="348" t="s">
        <v>65</v>
      </c>
      <c r="AC167" s="349">
        <v>0.1</v>
      </c>
      <c r="AD167" s="349">
        <v>0.02</v>
      </c>
      <c r="AE167" s="348" t="s">
        <v>66</v>
      </c>
      <c r="AF167" s="346">
        <v>30000</v>
      </c>
      <c r="AG167" s="350">
        <v>10</v>
      </c>
      <c r="AH167" s="350">
        <v>8</v>
      </c>
      <c r="AI167" s="350">
        <v>8</v>
      </c>
      <c r="AJ167" s="345">
        <v>13</v>
      </c>
      <c r="AK167" s="352" t="s">
        <v>67</v>
      </c>
      <c r="AL167" s="352" t="s">
        <v>68</v>
      </c>
      <c r="AM167" s="353" t="s">
        <v>69</v>
      </c>
      <c r="AN167" s="353" t="s">
        <v>70</v>
      </c>
      <c r="AO167" s="314">
        <f t="shared" si="255"/>
        <v>0.888900462962963</v>
      </c>
      <c r="AP167" s="315">
        <f t="shared" si="256"/>
        <v>910</v>
      </c>
      <c r="AQ167" s="316" t="str">
        <f t="shared" si="257"/>
        <v>MICRO</v>
      </c>
    </row>
    <row r="168" ht="29.25" customHeight="1" outlineLevel="1" spans="1:43">
      <c r="A168" s="363"/>
      <c r="B168" s="317">
        <v>0.80556712962963</v>
      </c>
      <c r="C168" s="293" t="str">
        <f t="shared" ref="C168:G168" si="338">TEXT(IF($B168=0," ",$B168-C$6),"hh:mm am/pm")</f>
        <v>17:20 001/p1</v>
      </c>
      <c r="D168" s="293" t="str">
        <f t="shared" si="338"/>
        <v>15:20 001/p1</v>
      </c>
      <c r="E168" s="293" t="str">
        <f t="shared" si="338"/>
        <v>16:20 001/p1</v>
      </c>
      <c r="F168" s="293" t="str">
        <f t="shared" si="338"/>
        <v>17:20 001/p1</v>
      </c>
      <c r="G168" s="293" t="str">
        <f t="shared" si="338"/>
        <v>18:20 001/p1</v>
      </c>
      <c r="H168" s="293" t="str">
        <f t="shared" ref="H168:I168" si="339">TEXT(IF($B168=0," ",$B168+H$6),"hh:mm am/pm")</f>
        <v>01:20 001/p1</v>
      </c>
      <c r="I168" s="293" t="str">
        <f t="shared" si="339"/>
        <v>06:20 001/p1</v>
      </c>
      <c r="J168" s="294" t="s">
        <v>134</v>
      </c>
      <c r="K168" s="295"/>
      <c r="L168" s="319" t="s">
        <v>114</v>
      </c>
      <c r="M168" s="320" t="s">
        <v>71</v>
      </c>
      <c r="N168" s="321" t="s">
        <v>57</v>
      </c>
      <c r="O168" s="322" t="s">
        <v>74</v>
      </c>
      <c r="P168" s="323" t="s">
        <v>75</v>
      </c>
      <c r="Q168" s="324">
        <v>200</v>
      </c>
      <c r="R168" s="375" t="s">
        <v>60</v>
      </c>
      <c r="S168" s="326"/>
      <c r="T168" s="327" t="s">
        <v>77</v>
      </c>
      <c r="U168" s="321" t="s">
        <v>62</v>
      </c>
      <c r="V168" s="321">
        <v>0.2</v>
      </c>
      <c r="W168" s="321">
        <v>0.4</v>
      </c>
      <c r="X168" s="328"/>
      <c r="Y168" s="332" t="s">
        <v>79</v>
      </c>
      <c r="Z168" s="321">
        <v>0.8</v>
      </c>
      <c r="AA168" s="330">
        <v>100000</v>
      </c>
      <c r="AB168" s="330" t="s">
        <v>65</v>
      </c>
      <c r="AC168" s="331">
        <v>0.1</v>
      </c>
      <c r="AD168" s="331">
        <v>0</v>
      </c>
      <c r="AE168" s="330" t="s">
        <v>66</v>
      </c>
      <c r="AF168" s="332">
        <v>40000</v>
      </c>
      <c r="AG168" s="333">
        <v>7</v>
      </c>
      <c r="AH168" s="333">
        <v>6</v>
      </c>
      <c r="AI168" s="333">
        <v>6</v>
      </c>
      <c r="AJ168" s="327">
        <v>15</v>
      </c>
      <c r="AK168" s="335" t="s">
        <v>67</v>
      </c>
      <c r="AL168" s="335" t="s">
        <v>68</v>
      </c>
      <c r="AM168" s="336" t="s">
        <v>69</v>
      </c>
      <c r="AN168" s="336" t="s">
        <v>70</v>
      </c>
      <c r="AO168" s="314">
        <f t="shared" si="255"/>
        <v>0.881956018518518</v>
      </c>
      <c r="AP168" s="315">
        <f t="shared" si="256"/>
        <v>1112</v>
      </c>
      <c r="AQ168" s="316" t="str">
        <f t="shared" si="257"/>
        <v>MICRO</v>
      </c>
    </row>
    <row r="169" ht="29.25" customHeight="1" outlineLevel="1" spans="1:43">
      <c r="B169" s="364">
        <v>0.812511574074074</v>
      </c>
      <c r="C169" s="293" t="str">
        <f t="shared" ref="C169:G169" si="340">TEXT(IF($B169=0," ",$B169-C$6),"hh:mm am/pm")</f>
        <v>17:30 001/p1</v>
      </c>
      <c r="D169" s="293" t="str">
        <f t="shared" si="340"/>
        <v>15:30 001/p1</v>
      </c>
      <c r="E169" s="293" t="str">
        <f t="shared" si="340"/>
        <v>16:30 001/p1</v>
      </c>
      <c r="F169" s="293" t="str">
        <f t="shared" si="340"/>
        <v>17:30 001/p1</v>
      </c>
      <c r="G169" s="293" t="str">
        <f t="shared" si="340"/>
        <v>18:30 001/p1</v>
      </c>
      <c r="H169" s="293" t="str">
        <f t="shared" ref="H169:I169" si="341">TEXT(IF($B169=0," ",$B169+H$6),"hh:mm am/pm")</f>
        <v>01:30 001/p1</v>
      </c>
      <c r="I169" s="293" t="str">
        <f t="shared" si="341"/>
        <v>06:30 001/p1</v>
      </c>
      <c r="J169" s="294" t="s">
        <v>180</v>
      </c>
      <c r="K169" s="295"/>
      <c r="L169" s="337" t="s">
        <v>180</v>
      </c>
      <c r="M169" s="338" t="s">
        <v>71</v>
      </c>
      <c r="N169" s="339" t="s">
        <v>100</v>
      </c>
      <c r="O169" s="340" t="s">
        <v>74</v>
      </c>
      <c r="P169" s="341" t="s">
        <v>256</v>
      </c>
      <c r="Q169" s="342">
        <v>100</v>
      </c>
      <c r="R169" s="343" t="s">
        <v>182</v>
      </c>
      <c r="S169" s="344"/>
      <c r="T169" s="345" t="s">
        <v>61</v>
      </c>
      <c r="U169" s="339" t="s">
        <v>62</v>
      </c>
      <c r="V169" s="339">
        <v>0</v>
      </c>
      <c r="W169" s="344"/>
      <c r="X169" s="354"/>
      <c r="Y169" s="347" t="s">
        <v>161</v>
      </c>
      <c r="Z169" s="344"/>
      <c r="AA169" s="348" t="s">
        <v>162</v>
      </c>
      <c r="AB169" s="348" t="s">
        <v>183</v>
      </c>
      <c r="AC169" s="349">
        <v>0</v>
      </c>
      <c r="AD169" s="349">
        <v>0</v>
      </c>
      <c r="AE169" s="348" t="s">
        <v>88</v>
      </c>
      <c r="AF169" s="346">
        <v>10000</v>
      </c>
      <c r="AG169" s="350">
        <v>6</v>
      </c>
      <c r="AH169" s="350">
        <v>5</v>
      </c>
      <c r="AI169" s="350">
        <v>5</v>
      </c>
      <c r="AJ169" s="345">
        <v>10</v>
      </c>
      <c r="AK169" s="352" t="s">
        <v>257</v>
      </c>
      <c r="AL169" s="378"/>
      <c r="AM169" s="353" t="s">
        <v>69</v>
      </c>
      <c r="AN169" s="353" t="s">
        <v>70</v>
      </c>
      <c r="AO169" s="314">
        <f t="shared" si="255"/>
        <v>0.857650462962963</v>
      </c>
      <c r="AP169" s="315" t="e">
        <f t="shared" si="256"/>
        <v>#DIV/0!</v>
      </c>
      <c r="AQ169" s="316" t="str">
        <f t="shared" si="257"/>
        <v> </v>
      </c>
    </row>
    <row r="170" ht="29.25" customHeight="1" outlineLevel="1" spans="1:43">
      <c r="B170" s="317">
        <v>0.822928240740741</v>
      </c>
      <c r="C170" s="293" t="str">
        <f t="shared" ref="C170:G170" si="342">TEXT(IF($B170=0," ",$B170-C$6),"hh:mm am/pm")</f>
        <v>17:45 001/p1</v>
      </c>
      <c r="D170" s="293" t="str">
        <f t="shared" si="342"/>
        <v>15:45 001/p1</v>
      </c>
      <c r="E170" s="293" t="str">
        <f t="shared" si="342"/>
        <v>16:45 001/p1</v>
      </c>
      <c r="F170" s="293" t="str">
        <f t="shared" si="342"/>
        <v>17:45 001/p1</v>
      </c>
      <c r="G170" s="293" t="str">
        <f t="shared" si="342"/>
        <v>18:45 001/p1</v>
      </c>
      <c r="H170" s="293" t="str">
        <f t="shared" ref="H170:I170" si="343">TEXT(IF($B170=0," ",$B170+H$6),"hh:mm am/pm")</f>
        <v>01:45 001/p1</v>
      </c>
      <c r="I170" s="293" t="str">
        <f t="shared" si="343"/>
        <v>06:45 001/p1</v>
      </c>
      <c r="J170" s="294" t="s">
        <v>149</v>
      </c>
      <c r="K170" s="295"/>
      <c r="L170" s="319" t="s">
        <v>149</v>
      </c>
      <c r="M170" s="320" t="s">
        <v>71</v>
      </c>
      <c r="N170" s="321" t="s">
        <v>57</v>
      </c>
      <c r="O170" s="322" t="s">
        <v>74</v>
      </c>
      <c r="P170" s="323" t="s">
        <v>75</v>
      </c>
      <c r="Q170" s="324">
        <v>40</v>
      </c>
      <c r="R170" s="375" t="s">
        <v>60</v>
      </c>
      <c r="S170" s="326"/>
      <c r="T170" s="327" t="s">
        <v>61</v>
      </c>
      <c r="U170" s="321" t="s">
        <v>62</v>
      </c>
      <c r="V170" s="321">
        <v>0.6</v>
      </c>
      <c r="W170" s="321">
        <v>0.6</v>
      </c>
      <c r="X170" s="328"/>
      <c r="Y170" s="332" t="s">
        <v>63</v>
      </c>
      <c r="Z170" s="321">
        <v>0.6</v>
      </c>
      <c r="AA170" s="330">
        <v>30000</v>
      </c>
      <c r="AB170" s="330" t="s">
        <v>65</v>
      </c>
      <c r="AC170" s="331">
        <v>0.1</v>
      </c>
      <c r="AD170" s="331">
        <v>0</v>
      </c>
      <c r="AE170" s="330" t="s">
        <v>112</v>
      </c>
      <c r="AF170" s="332">
        <v>20000</v>
      </c>
      <c r="AG170" s="333">
        <v>5</v>
      </c>
      <c r="AH170" s="333">
        <v>5</v>
      </c>
      <c r="AI170" s="333">
        <v>5</v>
      </c>
      <c r="AJ170" s="327">
        <v>15</v>
      </c>
      <c r="AK170" s="335" t="s">
        <v>150</v>
      </c>
      <c r="AL170" s="335" t="s">
        <v>68</v>
      </c>
      <c r="AM170" s="336" t="s">
        <v>69</v>
      </c>
      <c r="AN170" s="336" t="s">
        <v>70</v>
      </c>
      <c r="AO170" s="314">
        <f t="shared" si="255"/>
        <v>0.878483796296296</v>
      </c>
      <c r="AP170" s="315">
        <f t="shared" si="256"/>
        <v>75</v>
      </c>
      <c r="AQ170" s="316" t="str">
        <f t="shared" si="257"/>
        <v>MICRO</v>
      </c>
    </row>
    <row r="171" ht="29.25" customHeight="1" outlineLevel="1" spans="1:43">
      <c r="A171" s="363" t="s">
        <v>224</v>
      </c>
      <c r="B171" s="317">
        <v>0.833344907407407</v>
      </c>
      <c r="C171" s="293" t="str">
        <f t="shared" ref="C171:G171" si="344">TEXT(IF($B171=0," ",$B171-C$6),"hh:mm am/pm")</f>
        <v>18:00 001/p1</v>
      </c>
      <c r="D171" s="293" t="str">
        <f t="shared" si="344"/>
        <v>16:00 001/p1</v>
      </c>
      <c r="E171" s="293" t="str">
        <f t="shared" si="344"/>
        <v>17:00 001/p1</v>
      </c>
      <c r="F171" s="293" t="str">
        <f t="shared" si="344"/>
        <v>18:00 001/p1</v>
      </c>
      <c r="G171" s="293" t="str">
        <f t="shared" si="344"/>
        <v>19:00 001/p1</v>
      </c>
      <c r="H171" s="293" t="str">
        <f t="shared" ref="H171:I171" si="345">TEXT(IF($B171=0," ",$B171+H$6),"hh:mm am/pm")</f>
        <v>02:00 001/p1</v>
      </c>
      <c r="I171" s="293" t="str">
        <f t="shared" si="345"/>
        <v>07:00 001/p1</v>
      </c>
      <c r="J171" s="294" t="s">
        <v>258</v>
      </c>
      <c r="K171" s="295"/>
      <c r="L171" s="337" t="s">
        <v>259</v>
      </c>
      <c r="M171" s="338" t="s">
        <v>71</v>
      </c>
      <c r="N171" s="339" t="s">
        <v>57</v>
      </c>
      <c r="O171" s="340" t="s">
        <v>74</v>
      </c>
      <c r="P171" s="341" t="s">
        <v>75</v>
      </c>
      <c r="Q171" s="342">
        <v>1000</v>
      </c>
      <c r="R171" s="343" t="s">
        <v>60</v>
      </c>
      <c r="S171" s="344"/>
      <c r="T171" s="345" t="s">
        <v>77</v>
      </c>
      <c r="U171" s="339" t="s">
        <v>78</v>
      </c>
      <c r="V171" s="339">
        <v>1.6</v>
      </c>
      <c r="W171" s="339">
        <v>1.6</v>
      </c>
      <c r="X171" s="354"/>
      <c r="Y171" s="347" t="s">
        <v>79</v>
      </c>
      <c r="Z171" s="339">
        <v>2.4</v>
      </c>
      <c r="AA171" s="348">
        <v>250000</v>
      </c>
      <c r="AB171" s="348" t="s">
        <v>65</v>
      </c>
      <c r="AC171" s="349">
        <v>0.1</v>
      </c>
      <c r="AD171" s="349">
        <v>0.02</v>
      </c>
      <c r="AE171" s="348" t="s">
        <v>88</v>
      </c>
      <c r="AF171" s="346">
        <v>50000</v>
      </c>
      <c r="AG171" s="350">
        <v>7</v>
      </c>
      <c r="AH171" s="350">
        <v>6</v>
      </c>
      <c r="AI171" s="350">
        <v>6</v>
      </c>
      <c r="AJ171" s="345">
        <v>14</v>
      </c>
      <c r="AK171" s="352" t="s">
        <v>67</v>
      </c>
      <c r="AL171" s="352" t="s">
        <v>68</v>
      </c>
      <c r="AM171" s="353" t="s">
        <v>69</v>
      </c>
      <c r="AN171" s="353" t="s">
        <v>70</v>
      </c>
      <c r="AO171" s="314">
        <f t="shared" si="255"/>
        <v>0.904872685185185</v>
      </c>
      <c r="AP171" s="315">
        <f t="shared" si="256"/>
        <v>711</v>
      </c>
      <c r="AQ171" s="316" t="str">
        <f t="shared" si="257"/>
        <v>MICRO</v>
      </c>
    </row>
    <row r="172" ht="29.25" customHeight="1" outlineLevel="1" spans="1:43">
      <c r="B172" s="317">
        <v>0.833344907407407</v>
      </c>
      <c r="C172" s="293" t="str">
        <f t="shared" ref="C172:G172" si="346">TEXT(IF($B172=0," ",$B172-C$6),"hh:mm am/pm")</f>
        <v>18:00 001/p1</v>
      </c>
      <c r="D172" s="293" t="str">
        <f t="shared" si="346"/>
        <v>16:00 001/p1</v>
      </c>
      <c r="E172" s="293" t="str">
        <f t="shared" si="346"/>
        <v>17:00 001/p1</v>
      </c>
      <c r="F172" s="293" t="str">
        <f t="shared" si="346"/>
        <v>18:00 001/p1</v>
      </c>
      <c r="G172" s="293" t="str">
        <f t="shared" si="346"/>
        <v>19:00 001/p1</v>
      </c>
      <c r="H172" s="293" t="str">
        <f t="shared" ref="H172:I172" si="347">TEXT(IF($B172=0," ",$B172+H$6),"hh:mm am/pm")</f>
        <v>02:00 001/p1</v>
      </c>
      <c r="I172" s="293" t="str">
        <f t="shared" si="347"/>
        <v>07:00 001/p1</v>
      </c>
      <c r="J172" s="294" t="s">
        <v>164</v>
      </c>
      <c r="K172" s="295"/>
      <c r="L172" s="319" t="s">
        <v>129</v>
      </c>
      <c r="M172" s="320" t="s">
        <v>71</v>
      </c>
      <c r="N172" s="321" t="s">
        <v>165</v>
      </c>
      <c r="O172" s="322" t="s">
        <v>74</v>
      </c>
      <c r="P172" s="323" t="s">
        <v>101</v>
      </c>
      <c r="Q172" s="324">
        <v>200</v>
      </c>
      <c r="R172" s="375" t="s">
        <v>60</v>
      </c>
      <c r="S172" s="326"/>
      <c r="T172" s="327" t="s">
        <v>61</v>
      </c>
      <c r="U172" s="321" t="s">
        <v>62</v>
      </c>
      <c r="V172" s="321">
        <v>2</v>
      </c>
      <c r="W172" s="321">
        <v>2</v>
      </c>
      <c r="X172" s="328"/>
      <c r="Y172" s="332" t="s">
        <v>79</v>
      </c>
      <c r="Z172" s="321">
        <v>2</v>
      </c>
      <c r="AA172" s="330">
        <v>100000</v>
      </c>
      <c r="AB172" s="330" t="s">
        <v>65</v>
      </c>
      <c r="AC172" s="331">
        <v>0.1</v>
      </c>
      <c r="AD172" s="331">
        <v>0</v>
      </c>
      <c r="AE172" s="330" t="s">
        <v>88</v>
      </c>
      <c r="AF172" s="332">
        <v>40000</v>
      </c>
      <c r="AG172" s="333">
        <v>10</v>
      </c>
      <c r="AH172" s="333">
        <v>8</v>
      </c>
      <c r="AI172" s="333">
        <v>8</v>
      </c>
      <c r="AJ172" s="327">
        <v>12</v>
      </c>
      <c r="AK172" s="335" t="s">
        <v>67</v>
      </c>
      <c r="AL172" s="335" t="s">
        <v>68</v>
      </c>
      <c r="AM172" s="336" t="s">
        <v>69</v>
      </c>
      <c r="AN172" s="336" t="s">
        <v>70</v>
      </c>
      <c r="AO172" s="314">
        <f t="shared" si="255"/>
        <v>0.923622685185185</v>
      </c>
      <c r="AP172" s="315">
        <f t="shared" si="256"/>
        <v>112</v>
      </c>
      <c r="AQ172" s="316" t="str">
        <f t="shared" si="257"/>
        <v>MICRO</v>
      </c>
    </row>
    <row r="173" ht="29.25" customHeight="1" outlineLevel="1" spans="1:43">
      <c r="B173" s="317">
        <v>0.833344907407407</v>
      </c>
      <c r="C173" s="293" t="str">
        <f t="shared" ref="C173:G173" si="348">TEXT(IF($B173=0," ",$B173-C$6),"hh:mm am/pm")</f>
        <v>18:00 001/p1</v>
      </c>
      <c r="D173" s="293" t="str">
        <f t="shared" si="348"/>
        <v>16:00 001/p1</v>
      </c>
      <c r="E173" s="293" t="str">
        <f t="shared" si="348"/>
        <v>17:00 001/p1</v>
      </c>
      <c r="F173" s="293" t="str">
        <f t="shared" si="348"/>
        <v>18:00 001/p1</v>
      </c>
      <c r="G173" s="293" t="str">
        <f t="shared" si="348"/>
        <v>19:00 001/p1</v>
      </c>
      <c r="H173" s="293" t="str">
        <f t="shared" ref="H173:I173" si="349">TEXT(IF($B173=0," ",$B173+H$6),"hh:mm am/pm")</f>
        <v>02:00 001/p1</v>
      </c>
      <c r="I173" s="293" t="str">
        <f t="shared" si="349"/>
        <v>07:00 001/p1</v>
      </c>
      <c r="J173" s="318" t="s">
        <v>225</v>
      </c>
      <c r="K173" s="295"/>
      <c r="L173" s="337" t="s">
        <v>73</v>
      </c>
      <c r="M173" s="338" t="s">
        <v>71</v>
      </c>
      <c r="N173" s="339" t="s">
        <v>57</v>
      </c>
      <c r="O173" s="340" t="s">
        <v>74</v>
      </c>
      <c r="P173" s="341" t="s">
        <v>75</v>
      </c>
      <c r="Q173" s="342">
        <v>6200</v>
      </c>
      <c r="R173" s="325" t="s">
        <v>76</v>
      </c>
      <c r="S173" s="344"/>
      <c r="T173" s="345" t="s">
        <v>115</v>
      </c>
      <c r="U173" s="339" t="s">
        <v>62</v>
      </c>
      <c r="V173" s="339">
        <v>4</v>
      </c>
      <c r="W173" s="339">
        <v>4</v>
      </c>
      <c r="X173" s="354"/>
      <c r="Y173" s="347" t="s">
        <v>79</v>
      </c>
      <c r="Z173" s="339">
        <v>4</v>
      </c>
      <c r="AA173" s="348">
        <v>200000</v>
      </c>
      <c r="AB173" s="348" t="s">
        <v>65</v>
      </c>
      <c r="AC173" s="349">
        <v>0.1</v>
      </c>
      <c r="AD173" s="349">
        <v>0.02</v>
      </c>
      <c r="AE173" s="348" t="s">
        <v>88</v>
      </c>
      <c r="AF173" s="346">
        <v>50000</v>
      </c>
      <c r="AG173" s="350">
        <v>10</v>
      </c>
      <c r="AH173" s="350">
        <v>8</v>
      </c>
      <c r="AI173" s="350">
        <v>8</v>
      </c>
      <c r="AJ173" s="345">
        <v>14</v>
      </c>
      <c r="AK173" s="352" t="s">
        <v>67</v>
      </c>
      <c r="AL173" s="352" t="s">
        <v>68</v>
      </c>
      <c r="AM173" s="353" t="s">
        <v>69</v>
      </c>
      <c r="AN173" s="353" t="s">
        <v>70</v>
      </c>
      <c r="AO173" s="314">
        <f t="shared" si="255"/>
        <v>0.937511574074074</v>
      </c>
      <c r="AP173" s="315">
        <f t="shared" si="256"/>
        <v>1762</v>
      </c>
      <c r="AQ173" s="316" t="str">
        <f t="shared" si="257"/>
        <v>MICRO</v>
      </c>
    </row>
    <row r="174" ht="29.25" customHeight="1" outlineLevel="1" spans="1:43">
      <c r="A174" s="363" t="s">
        <v>224</v>
      </c>
      <c r="B174" s="317">
        <v>0.833344907407407</v>
      </c>
      <c r="C174" s="293" t="str">
        <f t="shared" ref="C174:G174" si="350">TEXT(IF($B174=0," ",$B174-C$6),"hh:mm am/pm")</f>
        <v>18:00 001/p1</v>
      </c>
      <c r="D174" s="293" t="str">
        <f t="shared" si="350"/>
        <v>16:00 001/p1</v>
      </c>
      <c r="E174" s="293" t="str">
        <f t="shared" si="350"/>
        <v>17:00 001/p1</v>
      </c>
      <c r="F174" s="293" t="str">
        <f t="shared" si="350"/>
        <v>18:00 001/p1</v>
      </c>
      <c r="G174" s="293" t="str">
        <f t="shared" si="350"/>
        <v>19:00 001/p1</v>
      </c>
      <c r="H174" s="293" t="str">
        <f t="shared" ref="H174:I174" si="351">TEXT(IF($B174=0," ",$B174+H$6),"hh:mm am/pm")</f>
        <v>02:00 001/p1</v>
      </c>
      <c r="I174" s="293" t="str">
        <f t="shared" si="351"/>
        <v>07:00 001/p1</v>
      </c>
      <c r="J174" s="294" t="s">
        <v>248</v>
      </c>
      <c r="K174" s="295"/>
      <c r="L174" s="319" t="s">
        <v>157</v>
      </c>
      <c r="M174" s="320" t="s">
        <v>71</v>
      </c>
      <c r="N174" s="321" t="s">
        <v>100</v>
      </c>
      <c r="O174" s="322" t="s">
        <v>82</v>
      </c>
      <c r="P174" s="323" t="s">
        <v>101</v>
      </c>
      <c r="Q174" s="324">
        <v>1000</v>
      </c>
      <c r="R174" s="375" t="s">
        <v>60</v>
      </c>
      <c r="S174" s="326"/>
      <c r="T174" s="327" t="s">
        <v>61</v>
      </c>
      <c r="U174" s="321" t="s">
        <v>62</v>
      </c>
      <c r="V174" s="321">
        <v>6</v>
      </c>
      <c r="W174" s="321">
        <v>6</v>
      </c>
      <c r="X174" s="328"/>
      <c r="Y174" s="329" t="s">
        <v>63</v>
      </c>
      <c r="Z174" s="326"/>
      <c r="AA174" s="330" t="s">
        <v>64</v>
      </c>
      <c r="AB174" s="330" t="s">
        <v>65</v>
      </c>
      <c r="AC174" s="331">
        <v>0.1</v>
      </c>
      <c r="AD174" s="331">
        <v>0.02</v>
      </c>
      <c r="AE174" s="330" t="s">
        <v>66</v>
      </c>
      <c r="AF174" s="332">
        <v>50000</v>
      </c>
      <c r="AG174" s="333">
        <v>10</v>
      </c>
      <c r="AH174" s="333">
        <v>8</v>
      </c>
      <c r="AI174" s="333">
        <v>8</v>
      </c>
      <c r="AJ174" s="327">
        <v>15</v>
      </c>
      <c r="AK174" s="335" t="s">
        <v>67</v>
      </c>
      <c r="AL174" s="335" t="s">
        <v>68</v>
      </c>
      <c r="AM174" s="336" t="s">
        <v>69</v>
      </c>
      <c r="AN174" s="336" t="s">
        <v>70</v>
      </c>
      <c r="AO174" s="314">
        <f t="shared" si="255"/>
        <v>0.944456018518518</v>
      </c>
      <c r="AP174" s="315">
        <f t="shared" si="256"/>
        <v>190</v>
      </c>
      <c r="AQ174" s="316" t="str">
        <f t="shared" si="257"/>
        <v>LOW</v>
      </c>
    </row>
    <row r="175" ht="29.25" customHeight="1" outlineLevel="1" spans="1:43">
      <c r="B175" s="317">
        <v>0.875011574074074</v>
      </c>
      <c r="C175" s="293" t="str">
        <f t="shared" ref="C175:G175" si="352">TEXT(IF($B175=0," ",$B175-C$6),"hh:mm am/pm")</f>
        <v>19:00 001/p1</v>
      </c>
      <c r="D175" s="293" t="str">
        <f t="shared" si="352"/>
        <v>17:00 001/p1</v>
      </c>
      <c r="E175" s="293" t="str">
        <f t="shared" si="352"/>
        <v>18:00 001/p1</v>
      </c>
      <c r="F175" s="293" t="str">
        <f t="shared" si="352"/>
        <v>19:00 001/p1</v>
      </c>
      <c r="G175" s="293" t="str">
        <f t="shared" si="352"/>
        <v>20:00 001/p1</v>
      </c>
      <c r="H175" s="293" t="str">
        <f t="shared" ref="H175:I175" si="353">TEXT(IF($B175=0," ",$B175+H$6),"hh:mm am/pm")</f>
        <v>03:00 001/p1</v>
      </c>
      <c r="I175" s="293" t="str">
        <f t="shared" si="353"/>
        <v>08:00 001/p1</v>
      </c>
      <c r="J175" s="294" t="s">
        <v>260</v>
      </c>
      <c r="K175" s="295"/>
      <c r="L175" s="337" t="s">
        <v>192</v>
      </c>
      <c r="M175" s="338" t="s">
        <v>71</v>
      </c>
      <c r="N175" s="339" t="s">
        <v>57</v>
      </c>
      <c r="O175" s="340" t="s">
        <v>233</v>
      </c>
      <c r="P175" s="341" t="s">
        <v>59</v>
      </c>
      <c r="Q175" s="342">
        <v>2400</v>
      </c>
      <c r="R175" s="343" t="s">
        <v>60</v>
      </c>
      <c r="S175" s="344"/>
      <c r="T175" s="345" t="s">
        <v>61</v>
      </c>
      <c r="U175" s="339" t="s">
        <v>62</v>
      </c>
      <c r="V175" s="339">
        <v>8</v>
      </c>
      <c r="W175" s="339">
        <v>8</v>
      </c>
      <c r="X175" s="354"/>
      <c r="Y175" s="347" t="s">
        <v>63</v>
      </c>
      <c r="Z175" s="344"/>
      <c r="AA175" s="348" t="s">
        <v>64</v>
      </c>
      <c r="AB175" s="348" t="s">
        <v>65</v>
      </c>
      <c r="AC175" s="349">
        <v>0.1</v>
      </c>
      <c r="AD175" s="349">
        <v>0.02</v>
      </c>
      <c r="AE175" s="348" t="s">
        <v>88</v>
      </c>
      <c r="AF175" s="346">
        <v>60000</v>
      </c>
      <c r="AG175" s="350">
        <v>10</v>
      </c>
      <c r="AH175" s="350">
        <v>8</v>
      </c>
      <c r="AI175" s="350">
        <v>8</v>
      </c>
      <c r="AJ175" s="345">
        <v>14</v>
      </c>
      <c r="AK175" s="352" t="s">
        <v>67</v>
      </c>
      <c r="AL175" s="352" t="s">
        <v>68</v>
      </c>
      <c r="AM175" s="353" t="s">
        <v>69</v>
      </c>
      <c r="AN175" s="353" t="s">
        <v>70</v>
      </c>
      <c r="AO175" s="314">
        <f t="shared" si="255"/>
        <v>0.979178240740741</v>
      </c>
      <c r="AP175" s="315">
        <f t="shared" si="256"/>
        <v>341</v>
      </c>
      <c r="AQ175" s="316" t="str">
        <f t="shared" si="257"/>
        <v>LOW</v>
      </c>
    </row>
    <row r="176" ht="29.25" customHeight="1" outlineLevel="1" spans="1:43">
      <c r="B176" s="317">
        <v>0.875011574074074</v>
      </c>
      <c r="C176" s="293" t="str">
        <f t="shared" ref="C176:G176" si="354">TEXT(IF($B176=0," ",$B176-C$6),"hh:mm am/pm")</f>
        <v>19:00 001/p1</v>
      </c>
      <c r="D176" s="293" t="str">
        <f t="shared" si="354"/>
        <v>17:00 001/p1</v>
      </c>
      <c r="E176" s="293" t="str">
        <f t="shared" si="354"/>
        <v>18:00 001/p1</v>
      </c>
      <c r="F176" s="293" t="str">
        <f t="shared" si="354"/>
        <v>19:00 001/p1</v>
      </c>
      <c r="G176" s="293" t="str">
        <f t="shared" si="354"/>
        <v>20:00 001/p1</v>
      </c>
      <c r="H176" s="293" t="str">
        <f t="shared" ref="H176:I176" si="355">TEXT(IF($B176=0," ",$B176+H$6),"hh:mm am/pm")</f>
        <v>03:00 001/p1</v>
      </c>
      <c r="I176" s="293" t="str">
        <f t="shared" si="355"/>
        <v>08:00 001/p1</v>
      </c>
      <c r="J176" s="294" t="s">
        <v>261</v>
      </c>
      <c r="K176" s="295"/>
      <c r="L176" s="319" t="s">
        <v>160</v>
      </c>
      <c r="M176" s="320" t="s">
        <v>71</v>
      </c>
      <c r="N176" s="321" t="s">
        <v>57</v>
      </c>
      <c r="O176" s="322" t="s">
        <v>74</v>
      </c>
      <c r="P176" s="323" t="s">
        <v>59</v>
      </c>
      <c r="Q176" s="324">
        <v>6000</v>
      </c>
      <c r="R176" s="375" t="s">
        <v>60</v>
      </c>
      <c r="S176" s="326"/>
      <c r="T176" s="327" t="s">
        <v>61</v>
      </c>
      <c r="U176" s="321" t="s">
        <v>62</v>
      </c>
      <c r="V176" s="321">
        <v>30</v>
      </c>
      <c r="W176" s="326"/>
      <c r="X176" s="328"/>
      <c r="Y176" s="329" t="s">
        <v>161</v>
      </c>
      <c r="Z176" s="326"/>
      <c r="AA176" s="330" t="s">
        <v>162</v>
      </c>
      <c r="AB176" s="330" t="s">
        <v>65</v>
      </c>
      <c r="AC176" s="331">
        <v>0.08</v>
      </c>
      <c r="AD176" s="331">
        <v>0.02</v>
      </c>
      <c r="AE176" s="330" t="s">
        <v>66</v>
      </c>
      <c r="AF176" s="332">
        <v>40000</v>
      </c>
      <c r="AG176" s="333">
        <v>10</v>
      </c>
      <c r="AH176" s="333">
        <v>10</v>
      </c>
      <c r="AI176" s="333">
        <v>10</v>
      </c>
      <c r="AJ176" s="327">
        <v>14</v>
      </c>
      <c r="AK176" s="335" t="s">
        <v>67</v>
      </c>
      <c r="AL176" s="335" t="s">
        <v>68</v>
      </c>
      <c r="AM176" s="336" t="s">
        <v>69</v>
      </c>
      <c r="AN176" s="336" t="s">
        <v>70</v>
      </c>
      <c r="AO176" s="314">
        <f t="shared" si="255"/>
        <v>0.979178240740741</v>
      </c>
      <c r="AP176" s="315">
        <f t="shared" si="256"/>
        <v>223</v>
      </c>
      <c r="AQ176" s="316" t="str">
        <f t="shared" si="257"/>
        <v>MEDIUM</v>
      </c>
    </row>
    <row r="177" ht="29.25" customHeight="1" outlineLevel="1" spans="1:43">
      <c r="A177" s="363" t="s">
        <v>224</v>
      </c>
      <c r="B177" s="317">
        <v>0.875011574074074</v>
      </c>
      <c r="C177" s="293" t="str">
        <f t="shared" ref="C177:G177" si="356">TEXT(IF($B177=0," ",$B177-C$6),"hh:mm am/pm")</f>
        <v>19:00 001/p1</v>
      </c>
      <c r="D177" s="293" t="str">
        <f t="shared" si="356"/>
        <v>17:00 001/p1</v>
      </c>
      <c r="E177" s="293" t="str">
        <f t="shared" si="356"/>
        <v>18:00 001/p1</v>
      </c>
      <c r="F177" s="293" t="str">
        <f t="shared" si="356"/>
        <v>19:00 001/p1</v>
      </c>
      <c r="G177" s="293" t="str">
        <f t="shared" si="356"/>
        <v>20:00 001/p1</v>
      </c>
      <c r="H177" s="293" t="str">
        <f t="shared" ref="H177:I177" si="357">TEXT(IF($B177=0," ",$B177+H$6),"hh:mm am/pm")</f>
        <v>03:00 001/p1</v>
      </c>
      <c r="I177" s="293" t="str">
        <f t="shared" si="357"/>
        <v>08:00 001/p1</v>
      </c>
      <c r="J177" s="294" t="s">
        <v>116</v>
      </c>
      <c r="K177" s="295"/>
      <c r="L177" s="337" t="s">
        <v>117</v>
      </c>
      <c r="M177" s="338" t="s">
        <v>71</v>
      </c>
      <c r="N177" s="339" t="s">
        <v>100</v>
      </c>
      <c r="O177" s="340" t="s">
        <v>74</v>
      </c>
      <c r="P177" s="341" t="s">
        <v>101</v>
      </c>
      <c r="Q177" s="342">
        <v>240</v>
      </c>
      <c r="R177" s="343" t="s">
        <v>60</v>
      </c>
      <c r="S177" s="344"/>
      <c r="T177" s="345" t="s">
        <v>61</v>
      </c>
      <c r="U177" s="339" t="s">
        <v>62</v>
      </c>
      <c r="V177" s="339">
        <v>1</v>
      </c>
      <c r="W177" s="339">
        <v>1</v>
      </c>
      <c r="X177" s="354"/>
      <c r="Y177" s="347" t="s">
        <v>79</v>
      </c>
      <c r="Z177" s="339">
        <v>1</v>
      </c>
      <c r="AA177" s="348">
        <v>90000</v>
      </c>
      <c r="AB177" s="348" t="s">
        <v>65</v>
      </c>
      <c r="AC177" s="349">
        <v>0.1</v>
      </c>
      <c r="AD177" s="349">
        <v>0.02</v>
      </c>
      <c r="AE177" s="348" t="s">
        <v>88</v>
      </c>
      <c r="AF177" s="346">
        <v>30000</v>
      </c>
      <c r="AG177" s="350">
        <v>8</v>
      </c>
      <c r="AH177" s="350">
        <v>7</v>
      </c>
      <c r="AI177" s="350">
        <v>7</v>
      </c>
      <c r="AJ177" s="345">
        <v>12</v>
      </c>
      <c r="AK177" s="352" t="s">
        <v>67</v>
      </c>
      <c r="AL177" s="352" t="s">
        <v>68</v>
      </c>
      <c r="AM177" s="353" t="s">
        <v>69</v>
      </c>
      <c r="AN177" s="353" t="s">
        <v>70</v>
      </c>
      <c r="AO177" s="314">
        <f t="shared" si="255"/>
        <v>0.945150462962963</v>
      </c>
      <c r="AP177" s="315">
        <f t="shared" si="256"/>
        <v>273</v>
      </c>
      <c r="AQ177" s="316" t="str">
        <f t="shared" si="257"/>
        <v>MICRO</v>
      </c>
    </row>
    <row r="178" ht="29.25" customHeight="1" outlineLevel="1" spans="1:43">
      <c r="B178" s="317">
        <v>0.875011574074074</v>
      </c>
      <c r="C178" s="293" t="str">
        <f t="shared" ref="C178:G178" si="358">TEXT(IF($B178=0," ",$B178-C$6),"hh:mm am/pm")</f>
        <v>19:00 001/p1</v>
      </c>
      <c r="D178" s="293" t="str">
        <f t="shared" si="358"/>
        <v>17:00 001/p1</v>
      </c>
      <c r="E178" s="293" t="str">
        <f t="shared" si="358"/>
        <v>18:00 001/p1</v>
      </c>
      <c r="F178" s="293" t="str">
        <f t="shared" si="358"/>
        <v>19:00 001/p1</v>
      </c>
      <c r="G178" s="293" t="str">
        <f t="shared" si="358"/>
        <v>20:00 001/p1</v>
      </c>
      <c r="H178" s="293" t="str">
        <f t="shared" ref="H178:I178" si="359">TEXT(IF($B178=0," ",$B178+H$6),"hh:mm am/pm")</f>
        <v>03:00 001/p1</v>
      </c>
      <c r="I178" s="293" t="str">
        <f t="shared" si="359"/>
        <v>08:00 001/p1</v>
      </c>
      <c r="J178" s="294" t="s">
        <v>175</v>
      </c>
      <c r="K178" s="295"/>
      <c r="L178" s="319" t="s">
        <v>124</v>
      </c>
      <c r="M178" s="320" t="s">
        <v>71</v>
      </c>
      <c r="N178" s="321" t="s">
        <v>122</v>
      </c>
      <c r="O178" s="322" t="s">
        <v>82</v>
      </c>
      <c r="P178" s="323" t="s">
        <v>59</v>
      </c>
      <c r="Q178" s="324">
        <v>150</v>
      </c>
      <c r="R178" s="375" t="s">
        <v>60</v>
      </c>
      <c r="S178" s="326"/>
      <c r="T178" s="327" t="s">
        <v>61</v>
      </c>
      <c r="U178" s="321" t="s">
        <v>62</v>
      </c>
      <c r="V178" s="321">
        <v>0.6</v>
      </c>
      <c r="W178" s="321">
        <v>0.6</v>
      </c>
      <c r="X178" s="328"/>
      <c r="Y178" s="329" t="s">
        <v>63</v>
      </c>
      <c r="Z178" s="326"/>
      <c r="AA178" s="330" t="s">
        <v>64</v>
      </c>
      <c r="AB178" s="330" t="s">
        <v>65</v>
      </c>
      <c r="AC178" s="331">
        <v>0.1</v>
      </c>
      <c r="AD178" s="331">
        <v>0</v>
      </c>
      <c r="AE178" s="330" t="s">
        <v>66</v>
      </c>
      <c r="AF178" s="332">
        <v>50000</v>
      </c>
      <c r="AG178" s="333">
        <v>7</v>
      </c>
      <c r="AH178" s="333">
        <v>6</v>
      </c>
      <c r="AI178" s="333">
        <v>6</v>
      </c>
      <c r="AJ178" s="327">
        <v>15</v>
      </c>
      <c r="AK178" s="335" t="s">
        <v>67</v>
      </c>
      <c r="AL178" s="335" t="s">
        <v>68</v>
      </c>
      <c r="AM178" s="336" t="s">
        <v>69</v>
      </c>
      <c r="AN178" s="336" t="s">
        <v>70</v>
      </c>
      <c r="AO178" s="314">
        <f t="shared" si="255"/>
        <v>0.951400462962963</v>
      </c>
      <c r="AP178" s="315">
        <f t="shared" si="256"/>
        <v>278</v>
      </c>
      <c r="AQ178" s="316" t="str">
        <f t="shared" si="257"/>
        <v>MICRO</v>
      </c>
    </row>
    <row r="179" ht="29.25" customHeight="1" outlineLevel="1" spans="1:43">
      <c r="B179" s="317">
        <v>0.875011574074074</v>
      </c>
      <c r="C179" s="293" t="str">
        <f t="shared" ref="C179:G179" si="360">TEXT(IF($B179=0," ",$B179-C$6),"hh:mm am/pm")</f>
        <v>19:00 001/p1</v>
      </c>
      <c r="D179" s="293" t="str">
        <f t="shared" si="360"/>
        <v>17:00 001/p1</v>
      </c>
      <c r="E179" s="293" t="str">
        <f t="shared" si="360"/>
        <v>18:00 001/p1</v>
      </c>
      <c r="F179" s="293" t="str">
        <f t="shared" si="360"/>
        <v>19:00 001/p1</v>
      </c>
      <c r="G179" s="293" t="str">
        <f t="shared" si="360"/>
        <v>20:00 001/p1</v>
      </c>
      <c r="H179" s="293" t="str">
        <f t="shared" ref="H179:I179" si="361">TEXT(IF($B179=0," ",$B179+H$6),"hh:mm am/pm")</f>
        <v>03:00 001/p1</v>
      </c>
      <c r="I179" s="293" t="str">
        <f t="shared" si="361"/>
        <v>08:00 001/p1</v>
      </c>
      <c r="J179" s="294" t="s">
        <v>262</v>
      </c>
      <c r="K179" s="295"/>
      <c r="L179" s="337" t="s">
        <v>119</v>
      </c>
      <c r="M179" s="338" t="s">
        <v>71</v>
      </c>
      <c r="N179" s="339" t="s">
        <v>57</v>
      </c>
      <c r="O179" s="340" t="s">
        <v>74</v>
      </c>
      <c r="P179" s="341" t="s">
        <v>75</v>
      </c>
      <c r="Q179" s="342">
        <v>1500</v>
      </c>
      <c r="R179" s="343" t="s">
        <v>60</v>
      </c>
      <c r="S179" s="344"/>
      <c r="T179" s="345" t="s">
        <v>77</v>
      </c>
      <c r="U179" s="339" t="s">
        <v>78</v>
      </c>
      <c r="V179" s="339">
        <v>1</v>
      </c>
      <c r="W179" s="339">
        <v>1</v>
      </c>
      <c r="X179" s="354"/>
      <c r="Y179" s="347" t="s">
        <v>79</v>
      </c>
      <c r="Z179" s="339">
        <v>1</v>
      </c>
      <c r="AA179" s="348">
        <v>120000</v>
      </c>
      <c r="AB179" s="348" t="s">
        <v>65</v>
      </c>
      <c r="AC179" s="349">
        <v>0.1</v>
      </c>
      <c r="AD179" s="349">
        <v>0.02</v>
      </c>
      <c r="AE179" s="348" t="s">
        <v>88</v>
      </c>
      <c r="AF179" s="346">
        <v>30000</v>
      </c>
      <c r="AG179" s="350">
        <v>7</v>
      </c>
      <c r="AH179" s="350">
        <v>6</v>
      </c>
      <c r="AI179" s="350">
        <v>6</v>
      </c>
      <c r="AJ179" s="345">
        <v>13</v>
      </c>
      <c r="AK179" s="352" t="s">
        <v>67</v>
      </c>
      <c r="AL179" s="352" t="s">
        <v>68</v>
      </c>
      <c r="AM179" s="353" t="s">
        <v>69</v>
      </c>
      <c r="AN179" s="353" t="s">
        <v>70</v>
      </c>
      <c r="AO179" s="314">
        <f t="shared" si="255"/>
        <v>0.941678240740741</v>
      </c>
      <c r="AP179" s="315">
        <f t="shared" si="256"/>
        <v>1705</v>
      </c>
      <c r="AQ179" s="316" t="str">
        <f t="shared" si="257"/>
        <v>MICRO</v>
      </c>
    </row>
    <row r="180" ht="29.25" customHeight="1" outlineLevel="1" spans="1:43">
      <c r="A180" s="363" t="s">
        <v>224</v>
      </c>
      <c r="B180" s="317">
        <v>0.888900462962963</v>
      </c>
      <c r="C180" s="293" t="str">
        <f t="shared" ref="C180:G180" si="362">TEXT(IF($B180=0," ",$B180-C$6),"hh:mm am/pm")</f>
        <v>19:20 001/p1</v>
      </c>
      <c r="D180" s="293" t="str">
        <f t="shared" si="362"/>
        <v>17:20 001/p1</v>
      </c>
      <c r="E180" s="293" t="str">
        <f t="shared" si="362"/>
        <v>18:20 001/p1</v>
      </c>
      <c r="F180" s="293" t="str">
        <f t="shared" si="362"/>
        <v>19:20 001/p1</v>
      </c>
      <c r="G180" s="293" t="str">
        <f t="shared" si="362"/>
        <v>20:20 001/p1</v>
      </c>
      <c r="H180" s="293" t="str">
        <f t="shared" ref="H180:I180" si="363">TEXT(IF($B180=0," ",$B180+H$6),"hh:mm am/pm")</f>
        <v>03:20 001/p1</v>
      </c>
      <c r="I180" s="293" t="str">
        <f t="shared" si="363"/>
        <v>08:20 001/p1</v>
      </c>
      <c r="J180" s="294" t="s">
        <v>263</v>
      </c>
      <c r="K180" s="295"/>
      <c r="L180" s="319" t="s">
        <v>264</v>
      </c>
      <c r="M180" s="320" t="s">
        <v>71</v>
      </c>
      <c r="N180" s="321" t="s">
        <v>57</v>
      </c>
      <c r="O180" s="322" t="s">
        <v>74</v>
      </c>
      <c r="P180" s="323" t="s">
        <v>75</v>
      </c>
      <c r="Q180" s="324">
        <v>140</v>
      </c>
      <c r="R180" s="375" t="s">
        <v>60</v>
      </c>
      <c r="S180" s="326"/>
      <c r="T180" s="327" t="s">
        <v>61</v>
      </c>
      <c r="U180" s="321" t="s">
        <v>62</v>
      </c>
      <c r="V180" s="321">
        <v>0.2</v>
      </c>
      <c r="W180" s="321">
        <v>0.2</v>
      </c>
      <c r="X180" s="328"/>
      <c r="Y180" s="329" t="s">
        <v>79</v>
      </c>
      <c r="Z180" s="321">
        <v>0.4</v>
      </c>
      <c r="AA180" s="330">
        <v>60000</v>
      </c>
      <c r="AB180" s="330" t="s">
        <v>65</v>
      </c>
      <c r="AC180" s="331">
        <v>0.1</v>
      </c>
      <c r="AD180" s="331">
        <v>0</v>
      </c>
      <c r="AE180" s="330" t="s">
        <v>88</v>
      </c>
      <c r="AF180" s="332">
        <v>30000</v>
      </c>
      <c r="AG180" s="333">
        <v>6</v>
      </c>
      <c r="AH180" s="333">
        <v>5</v>
      </c>
      <c r="AI180" s="333">
        <v>5</v>
      </c>
      <c r="AJ180" s="327">
        <v>12</v>
      </c>
      <c r="AK180" s="335" t="s">
        <v>67</v>
      </c>
      <c r="AL180" s="335" t="s">
        <v>68</v>
      </c>
      <c r="AM180" s="336" t="s">
        <v>69</v>
      </c>
      <c r="AN180" s="336" t="s">
        <v>70</v>
      </c>
      <c r="AO180" s="314">
        <f t="shared" si="255"/>
        <v>0.942372685185185</v>
      </c>
      <c r="AP180" s="315">
        <f t="shared" si="256"/>
        <v>778</v>
      </c>
      <c r="AQ180" s="316" t="str">
        <f t="shared" si="257"/>
        <v>MICRO</v>
      </c>
    </row>
    <row r="181" ht="29.25" customHeight="1" outlineLevel="1" spans="1:43">
      <c r="B181" s="317">
        <v>0.916678240740741</v>
      </c>
      <c r="C181" s="293" t="str">
        <f t="shared" ref="C181:G181" si="364">TEXT(IF($B181=0," ",$B181-C$6),"hh:mm am/pm")</f>
        <v>20:00 001/p1</v>
      </c>
      <c r="D181" s="293" t="str">
        <f t="shared" si="364"/>
        <v>18:00 001/p1</v>
      </c>
      <c r="E181" s="293" t="str">
        <f t="shared" si="364"/>
        <v>19:00 001/p1</v>
      </c>
      <c r="F181" s="293" t="str">
        <f t="shared" si="364"/>
        <v>20:00 001/p1</v>
      </c>
      <c r="G181" s="293" t="str">
        <f t="shared" si="364"/>
        <v>21:00 001/p1</v>
      </c>
      <c r="H181" s="293" t="str">
        <f t="shared" ref="H181:I181" si="365">TEXT(IF($B181=0," ",$B181+H$6),"hh:mm am/pm")</f>
        <v>04:00 001/p1</v>
      </c>
      <c r="I181" s="293" t="str">
        <f t="shared" si="365"/>
        <v>09:00 001/p1</v>
      </c>
      <c r="J181" s="318" t="s">
        <v>168</v>
      </c>
      <c r="K181" s="295"/>
      <c r="L181" s="337" t="s">
        <v>73</v>
      </c>
      <c r="M181" s="338" t="s">
        <v>71</v>
      </c>
      <c r="N181" s="339" t="s">
        <v>57</v>
      </c>
      <c r="O181" s="340" t="s">
        <v>74</v>
      </c>
      <c r="P181" s="341" t="s">
        <v>256</v>
      </c>
      <c r="Q181" s="342">
        <v>4200</v>
      </c>
      <c r="R181" s="325" t="s">
        <v>76</v>
      </c>
      <c r="S181" s="344"/>
      <c r="T181" s="345" t="s">
        <v>115</v>
      </c>
      <c r="U181" s="339" t="s">
        <v>62</v>
      </c>
      <c r="V181" s="339">
        <v>3</v>
      </c>
      <c r="W181" s="339">
        <v>3</v>
      </c>
      <c r="X181" s="354"/>
      <c r="Y181" s="347" t="s">
        <v>79</v>
      </c>
      <c r="Z181" s="339">
        <v>4</v>
      </c>
      <c r="AA181" s="348">
        <v>160000</v>
      </c>
      <c r="AB181" s="348" t="s">
        <v>65</v>
      </c>
      <c r="AC181" s="349">
        <v>0.1</v>
      </c>
      <c r="AD181" s="349">
        <v>0.02</v>
      </c>
      <c r="AE181" s="348" t="s">
        <v>88</v>
      </c>
      <c r="AF181" s="346">
        <v>40000</v>
      </c>
      <c r="AG181" s="350">
        <v>7</v>
      </c>
      <c r="AH181" s="350">
        <v>7</v>
      </c>
      <c r="AI181" s="350">
        <v>7</v>
      </c>
      <c r="AJ181" s="345">
        <v>13</v>
      </c>
      <c r="AK181" s="352" t="s">
        <v>67</v>
      </c>
      <c r="AL181" s="352" t="s">
        <v>68</v>
      </c>
      <c r="AM181" s="353" t="s">
        <v>69</v>
      </c>
      <c r="AN181" s="353" t="s">
        <v>70</v>
      </c>
      <c r="AO181" s="314">
        <f t="shared" si="255"/>
        <v>0.983344907407407</v>
      </c>
      <c r="AP181" s="315">
        <f t="shared" si="256"/>
        <v>1591</v>
      </c>
      <c r="AQ181" s="316" t="str">
        <f t="shared" si="257"/>
        <v>MICRO</v>
      </c>
    </row>
    <row r="182" ht="29.25" customHeight="1" outlineLevel="1" spans="1:43">
      <c r="A182" s="363" t="s">
        <v>224</v>
      </c>
      <c r="B182" s="317">
        <v>0.916678240740741</v>
      </c>
      <c r="C182" s="293" t="str">
        <f t="shared" ref="C182:G182" si="366">TEXT(IF($B182=0," ",$B182-C$6),"hh:mm am/pm")</f>
        <v>20:00 001/p1</v>
      </c>
      <c r="D182" s="293" t="str">
        <f t="shared" si="366"/>
        <v>18:00 001/p1</v>
      </c>
      <c r="E182" s="293" t="str">
        <f t="shared" si="366"/>
        <v>19:00 001/p1</v>
      </c>
      <c r="F182" s="293" t="str">
        <f t="shared" si="366"/>
        <v>20:00 001/p1</v>
      </c>
      <c r="G182" s="293" t="str">
        <f t="shared" si="366"/>
        <v>21:00 001/p1</v>
      </c>
      <c r="H182" s="293" t="str">
        <f t="shared" ref="H182:I182" si="367">TEXT(IF($B182=0," ",$B182+H$6),"hh:mm am/pm")</f>
        <v>04:00 001/p1</v>
      </c>
      <c r="I182" s="293" t="str">
        <f t="shared" si="367"/>
        <v>09:00 001/p1</v>
      </c>
      <c r="J182" s="294" t="s">
        <v>265</v>
      </c>
      <c r="K182" s="295"/>
      <c r="L182" s="319" t="s">
        <v>266</v>
      </c>
      <c r="M182" s="320" t="s">
        <v>71</v>
      </c>
      <c r="N182" s="321" t="s">
        <v>100</v>
      </c>
      <c r="O182" s="322" t="s">
        <v>82</v>
      </c>
      <c r="P182" s="323" t="s">
        <v>101</v>
      </c>
      <c r="Q182" s="324">
        <v>2000</v>
      </c>
      <c r="R182" s="375" t="s">
        <v>60</v>
      </c>
      <c r="S182" s="326"/>
      <c r="T182" s="327" t="s">
        <v>92</v>
      </c>
      <c r="U182" s="321" t="s">
        <v>62</v>
      </c>
      <c r="V182" s="321">
        <v>11</v>
      </c>
      <c r="W182" s="321">
        <v>11</v>
      </c>
      <c r="X182" s="328"/>
      <c r="Y182" s="329" t="s">
        <v>63</v>
      </c>
      <c r="Z182" s="326"/>
      <c r="AA182" s="330" t="s">
        <v>64</v>
      </c>
      <c r="AB182" s="330" t="s">
        <v>65</v>
      </c>
      <c r="AC182" s="331">
        <v>0.1</v>
      </c>
      <c r="AD182" s="331">
        <v>0.02</v>
      </c>
      <c r="AE182" s="330" t="s">
        <v>88</v>
      </c>
      <c r="AF182" s="332">
        <v>60000</v>
      </c>
      <c r="AG182" s="333">
        <v>7</v>
      </c>
      <c r="AH182" s="333">
        <v>6</v>
      </c>
      <c r="AI182" s="333">
        <v>6</v>
      </c>
      <c r="AJ182" s="327">
        <v>14</v>
      </c>
      <c r="AK182" s="335" t="s">
        <v>67</v>
      </c>
      <c r="AL182" s="335" t="s">
        <v>68</v>
      </c>
      <c r="AM182" s="336" t="s">
        <v>69</v>
      </c>
      <c r="AN182" s="336" t="s">
        <v>70</v>
      </c>
      <c r="AO182" s="314">
        <f t="shared" si="255"/>
        <v>0.988206018518519</v>
      </c>
      <c r="AP182" s="315">
        <f t="shared" si="256"/>
        <v>207</v>
      </c>
      <c r="AQ182" s="316" t="str">
        <f t="shared" si="257"/>
        <v>LOW</v>
      </c>
    </row>
    <row r="183" ht="29.25" customHeight="1" outlineLevel="1" spans="1:43">
      <c r="B183" s="317">
        <v>0.927094907407407</v>
      </c>
      <c r="C183" s="293" t="str">
        <f t="shared" ref="C183:G183" si="368">TEXT(IF($B183=0," ",$B183-C$6),"hh:mm am/pm")</f>
        <v>20:15 001/p1</v>
      </c>
      <c r="D183" s="293" t="str">
        <f t="shared" si="368"/>
        <v>18:15 001/p1</v>
      </c>
      <c r="E183" s="293" t="str">
        <f t="shared" si="368"/>
        <v>19:15 001/p1</v>
      </c>
      <c r="F183" s="293" t="str">
        <f t="shared" si="368"/>
        <v>20:15 001/p1</v>
      </c>
      <c r="G183" s="293" t="str">
        <f t="shared" si="368"/>
        <v>21:15 001/p1</v>
      </c>
      <c r="H183" s="293" t="str">
        <f t="shared" ref="H183:I183" si="369">TEXT(IF($B183=0," ",$B183+H$6),"hh:mm am/pm")</f>
        <v>04:15 001/p1</v>
      </c>
      <c r="I183" s="293" t="str">
        <f t="shared" si="369"/>
        <v>09:15 001/p1</v>
      </c>
      <c r="J183" s="294" t="s">
        <v>149</v>
      </c>
      <c r="K183" s="295"/>
      <c r="L183" s="337" t="s">
        <v>149</v>
      </c>
      <c r="M183" s="338" t="s">
        <v>71</v>
      </c>
      <c r="N183" s="339" t="s">
        <v>57</v>
      </c>
      <c r="O183" s="340" t="s">
        <v>74</v>
      </c>
      <c r="P183" s="341" t="s">
        <v>75</v>
      </c>
      <c r="Q183" s="342">
        <v>50</v>
      </c>
      <c r="R183" s="343" t="s">
        <v>60</v>
      </c>
      <c r="S183" s="344"/>
      <c r="T183" s="345" t="s">
        <v>61</v>
      </c>
      <c r="U183" s="339" t="s">
        <v>62</v>
      </c>
      <c r="V183" s="339">
        <v>0.6</v>
      </c>
      <c r="W183" s="339">
        <v>0.6</v>
      </c>
      <c r="X183" s="354"/>
      <c r="Y183" s="347" t="s">
        <v>63</v>
      </c>
      <c r="Z183" s="339">
        <v>0.6</v>
      </c>
      <c r="AA183" s="348">
        <v>30000</v>
      </c>
      <c r="AB183" s="348" t="s">
        <v>65</v>
      </c>
      <c r="AC183" s="349">
        <v>0.1</v>
      </c>
      <c r="AD183" s="349">
        <v>0</v>
      </c>
      <c r="AE183" s="348" t="s">
        <v>112</v>
      </c>
      <c r="AF183" s="346">
        <v>20000</v>
      </c>
      <c r="AG183" s="350">
        <v>5</v>
      </c>
      <c r="AH183" s="350">
        <v>5</v>
      </c>
      <c r="AI183" s="350">
        <v>5</v>
      </c>
      <c r="AJ183" s="345">
        <v>15</v>
      </c>
      <c r="AK183" s="352" t="s">
        <v>150</v>
      </c>
      <c r="AL183" s="352" t="s">
        <v>68</v>
      </c>
      <c r="AM183" s="353" t="s">
        <v>69</v>
      </c>
      <c r="AN183" s="353" t="s">
        <v>70</v>
      </c>
      <c r="AO183" s="314">
        <f t="shared" si="255"/>
        <v>0.982650462962963</v>
      </c>
      <c r="AP183" s="315">
        <f t="shared" si="256"/>
        <v>93</v>
      </c>
      <c r="AQ183" s="316" t="str">
        <f t="shared" si="257"/>
        <v>MICRO</v>
      </c>
    </row>
    <row r="184" ht="29.25" customHeight="1" outlineLevel="1" spans="1:43">
      <c r="B184" s="317">
        <v>0.937511574074074</v>
      </c>
      <c r="C184" s="293" t="str">
        <f t="shared" ref="C184:G184" si="370">TEXT(IF($B184=0," ",$B184-C$6),"hh:mm am/pm")</f>
        <v>20:30 001/p1</v>
      </c>
      <c r="D184" s="293" t="str">
        <f t="shared" si="370"/>
        <v>18:30 001/p1</v>
      </c>
      <c r="E184" s="293" t="str">
        <f t="shared" si="370"/>
        <v>19:30 001/p1</v>
      </c>
      <c r="F184" s="293" t="str">
        <f t="shared" si="370"/>
        <v>20:30 001/p1</v>
      </c>
      <c r="G184" s="293" t="str">
        <f t="shared" si="370"/>
        <v>21:30 001/p1</v>
      </c>
      <c r="H184" s="293" t="str">
        <f t="shared" ref="H184:I184" si="371">TEXT(IF($B184=0," ",$B184+H$6),"hh:mm am/pm")</f>
        <v>04:30 001/p1</v>
      </c>
      <c r="I184" s="293" t="str">
        <f t="shared" si="371"/>
        <v>09:30 001/p1</v>
      </c>
      <c r="J184" s="294" t="s">
        <v>267</v>
      </c>
      <c r="K184" s="295"/>
      <c r="L184" s="319" t="s">
        <v>268</v>
      </c>
      <c r="M184" s="320" t="s">
        <v>71</v>
      </c>
      <c r="N184" s="321" t="s">
        <v>100</v>
      </c>
      <c r="O184" s="322" t="s">
        <v>82</v>
      </c>
      <c r="P184" s="323" t="s">
        <v>101</v>
      </c>
      <c r="Q184" s="324">
        <v>4000</v>
      </c>
      <c r="R184" s="375" t="s">
        <v>60</v>
      </c>
      <c r="S184" s="326"/>
      <c r="T184" s="327" t="s">
        <v>92</v>
      </c>
      <c r="U184" s="321" t="s">
        <v>62</v>
      </c>
      <c r="V184" s="321">
        <v>40</v>
      </c>
      <c r="W184" s="321">
        <v>40</v>
      </c>
      <c r="X184" s="328"/>
      <c r="Y184" s="329" t="s">
        <v>63</v>
      </c>
      <c r="Z184" s="326"/>
      <c r="AA184" s="330" t="s">
        <v>64</v>
      </c>
      <c r="AB184" s="330" t="s">
        <v>65</v>
      </c>
      <c r="AC184" s="331">
        <v>0.1</v>
      </c>
      <c r="AD184" s="331">
        <v>0.02</v>
      </c>
      <c r="AE184" s="330" t="s">
        <v>88</v>
      </c>
      <c r="AF184" s="332">
        <v>60000</v>
      </c>
      <c r="AG184" s="333">
        <v>8</v>
      </c>
      <c r="AH184" s="333">
        <v>7</v>
      </c>
      <c r="AI184" s="333">
        <v>7</v>
      </c>
      <c r="AJ184" s="327">
        <v>14</v>
      </c>
      <c r="AK184" s="335" t="s">
        <v>67</v>
      </c>
      <c r="AL184" s="335" t="s">
        <v>68</v>
      </c>
      <c r="AM184" s="336" t="s">
        <v>69</v>
      </c>
      <c r="AN184" s="336" t="s">
        <v>70</v>
      </c>
      <c r="AO184" s="314">
        <f t="shared" si="255"/>
        <v>1.01876157407407</v>
      </c>
      <c r="AP184" s="315">
        <f t="shared" si="256"/>
        <v>114</v>
      </c>
      <c r="AQ184" s="316" t="str">
        <f t="shared" si="257"/>
        <v>MEDIUM</v>
      </c>
    </row>
    <row r="185" ht="29.25" customHeight="1" outlineLevel="1" spans="1:43">
      <c r="A185" s="363" t="s">
        <v>224</v>
      </c>
      <c r="B185" s="317">
        <v>0.958344907407407</v>
      </c>
      <c r="C185" s="293" t="str">
        <f t="shared" ref="C185:G185" si="372">TEXT(IF($B185=0," ",$B185-C$6),"hh:mm am/pm")</f>
        <v>21:00 001/p1</v>
      </c>
      <c r="D185" s="293" t="str">
        <f t="shared" si="372"/>
        <v>19:00 001/p1</v>
      </c>
      <c r="E185" s="293" t="str">
        <f t="shared" si="372"/>
        <v>20:00 001/p1</v>
      </c>
      <c r="F185" s="293" t="str">
        <f t="shared" si="372"/>
        <v>21:00 001/p1</v>
      </c>
      <c r="G185" s="293" t="str">
        <f t="shared" si="372"/>
        <v>22:00 001/p1</v>
      </c>
      <c r="H185" s="293" t="str">
        <f t="shared" ref="H185:I185" si="373">TEXT(IF($B185=0," ",$B185+H$6),"hh:mm am/pm")</f>
        <v>05:00 001/p1</v>
      </c>
      <c r="I185" s="293" t="str">
        <f t="shared" si="373"/>
        <v>10:00 001/p1</v>
      </c>
      <c r="J185" s="294" t="s">
        <v>269</v>
      </c>
      <c r="K185" s="295"/>
      <c r="L185" s="337" t="s">
        <v>126</v>
      </c>
      <c r="M185" s="338" t="s">
        <v>71</v>
      </c>
      <c r="N185" s="339" t="s">
        <v>57</v>
      </c>
      <c r="O185" s="340" t="s">
        <v>144</v>
      </c>
      <c r="P185" s="341" t="s">
        <v>59</v>
      </c>
      <c r="Q185" s="342">
        <v>240</v>
      </c>
      <c r="R185" s="343" t="s">
        <v>60</v>
      </c>
      <c r="S185" s="344"/>
      <c r="T185" s="345" t="s">
        <v>61</v>
      </c>
      <c r="U185" s="339" t="s">
        <v>62</v>
      </c>
      <c r="V185" s="339">
        <v>4</v>
      </c>
      <c r="W185" s="339">
        <v>4</v>
      </c>
      <c r="X185" s="354"/>
      <c r="Y185" s="347" t="s">
        <v>63</v>
      </c>
      <c r="Z185" s="344"/>
      <c r="AA185" s="348" t="s">
        <v>64</v>
      </c>
      <c r="AB185" s="348" t="s">
        <v>65</v>
      </c>
      <c r="AC185" s="349">
        <v>0.1</v>
      </c>
      <c r="AD185" s="349">
        <v>0.02</v>
      </c>
      <c r="AE185" s="345" t="s">
        <v>66</v>
      </c>
      <c r="AF185" s="346">
        <v>30000</v>
      </c>
      <c r="AG185" s="350">
        <v>7</v>
      </c>
      <c r="AH185" s="350">
        <v>6</v>
      </c>
      <c r="AI185" s="350">
        <v>6</v>
      </c>
      <c r="AJ185" s="345">
        <v>13</v>
      </c>
      <c r="AK185" s="352" t="s">
        <v>67</v>
      </c>
      <c r="AL185" s="352" t="s">
        <v>68</v>
      </c>
      <c r="AM185" s="353" t="s">
        <v>69</v>
      </c>
      <c r="AN185" s="353" t="s">
        <v>70</v>
      </c>
      <c r="AO185" s="314">
        <f t="shared" si="255"/>
        <v>1.02501157407407</v>
      </c>
      <c r="AP185" s="315">
        <f t="shared" si="256"/>
        <v>69</v>
      </c>
      <c r="AQ185" s="316" t="str">
        <f t="shared" si="257"/>
        <v>MICRO</v>
      </c>
    </row>
    <row r="186" ht="29.25" customHeight="1" outlineLevel="1" spans="1:43">
      <c r="B186" s="317">
        <v>0.958344907407407</v>
      </c>
      <c r="C186" s="293" t="str">
        <f t="shared" ref="C186:G186" si="374">TEXT(IF($B186=0," ",$B186-C$6),"hh:mm am/pm")</f>
        <v>21:00 001/p1</v>
      </c>
      <c r="D186" s="293" t="str">
        <f t="shared" si="374"/>
        <v>19:00 001/p1</v>
      </c>
      <c r="E186" s="293" t="str">
        <f t="shared" si="374"/>
        <v>20:00 001/p1</v>
      </c>
      <c r="F186" s="293" t="str">
        <f t="shared" si="374"/>
        <v>21:00 001/p1</v>
      </c>
      <c r="G186" s="293" t="str">
        <f t="shared" si="374"/>
        <v>22:00 001/p1</v>
      </c>
      <c r="H186" s="293" t="str">
        <f t="shared" ref="H186:I186" si="375">TEXT(IF($B186=0," ",$B186+H$6),"hh:mm am/pm")</f>
        <v>05:00 001/p1</v>
      </c>
      <c r="I186" s="293" t="str">
        <f t="shared" si="375"/>
        <v>10:00 001/p1</v>
      </c>
      <c r="J186" s="294" t="s">
        <v>163</v>
      </c>
      <c r="K186" s="295"/>
      <c r="L186" s="319" t="s">
        <v>119</v>
      </c>
      <c r="M186" s="320" t="s">
        <v>71</v>
      </c>
      <c r="N186" s="321" t="s">
        <v>57</v>
      </c>
      <c r="O186" s="322" t="s">
        <v>74</v>
      </c>
      <c r="P186" s="323" t="s">
        <v>75</v>
      </c>
      <c r="Q186" s="324">
        <v>800</v>
      </c>
      <c r="R186" s="375" t="s">
        <v>60</v>
      </c>
      <c r="S186" s="326"/>
      <c r="T186" s="327" t="s">
        <v>77</v>
      </c>
      <c r="U186" s="321" t="s">
        <v>78</v>
      </c>
      <c r="V186" s="321">
        <v>0.8</v>
      </c>
      <c r="W186" s="321">
        <v>0.8</v>
      </c>
      <c r="X186" s="328"/>
      <c r="Y186" s="329" t="s">
        <v>79</v>
      </c>
      <c r="Z186" s="321">
        <v>0.8</v>
      </c>
      <c r="AA186" s="330">
        <v>60000</v>
      </c>
      <c r="AB186" s="330" t="s">
        <v>65</v>
      </c>
      <c r="AC186" s="331">
        <v>0.1</v>
      </c>
      <c r="AD186" s="331">
        <v>0.02</v>
      </c>
      <c r="AE186" s="327" t="s">
        <v>66</v>
      </c>
      <c r="AF186" s="332">
        <v>20000</v>
      </c>
      <c r="AG186" s="333">
        <v>6</v>
      </c>
      <c r="AH186" s="333">
        <v>5</v>
      </c>
      <c r="AI186" s="333">
        <v>5</v>
      </c>
      <c r="AJ186" s="327">
        <v>12</v>
      </c>
      <c r="AK186" s="335" t="s">
        <v>67</v>
      </c>
      <c r="AL186" s="335" t="s">
        <v>68</v>
      </c>
      <c r="AM186" s="336" t="s">
        <v>69</v>
      </c>
      <c r="AN186" s="336" t="s">
        <v>70</v>
      </c>
      <c r="AO186" s="314">
        <f t="shared" si="255"/>
        <v>1.01181712962963</v>
      </c>
      <c r="AP186" s="315">
        <f t="shared" si="256"/>
        <v>1137</v>
      </c>
      <c r="AQ186" s="316" t="str">
        <f t="shared" si="257"/>
        <v>MICRO</v>
      </c>
    </row>
    <row r="187" ht="29.25" customHeight="1" outlineLevel="1" spans="1:43">
      <c r="B187" s="317">
        <v>0.958344907407407</v>
      </c>
      <c r="C187" s="293" t="str">
        <f t="shared" ref="C187:G187" si="376">TEXT(IF($B187=0," ",$B187-C$6),"hh:mm am/pm")</f>
        <v>21:00 001/p1</v>
      </c>
      <c r="D187" s="293" t="str">
        <f t="shared" si="376"/>
        <v>19:00 001/p1</v>
      </c>
      <c r="E187" s="293" t="str">
        <f t="shared" si="376"/>
        <v>20:00 001/p1</v>
      </c>
      <c r="F187" s="293" t="str">
        <f t="shared" si="376"/>
        <v>21:00 001/p1</v>
      </c>
      <c r="G187" s="293" t="str">
        <f t="shared" si="376"/>
        <v>22:00 001/p1</v>
      </c>
      <c r="H187" s="293" t="str">
        <f t="shared" ref="H187:I187" si="377">TEXT(IF($B187=0," ",$B187+H$6),"hh:mm am/pm")</f>
        <v>05:00 001/p1</v>
      </c>
      <c r="I187" s="293" t="str">
        <f t="shared" si="377"/>
        <v>10:00 001/p1</v>
      </c>
      <c r="J187" s="294" t="s">
        <v>270</v>
      </c>
      <c r="K187" s="295"/>
      <c r="L187" s="337" t="s">
        <v>114</v>
      </c>
      <c r="M187" s="338" t="s">
        <v>71</v>
      </c>
      <c r="N187" s="339" t="s">
        <v>57</v>
      </c>
      <c r="O187" s="340" t="s">
        <v>74</v>
      </c>
      <c r="P187" s="341" t="s">
        <v>75</v>
      </c>
      <c r="Q187" s="342">
        <v>80</v>
      </c>
      <c r="R187" s="343" t="s">
        <v>60</v>
      </c>
      <c r="S187" s="344"/>
      <c r="T187" s="345" t="s">
        <v>77</v>
      </c>
      <c r="U187" s="339" t="s">
        <v>62</v>
      </c>
      <c r="V187" s="339">
        <v>0.2</v>
      </c>
      <c r="W187" s="339">
        <v>0.2</v>
      </c>
      <c r="X187" s="354"/>
      <c r="Y187" s="347" t="s">
        <v>79</v>
      </c>
      <c r="Z187" s="339">
        <v>0.2</v>
      </c>
      <c r="AA187" s="348">
        <v>50000</v>
      </c>
      <c r="AB187" s="348" t="s">
        <v>65</v>
      </c>
      <c r="AC187" s="349">
        <v>0.1</v>
      </c>
      <c r="AD187" s="349">
        <v>0</v>
      </c>
      <c r="AE187" s="345" t="s">
        <v>66</v>
      </c>
      <c r="AF187" s="346">
        <v>20000</v>
      </c>
      <c r="AG187" s="350">
        <v>5</v>
      </c>
      <c r="AH187" s="350">
        <v>5</v>
      </c>
      <c r="AI187" s="350">
        <v>5</v>
      </c>
      <c r="AJ187" s="345">
        <v>12</v>
      </c>
      <c r="AK187" s="352" t="s">
        <v>67</v>
      </c>
      <c r="AL187" s="352" t="s">
        <v>68</v>
      </c>
      <c r="AM187" s="353" t="s">
        <v>69</v>
      </c>
      <c r="AN187" s="353" t="s">
        <v>70</v>
      </c>
      <c r="AO187" s="314">
        <f t="shared" si="255"/>
        <v>1.0034837962963</v>
      </c>
      <c r="AP187" s="315">
        <f t="shared" si="256"/>
        <v>445</v>
      </c>
      <c r="AQ187" s="316" t="str">
        <f t="shared" si="257"/>
        <v>MICRO</v>
      </c>
    </row>
    <row r="188" ht="29.25" customHeight="1" outlineLevel="1" spans="1:43">
      <c r="A188" s="363" t="s">
        <v>224</v>
      </c>
      <c r="B188" s="317">
        <v>0.958344907407407</v>
      </c>
      <c r="C188" s="293" t="str">
        <f t="shared" ref="C188:G188" si="378">TEXT(IF($B188=0," ",$B188-C$6),"hh:mm am/pm")</f>
        <v>21:00 001/p1</v>
      </c>
      <c r="D188" s="293" t="str">
        <f t="shared" si="378"/>
        <v>19:00 001/p1</v>
      </c>
      <c r="E188" s="293" t="str">
        <f t="shared" si="378"/>
        <v>20:00 001/p1</v>
      </c>
      <c r="F188" s="293" t="str">
        <f t="shared" si="378"/>
        <v>21:00 001/p1</v>
      </c>
      <c r="G188" s="293" t="str">
        <f t="shared" si="378"/>
        <v>22:00 001/p1</v>
      </c>
      <c r="H188" s="293" t="str">
        <f t="shared" ref="H188:I188" si="379">TEXT(IF($B188=0," ",$B188+H$6),"hh:mm am/pm")</f>
        <v>05:00 001/p1</v>
      </c>
      <c r="I188" s="293" t="str">
        <f t="shared" si="379"/>
        <v>10:00 001/p1</v>
      </c>
      <c r="J188" s="294" t="s">
        <v>271</v>
      </c>
      <c r="K188" s="295"/>
      <c r="L188" s="319" t="s">
        <v>272</v>
      </c>
      <c r="M188" s="320" t="s">
        <v>71</v>
      </c>
      <c r="N188" s="321" t="s">
        <v>57</v>
      </c>
      <c r="O188" s="322" t="s">
        <v>82</v>
      </c>
      <c r="P188" s="323" t="s">
        <v>75</v>
      </c>
      <c r="Q188" s="324">
        <v>1500</v>
      </c>
      <c r="R188" s="375" t="s">
        <v>60</v>
      </c>
      <c r="S188" s="326"/>
      <c r="T188" s="327" t="s">
        <v>92</v>
      </c>
      <c r="U188" s="321" t="s">
        <v>62</v>
      </c>
      <c r="V188" s="321">
        <v>11</v>
      </c>
      <c r="W188" s="321">
        <v>11</v>
      </c>
      <c r="X188" s="328"/>
      <c r="Y188" s="329" t="s">
        <v>63</v>
      </c>
      <c r="Z188" s="326"/>
      <c r="AA188" s="330" t="s">
        <v>64</v>
      </c>
      <c r="AB188" s="330" t="s">
        <v>65</v>
      </c>
      <c r="AC188" s="331">
        <v>0.1</v>
      </c>
      <c r="AD188" s="331">
        <v>0.02</v>
      </c>
      <c r="AE188" s="327" t="s">
        <v>88</v>
      </c>
      <c r="AF188" s="332">
        <v>50000</v>
      </c>
      <c r="AG188" s="333">
        <v>6</v>
      </c>
      <c r="AH188" s="333">
        <v>6</v>
      </c>
      <c r="AI188" s="333">
        <v>6</v>
      </c>
      <c r="AJ188" s="327">
        <v>13</v>
      </c>
      <c r="AK188" s="335" t="s">
        <v>67</v>
      </c>
      <c r="AL188" s="335" t="s">
        <v>68</v>
      </c>
      <c r="AM188" s="336" t="s">
        <v>69</v>
      </c>
      <c r="AN188" s="336" t="s">
        <v>70</v>
      </c>
      <c r="AO188" s="314">
        <f t="shared" si="255"/>
        <v>1.0159837962963</v>
      </c>
      <c r="AP188" s="315">
        <f t="shared" si="256"/>
        <v>155</v>
      </c>
      <c r="AQ188" s="316" t="str">
        <f t="shared" si="257"/>
        <v>LOW</v>
      </c>
    </row>
    <row r="189" ht="29.25" customHeight="1" outlineLevel="1" spans="1:43">
      <c r="B189" s="317">
        <v>0.965289351851852</v>
      </c>
      <c r="C189" s="293" t="str">
        <f t="shared" ref="C189:G189" si="380">TEXT(IF($B189=0," ",$B189-C$6),"hh:mm am/pm")</f>
        <v>21:10 001/p1</v>
      </c>
      <c r="D189" s="293" t="str">
        <f t="shared" si="380"/>
        <v>19:10 001/p1</v>
      </c>
      <c r="E189" s="293" t="str">
        <f t="shared" si="380"/>
        <v>20:10 001/p1</v>
      </c>
      <c r="F189" s="293" t="str">
        <f t="shared" si="380"/>
        <v>21:10 001/p1</v>
      </c>
      <c r="G189" s="293" t="str">
        <f t="shared" si="380"/>
        <v>22:10 001/p1</v>
      </c>
      <c r="H189" s="293" t="str">
        <f t="shared" ref="H189:I189" si="381">TEXT(IF($B189=0," ",$B189+H$6),"hh:mm am/pm")</f>
        <v>05:10 001/p1</v>
      </c>
      <c r="I189" s="293" t="str">
        <f t="shared" si="381"/>
        <v>10:10 001/p1</v>
      </c>
      <c r="J189" s="294" t="s">
        <v>273</v>
      </c>
      <c r="K189" s="295"/>
      <c r="L189" s="337" t="s">
        <v>129</v>
      </c>
      <c r="M189" s="338" t="s">
        <v>71</v>
      </c>
      <c r="N189" s="339" t="s">
        <v>122</v>
      </c>
      <c r="O189" s="340" t="s">
        <v>74</v>
      </c>
      <c r="P189" s="341" t="s">
        <v>101</v>
      </c>
      <c r="Q189" s="342">
        <v>80</v>
      </c>
      <c r="R189" s="343" t="s">
        <v>60</v>
      </c>
      <c r="S189" s="344"/>
      <c r="T189" s="345" t="s">
        <v>61</v>
      </c>
      <c r="U189" s="339" t="s">
        <v>62</v>
      </c>
      <c r="V189" s="339">
        <v>0.6</v>
      </c>
      <c r="W189" s="339">
        <v>0.6</v>
      </c>
      <c r="X189" s="354"/>
      <c r="Y189" s="347" t="s">
        <v>79</v>
      </c>
      <c r="Z189" s="339">
        <v>0.6</v>
      </c>
      <c r="AA189" s="348">
        <v>100000</v>
      </c>
      <c r="AB189" s="348" t="s">
        <v>65</v>
      </c>
      <c r="AC189" s="349">
        <v>0.1</v>
      </c>
      <c r="AD189" s="349">
        <v>0</v>
      </c>
      <c r="AE189" s="345" t="s">
        <v>88</v>
      </c>
      <c r="AF189" s="346">
        <v>40000</v>
      </c>
      <c r="AG189" s="350">
        <v>6</v>
      </c>
      <c r="AH189" s="350">
        <v>5</v>
      </c>
      <c r="AI189" s="350">
        <v>5</v>
      </c>
      <c r="AJ189" s="345">
        <v>12</v>
      </c>
      <c r="AK189" s="352" t="s">
        <v>67</v>
      </c>
      <c r="AL189" s="352" t="s">
        <v>68</v>
      </c>
      <c r="AM189" s="353" t="s">
        <v>69</v>
      </c>
      <c r="AN189" s="353" t="s">
        <v>70</v>
      </c>
      <c r="AO189" s="314">
        <f t="shared" si="255"/>
        <v>1.01876157407407</v>
      </c>
      <c r="AP189" s="315">
        <f t="shared" si="256"/>
        <v>149</v>
      </c>
      <c r="AQ189" s="316" t="str">
        <f t="shared" si="257"/>
        <v>MICRO</v>
      </c>
    </row>
    <row r="190" ht="29.25" customHeight="1" outlineLevel="1" spans="1:43">
      <c r="B190" s="317">
        <v>0.979178240740741</v>
      </c>
      <c r="C190" s="293" t="str">
        <f t="shared" ref="C190:G190" si="382">TEXT(IF($B190=0," ",$B190-C$6),"hh:mm am/pm")</f>
        <v>21:30 001/p1</v>
      </c>
      <c r="D190" s="293" t="str">
        <f t="shared" si="382"/>
        <v>19:30 001/p1</v>
      </c>
      <c r="E190" s="293" t="str">
        <f t="shared" si="382"/>
        <v>20:30 001/p1</v>
      </c>
      <c r="F190" s="293" t="str">
        <f t="shared" si="382"/>
        <v>21:30 001/p1</v>
      </c>
      <c r="G190" s="293" t="str">
        <f t="shared" si="382"/>
        <v>22:30 001/p1</v>
      </c>
      <c r="H190" s="293" t="str">
        <f t="shared" ref="H190:I190" si="383">TEXT(IF($B190=0," ",$B190+H$6),"hh:mm am/pm")</f>
        <v>05:30 001/p1</v>
      </c>
      <c r="I190" s="293" t="str">
        <f t="shared" si="383"/>
        <v>10:30 001/p1</v>
      </c>
      <c r="J190" s="294" t="s">
        <v>274</v>
      </c>
      <c r="K190" s="295"/>
      <c r="L190" s="319" t="s">
        <v>192</v>
      </c>
      <c r="M190" s="320" t="s">
        <v>71</v>
      </c>
      <c r="N190" s="321" t="s">
        <v>57</v>
      </c>
      <c r="O190" s="322" t="s">
        <v>233</v>
      </c>
      <c r="P190" s="323" t="s">
        <v>59</v>
      </c>
      <c r="Q190" s="324">
        <v>240</v>
      </c>
      <c r="R190" s="375" t="s">
        <v>60</v>
      </c>
      <c r="S190" s="326"/>
      <c r="T190" s="327" t="s">
        <v>61</v>
      </c>
      <c r="U190" s="321" t="s">
        <v>62</v>
      </c>
      <c r="V190" s="321">
        <v>2</v>
      </c>
      <c r="W190" s="321">
        <v>2</v>
      </c>
      <c r="X190" s="328"/>
      <c r="Y190" s="329" t="s">
        <v>63</v>
      </c>
      <c r="Z190" s="326"/>
      <c r="AA190" s="330" t="s">
        <v>64</v>
      </c>
      <c r="AB190" s="330" t="s">
        <v>65</v>
      </c>
      <c r="AC190" s="331">
        <v>0.1</v>
      </c>
      <c r="AD190" s="331">
        <v>0.02</v>
      </c>
      <c r="AE190" s="327" t="s">
        <v>66</v>
      </c>
      <c r="AF190" s="332">
        <v>30000</v>
      </c>
      <c r="AG190" s="333">
        <v>5</v>
      </c>
      <c r="AH190" s="333">
        <v>5</v>
      </c>
      <c r="AI190" s="333">
        <v>5</v>
      </c>
      <c r="AJ190" s="327">
        <v>13</v>
      </c>
      <c r="AK190" s="335" t="s">
        <v>67</v>
      </c>
      <c r="AL190" s="335" t="s">
        <v>68</v>
      </c>
      <c r="AM190" s="336" t="s">
        <v>69</v>
      </c>
      <c r="AN190" s="336" t="s">
        <v>70</v>
      </c>
      <c r="AO190" s="314">
        <f t="shared" si="255"/>
        <v>1.02778935185185</v>
      </c>
      <c r="AP190" s="315">
        <f t="shared" si="256"/>
        <v>137</v>
      </c>
      <c r="AQ190" s="316" t="str">
        <f t="shared" si="257"/>
        <v>MICRO</v>
      </c>
    </row>
    <row r="191" ht="29.25" customHeight="1" outlineLevel="1" spans="1:43">
      <c r="A191" s="363" t="s">
        <v>224</v>
      </c>
      <c r="B191" s="317">
        <v>0.979178240740741</v>
      </c>
      <c r="C191" s="293" t="str">
        <f t="shared" ref="C191:G191" si="384">TEXT(IF($B191=0," ",$B191-C$6),"hh:mm am/pm")</f>
        <v>21:30 001/p1</v>
      </c>
      <c r="D191" s="293" t="str">
        <f t="shared" si="384"/>
        <v>19:30 001/p1</v>
      </c>
      <c r="E191" s="293" t="str">
        <f t="shared" si="384"/>
        <v>20:30 001/p1</v>
      </c>
      <c r="F191" s="293" t="str">
        <f t="shared" si="384"/>
        <v>21:30 001/p1</v>
      </c>
      <c r="G191" s="293" t="str">
        <f t="shared" si="384"/>
        <v>22:30 001/p1</v>
      </c>
      <c r="H191" s="293" t="str">
        <f t="shared" ref="H191:I191" si="385">TEXT(IF($B191=0," ",$B191+H$6),"hh:mm am/pm")</f>
        <v>05:30 001/p1</v>
      </c>
      <c r="I191" s="293" t="str">
        <f t="shared" si="385"/>
        <v>10:30 001/p1</v>
      </c>
      <c r="J191" s="318" t="s">
        <v>275</v>
      </c>
      <c r="K191" s="295"/>
      <c r="L191" s="337" t="s">
        <v>106</v>
      </c>
      <c r="M191" s="338" t="s">
        <v>71</v>
      </c>
      <c r="N191" s="339" t="s">
        <v>57</v>
      </c>
      <c r="O191" s="340" t="s">
        <v>74</v>
      </c>
      <c r="P191" s="341" t="s">
        <v>59</v>
      </c>
      <c r="Q191" s="342">
        <v>3200</v>
      </c>
      <c r="R191" s="325" t="s">
        <v>76</v>
      </c>
      <c r="S191" s="344"/>
      <c r="T191" s="345" t="s">
        <v>61</v>
      </c>
      <c r="U191" s="339" t="s">
        <v>62</v>
      </c>
      <c r="V191" s="339">
        <v>30</v>
      </c>
      <c r="W191" s="339">
        <v>30</v>
      </c>
      <c r="X191" s="354"/>
      <c r="Y191" s="347" t="s">
        <v>63</v>
      </c>
      <c r="Z191" s="344"/>
      <c r="AA191" s="348" t="s">
        <v>64</v>
      </c>
      <c r="AB191" s="348" t="s">
        <v>65</v>
      </c>
      <c r="AC191" s="349">
        <v>0.1</v>
      </c>
      <c r="AD191" s="349">
        <v>0.02</v>
      </c>
      <c r="AE191" s="345" t="s">
        <v>88</v>
      </c>
      <c r="AF191" s="346">
        <v>50000</v>
      </c>
      <c r="AG191" s="350">
        <v>5</v>
      </c>
      <c r="AH191" s="350">
        <v>5</v>
      </c>
      <c r="AI191" s="350">
        <v>5</v>
      </c>
      <c r="AJ191" s="345">
        <v>13</v>
      </c>
      <c r="AK191" s="351" t="s">
        <v>67</v>
      </c>
      <c r="AL191" s="352" t="s">
        <v>68</v>
      </c>
      <c r="AM191" s="353" t="s">
        <v>69</v>
      </c>
      <c r="AN191" s="353" t="s">
        <v>70</v>
      </c>
      <c r="AO191" s="314">
        <f t="shared" si="255"/>
        <v>1.02778935185185</v>
      </c>
      <c r="AP191" s="315">
        <f t="shared" si="256"/>
        <v>122</v>
      </c>
      <c r="AQ191" s="316" t="str">
        <f t="shared" si="257"/>
        <v>MEDIUM</v>
      </c>
    </row>
    <row r="192" ht="29.25" customHeight="1" outlineLevel="1" spans="1:43">
      <c r="B192" s="383"/>
      <c r="C192" s="293" t="str">
        <f t="shared" ref="C192:G192" si="386">TEXT(IF($B192=0," ",$B192-C$6),"hh:mm am/pm")</f>
        <v> </v>
      </c>
      <c r="D192" s="293" t="str">
        <f t="shared" si="386"/>
        <v> </v>
      </c>
      <c r="E192" s="293" t="str">
        <f t="shared" si="386"/>
        <v> </v>
      </c>
      <c r="F192" s="293" t="str">
        <f t="shared" si="386"/>
        <v> </v>
      </c>
      <c r="G192" s="293" t="str">
        <f t="shared" si="386"/>
        <v> </v>
      </c>
      <c r="H192" s="293" t="str">
        <f t="shared" ref="H192:I192" si="387">TEXT(IF($B192=0," ",$B192+H$6),"hh:mm am/pm")</f>
        <v> </v>
      </c>
      <c r="I192" s="293" t="str">
        <f t="shared" si="387"/>
        <v> </v>
      </c>
      <c r="J192" s="380" t="s">
        <v>193</v>
      </c>
      <c r="K192" s="381"/>
      <c r="L192" s="380" t="s">
        <v>194</v>
      </c>
      <c r="M192" s="382"/>
      <c r="N192" s="382"/>
      <c r="O192" s="382"/>
      <c r="P192" s="382"/>
      <c r="Q192" s="382"/>
      <c r="R192" s="382"/>
      <c r="S192" s="382"/>
      <c r="T192" s="382"/>
      <c r="U192" s="382"/>
      <c r="V192" s="382"/>
      <c r="W192" s="382"/>
      <c r="X192" s="382"/>
      <c r="Y192" s="382"/>
      <c r="Z192" s="382"/>
      <c r="AA192" s="382"/>
      <c r="AB192" s="382"/>
      <c r="AC192" s="382"/>
      <c r="AD192" s="382"/>
      <c r="AE192" s="382"/>
      <c r="AF192" s="382"/>
      <c r="AG192" s="382"/>
      <c r="AH192" s="382"/>
      <c r="AI192" s="382"/>
      <c r="AJ192" s="382"/>
      <c r="AK192" s="382"/>
      <c r="AL192" s="382"/>
      <c r="AM192" s="383"/>
      <c r="AN192" s="374"/>
      <c r="AO192" s="383"/>
      <c r="AP192" s="374"/>
      <c r="AQ192" s="383"/>
    </row>
    <row r="193" ht="29.25" customHeight="1" outlineLevel="1" spans="1:43">
      <c r="B193" s="292">
        <v>0.423622685185185</v>
      </c>
      <c r="C193" s="293" t="str">
        <f t="shared" ref="C193:G193" si="388">TEXT(IF($B193=0," ",$B193-C$6),"hh:mm am/pm")</f>
        <v>08:10 001/p1</v>
      </c>
      <c r="D193" s="293" t="str">
        <f t="shared" si="388"/>
        <v>06:10 001/p1</v>
      </c>
      <c r="E193" s="293" t="str">
        <f t="shared" si="388"/>
        <v>07:10 001/p1</v>
      </c>
      <c r="F193" s="293" t="str">
        <f t="shared" si="388"/>
        <v>08:10 001/p1</v>
      </c>
      <c r="G193" s="293" t="str">
        <f t="shared" si="388"/>
        <v>09:10 001/p1</v>
      </c>
      <c r="H193" s="293" t="str">
        <f t="shared" ref="H193:I193" si="389">TEXT(IF($B193=0," ",$B193+H$6),"hh:mm am/pm")</f>
        <v>16:10 001/p1</v>
      </c>
      <c r="I193" s="293" t="str">
        <f t="shared" si="389"/>
        <v>21:10 001/p1</v>
      </c>
      <c r="J193" s="384" t="str">
        <f>L145</f>
        <v>#AS Reentry</v>
      </c>
      <c r="K193" s="385"/>
      <c r="L193" s="386" t="s">
        <v>276</v>
      </c>
      <c r="M193" s="387" t="s">
        <v>196</v>
      </c>
      <c r="N193" s="388" t="s">
        <v>57</v>
      </c>
      <c r="O193" s="389" t="s">
        <v>74</v>
      </c>
      <c r="P193" s="390" t="s">
        <v>75</v>
      </c>
      <c r="Q193" s="391">
        <f>15*5</f>
        <v>75</v>
      </c>
      <c r="R193" s="392" t="s">
        <v>60</v>
      </c>
      <c r="S193" s="393"/>
      <c r="T193" s="394">
        <v>0.1</v>
      </c>
      <c r="U193" s="388" t="s">
        <v>62</v>
      </c>
      <c r="V193" s="388">
        <v>0.8</v>
      </c>
      <c r="W193" s="388">
        <v>0.8</v>
      </c>
      <c r="X193" s="395"/>
      <c r="Y193" s="396" t="s">
        <v>79</v>
      </c>
      <c r="Z193" s="388">
        <v>0.8</v>
      </c>
      <c r="AA193" s="397">
        <v>20000</v>
      </c>
      <c r="AB193" s="397" t="s">
        <v>65</v>
      </c>
      <c r="AC193" s="394">
        <v>0.05</v>
      </c>
      <c r="AD193" s="394">
        <v>0</v>
      </c>
      <c r="AE193" s="392" t="s">
        <v>88</v>
      </c>
      <c r="AF193" s="399">
        <v>10000</v>
      </c>
      <c r="AG193" s="400">
        <v>4</v>
      </c>
      <c r="AH193" s="400">
        <v>4</v>
      </c>
      <c r="AI193" s="400">
        <v>4</v>
      </c>
      <c r="AJ193" s="392">
        <v>8</v>
      </c>
      <c r="AK193" s="401" t="s">
        <v>67</v>
      </c>
      <c r="AL193" s="402" t="s">
        <v>68</v>
      </c>
      <c r="AM193" s="403" t="s">
        <v>197</v>
      </c>
      <c r="AN193" s="403" t="s">
        <v>198</v>
      </c>
      <c r="AO193" s="314">
        <f>IF(B193=0," ",TIME(,ROUNDDOWN(AG193*AJ193/60,0)*5+(AG193*AJ193),)+B193)</f>
        <v>0.445844907407407</v>
      </c>
      <c r="AP193" s="315">
        <f>IF(Q193=0,,ROUNDUP(Q193/(V193*(1-AC193-AD193)),0))</f>
        <v>99</v>
      </c>
      <c r="AQ193" s="316" t="str">
        <f>IFERROR(IF(V193=0," ",IF(V193&lt;=5,"MICRO",IF(V193&lt;=19.8,"LOW",IF(V193&lt;=99.8,"MEDIUM",IF(V193&lt;=500,"HIGH",IF(V193&gt;500,"SUPER HIGH",)))))),"")</f>
        <v>MICRO</v>
      </c>
    </row>
    <row r="194" ht="29.25" customHeight="1" outlineLevel="1" spans="1:43">
      <c r="A194" s="363" t="s">
        <v>224</v>
      </c>
      <c r="B194" s="483"/>
      <c r="C194" s="293" t="str">
        <f t="shared" ref="C194:G194" si="390">TEXT(IF($B194=0," ",$B194-C$6),"hh:mm am/pm")</f>
        <v> </v>
      </c>
      <c r="D194" s="293" t="str">
        <f t="shared" si="390"/>
        <v> </v>
      </c>
      <c r="E194" s="293" t="str">
        <f t="shared" si="390"/>
        <v> </v>
      </c>
      <c r="F194" s="293" t="str">
        <f t="shared" si="390"/>
        <v> </v>
      </c>
      <c r="G194" s="293" t="str">
        <f t="shared" si="390"/>
        <v> </v>
      </c>
      <c r="H194" s="293" t="str">
        <f t="shared" ref="H194:I194" si="391">TEXT(IF($B194=0," ",$B194+H$6),"hh:mm am/pm")</f>
        <v> </v>
      </c>
      <c r="I194" s="293" t="str">
        <f t="shared" si="391"/>
        <v> </v>
      </c>
      <c r="J194" s="344"/>
      <c r="K194" s="367"/>
      <c r="L194" s="367"/>
      <c r="M194" s="368"/>
      <c r="N194" s="369"/>
      <c r="O194" s="370"/>
      <c r="P194" s="370"/>
      <c r="Q194" s="369"/>
      <c r="R194" s="369"/>
      <c r="S194" s="369"/>
      <c r="T194" s="371"/>
      <c r="U194" s="369"/>
      <c r="V194" s="369"/>
      <c r="W194" s="369"/>
      <c r="X194" s="372"/>
      <c r="Y194" s="367"/>
      <c r="Z194" s="369"/>
      <c r="AA194" s="372"/>
      <c r="AB194" s="372"/>
      <c r="AC194" s="371"/>
      <c r="AD194" s="371"/>
      <c r="AE194" s="367"/>
      <c r="AF194" s="372"/>
      <c r="AG194" s="367"/>
      <c r="AH194" s="367"/>
      <c r="AI194" s="367"/>
      <c r="AJ194" s="367"/>
      <c r="AK194" s="484"/>
      <c r="AL194" s="484"/>
      <c r="AM194" s="373"/>
      <c r="AN194" s="373"/>
      <c r="AO194" s="383"/>
      <c r="AP194" s="374"/>
      <c r="AQ194" s="383"/>
    </row>
    <row r="195" ht="29.25" customHeight="1" outlineLevel="1" spans="1:43">
      <c r="B195" s="317">
        <v>0.437511574074074</v>
      </c>
      <c r="C195" s="293" t="str">
        <f t="shared" ref="C195:G195" si="392">TEXT(IF($B195=0," ",$B195-C$6),"hh:mm am/pm")</f>
        <v>08:30 001/p1</v>
      </c>
      <c r="D195" s="293" t="str">
        <f t="shared" si="392"/>
        <v>06:30 001/p1</v>
      </c>
      <c r="E195" s="293" t="str">
        <f t="shared" si="392"/>
        <v>07:30 001/p1</v>
      </c>
      <c r="F195" s="293" t="str">
        <f t="shared" si="392"/>
        <v>08:30 001/p1</v>
      </c>
      <c r="G195" s="293" t="str">
        <f t="shared" si="392"/>
        <v>09:30 001/p1</v>
      </c>
      <c r="H195" s="293" t="str">
        <f t="shared" ref="H195:I195" si="393">TEXT(IF($B195=0," ",$B195+H$6),"hh:mm am/pm")</f>
        <v>16:30 001/p1</v>
      </c>
      <c r="I195" s="293" t="str">
        <f t="shared" si="393"/>
        <v>21:30 001/p1</v>
      </c>
      <c r="J195" s="405" t="str">
        <f>L146</f>
        <v>#AS OmaX PKO</v>
      </c>
      <c r="K195" s="406"/>
      <c r="L195" s="407" t="s">
        <v>199</v>
      </c>
      <c r="M195" s="408" t="s">
        <v>196</v>
      </c>
      <c r="N195" s="409" t="s">
        <v>100</v>
      </c>
      <c r="O195" s="410" t="s">
        <v>74</v>
      </c>
      <c r="P195" s="411" t="s">
        <v>101</v>
      </c>
      <c r="Q195" s="412">
        <f>12*5</f>
        <v>60</v>
      </c>
      <c r="R195" s="409" t="s">
        <v>60</v>
      </c>
      <c r="S195" s="413"/>
      <c r="T195" s="414">
        <v>0.1</v>
      </c>
      <c r="U195" s="409" t="s">
        <v>62</v>
      </c>
      <c r="V195" s="409">
        <v>0.6</v>
      </c>
      <c r="W195" s="409">
        <v>0.6</v>
      </c>
      <c r="X195" s="415"/>
      <c r="Y195" s="416" t="s">
        <v>79</v>
      </c>
      <c r="Z195" s="409">
        <v>0.8</v>
      </c>
      <c r="AA195" s="417">
        <v>20000</v>
      </c>
      <c r="AB195" s="417" t="s">
        <v>65</v>
      </c>
      <c r="AC195" s="414">
        <v>0.05</v>
      </c>
      <c r="AD195" s="414">
        <v>0</v>
      </c>
      <c r="AE195" s="418" t="s">
        <v>88</v>
      </c>
      <c r="AF195" s="419">
        <v>10000</v>
      </c>
      <c r="AG195" s="420">
        <v>4</v>
      </c>
      <c r="AH195" s="420">
        <v>4</v>
      </c>
      <c r="AI195" s="420">
        <v>4</v>
      </c>
      <c r="AJ195" s="418">
        <v>9</v>
      </c>
      <c r="AK195" s="421" t="s">
        <v>67</v>
      </c>
      <c r="AL195" s="428" t="s">
        <v>68</v>
      </c>
      <c r="AM195" s="422" t="s">
        <v>197</v>
      </c>
      <c r="AN195" s="403" t="s">
        <v>198</v>
      </c>
      <c r="AO195" s="314">
        <f t="shared" ref="AO195:AO204" si="394">IF(B195=0," ",TIME(,ROUNDDOWN(AG195*AJ195/60,0)*5+(AG195*AJ195),)+B195)</f>
        <v>0.462511574074074</v>
      </c>
      <c r="AP195" s="315">
        <f t="shared" ref="AP195:AP204" si="395">IF(Q195=0,,ROUNDUP(Q195/(V195*(1-AC195-AD195)),0))</f>
        <v>106</v>
      </c>
      <c r="AQ195" s="316" t="str">
        <f t="shared" ref="AQ195:AQ204" si="396">IFERROR(IF(V195=0," ",IF(V195&lt;=5,"MICRO",IF(V195&lt;=19.8,"LOW",IF(V195&lt;=99.8,"MEDIUM",IF(V195&lt;=500,"HIGH",IF(V195&gt;500,"SUPER HIGH",)))))),"")</f>
        <v>MICRO</v>
      </c>
    </row>
    <row r="196" ht="29.25" customHeight="1" outlineLevel="1" spans="1:43">
      <c r="B196" s="483"/>
      <c r="C196" s="293" t="str">
        <f t="shared" ref="C196:G196" si="397">TEXT(IF($B196=0," ",$B196-C$6),"hh:mm am/pm")</f>
        <v> </v>
      </c>
      <c r="D196" s="293" t="str">
        <f t="shared" si="397"/>
        <v> </v>
      </c>
      <c r="E196" s="293" t="str">
        <f t="shared" si="397"/>
        <v> </v>
      </c>
      <c r="F196" s="293" t="str">
        <f t="shared" si="397"/>
        <v> </v>
      </c>
      <c r="G196" s="293" t="str">
        <f t="shared" si="397"/>
        <v> </v>
      </c>
      <c r="H196" s="293" t="str">
        <f t="shared" ref="H196:I196" si="398">TEXT(IF($B196=0," ",$B196+H$6),"hh:mm am/pm")</f>
        <v> </v>
      </c>
      <c r="I196" s="293" t="str">
        <f t="shared" si="398"/>
        <v> </v>
      </c>
      <c r="J196" s="344"/>
      <c r="K196" s="367"/>
      <c r="L196" s="367"/>
      <c r="M196" s="368"/>
      <c r="N196" s="369"/>
      <c r="O196" s="370"/>
      <c r="P196" s="370"/>
      <c r="Q196" s="369"/>
      <c r="R196" s="369"/>
      <c r="S196" s="369"/>
      <c r="T196" s="371"/>
      <c r="U196" s="369"/>
      <c r="V196" s="369"/>
      <c r="W196" s="369"/>
      <c r="X196" s="372"/>
      <c r="Y196" s="367"/>
      <c r="Z196" s="369"/>
      <c r="AA196" s="372"/>
      <c r="AB196" s="372"/>
      <c r="AC196" s="371"/>
      <c r="AD196" s="371"/>
      <c r="AE196" s="367"/>
      <c r="AF196" s="372"/>
      <c r="AG196" s="367"/>
      <c r="AH196" s="367"/>
      <c r="AI196" s="367"/>
      <c r="AJ196" s="367"/>
      <c r="AK196" s="484"/>
      <c r="AL196" s="484"/>
      <c r="AM196" s="373"/>
      <c r="AN196" s="373"/>
      <c r="AO196" s="314" t="str">
        <f t="shared" si="394"/>
        <v> </v>
      </c>
      <c r="AP196" s="374">
        <f t="shared" si="395"/>
        <v>0</v>
      </c>
      <c r="AQ196" s="316" t="str">
        <f t="shared" si="396"/>
        <v> </v>
      </c>
    </row>
    <row r="197" ht="29.25" customHeight="1" outlineLevel="1" spans="1:43">
      <c r="A197" s="363" t="s">
        <v>224</v>
      </c>
      <c r="B197" s="317">
        <v>0.437511574074074</v>
      </c>
      <c r="C197" s="293" t="str">
        <f t="shared" ref="C197:G197" si="399">TEXT(IF($B197=0," ",$B197-C$6),"hh:mm am/pm")</f>
        <v>08:30 001/p1</v>
      </c>
      <c r="D197" s="293" t="str">
        <f t="shared" si="399"/>
        <v>06:30 001/p1</v>
      </c>
      <c r="E197" s="293" t="str">
        <f t="shared" si="399"/>
        <v>07:30 001/p1</v>
      </c>
      <c r="F197" s="293" t="str">
        <f t="shared" si="399"/>
        <v>08:30 001/p1</v>
      </c>
      <c r="G197" s="293" t="str">
        <f t="shared" si="399"/>
        <v>09:30 001/p1</v>
      </c>
      <c r="H197" s="293" t="str">
        <f t="shared" ref="H197:I197" si="400">TEXT(IF($B197=0," ",$B197+H$6),"hh:mm am/pm")</f>
        <v>16:30 001/p1</v>
      </c>
      <c r="I197" s="293" t="str">
        <f t="shared" si="400"/>
        <v>21:30 001/p1</v>
      </c>
      <c r="J197" s="423" t="str">
        <f>L128</f>
        <v>#AS WarmUp</v>
      </c>
      <c r="K197" s="424"/>
      <c r="L197" s="425" t="s">
        <v>277</v>
      </c>
      <c r="M197" s="408" t="s">
        <v>196</v>
      </c>
      <c r="N197" s="409" t="s">
        <v>57</v>
      </c>
      <c r="O197" s="410" t="s">
        <v>74</v>
      </c>
      <c r="P197" s="411" t="s">
        <v>59</v>
      </c>
      <c r="Q197" s="412">
        <f>22*8</f>
        <v>176</v>
      </c>
      <c r="R197" s="409" t="s">
        <v>60</v>
      </c>
      <c r="S197" s="426"/>
      <c r="T197" s="414">
        <v>0.1</v>
      </c>
      <c r="U197" s="409" t="s">
        <v>62</v>
      </c>
      <c r="V197" s="409">
        <v>1.2</v>
      </c>
      <c r="W197" s="409">
        <v>1.2</v>
      </c>
      <c r="X197" s="415"/>
      <c r="Y197" s="416" t="s">
        <v>79</v>
      </c>
      <c r="Z197" s="409">
        <v>1.2</v>
      </c>
      <c r="AA197" s="417">
        <v>20000</v>
      </c>
      <c r="AB197" s="417" t="s">
        <v>65</v>
      </c>
      <c r="AC197" s="414">
        <v>0.05</v>
      </c>
      <c r="AD197" s="414">
        <v>0</v>
      </c>
      <c r="AE197" s="418" t="s">
        <v>88</v>
      </c>
      <c r="AF197" s="419">
        <v>10000</v>
      </c>
      <c r="AG197" s="420">
        <v>5</v>
      </c>
      <c r="AH197" s="420">
        <v>5</v>
      </c>
      <c r="AI197" s="420">
        <v>5</v>
      </c>
      <c r="AJ197" s="418">
        <v>9</v>
      </c>
      <c r="AK197" s="421" t="s">
        <v>67</v>
      </c>
      <c r="AL197" s="428" t="s">
        <v>68</v>
      </c>
      <c r="AM197" s="422" t="s">
        <v>197</v>
      </c>
      <c r="AN197" s="403" t="s">
        <v>198</v>
      </c>
      <c r="AO197" s="314">
        <f t="shared" si="394"/>
        <v>0.468761574074074</v>
      </c>
      <c r="AP197" s="315">
        <f t="shared" si="395"/>
        <v>155</v>
      </c>
      <c r="AQ197" s="316" t="str">
        <f t="shared" si="396"/>
        <v>MICRO</v>
      </c>
    </row>
    <row r="198" ht="29.25" customHeight="1" outlineLevel="1" spans="1:43">
      <c r="B198" s="317">
        <v>0.479178240740741</v>
      </c>
      <c r="C198" s="293" t="str">
        <f t="shared" ref="C198:G198" si="401">TEXT(IF($B198=0," ",$B198-C$6),"hh:mm am/pm")</f>
        <v>09:30 001/p1</v>
      </c>
      <c r="D198" s="293" t="str">
        <f t="shared" si="401"/>
        <v>07:30 001/p1</v>
      </c>
      <c r="E198" s="293" t="str">
        <f t="shared" si="401"/>
        <v>08:30 001/p1</v>
      </c>
      <c r="F198" s="293" t="str">
        <f t="shared" si="401"/>
        <v>09:30 001/p1</v>
      </c>
      <c r="G198" s="293" t="str">
        <f t="shared" si="401"/>
        <v>10:30 001/p1</v>
      </c>
      <c r="H198" s="293" t="str">
        <f t="shared" ref="H198:I198" si="402">TEXT(IF($B198=0," ",$B198+H$6),"hh:mm am/pm")</f>
        <v>17:30 001/p1</v>
      </c>
      <c r="I198" s="293" t="str">
        <f t="shared" si="402"/>
        <v>22:30 001/p1</v>
      </c>
      <c r="J198" s="124"/>
      <c r="K198" s="406"/>
      <c r="L198" s="407" t="s">
        <v>278</v>
      </c>
      <c r="M198" s="408" t="s">
        <v>196</v>
      </c>
      <c r="N198" s="409" t="s">
        <v>57</v>
      </c>
      <c r="O198" s="410" t="s">
        <v>74</v>
      </c>
      <c r="P198" s="411" t="s">
        <v>59</v>
      </c>
      <c r="Q198" s="412">
        <f>22*7</f>
        <v>154</v>
      </c>
      <c r="R198" s="409" t="s">
        <v>60</v>
      </c>
      <c r="S198" s="426"/>
      <c r="T198" s="414">
        <v>0.1</v>
      </c>
      <c r="U198" s="409" t="s">
        <v>62</v>
      </c>
      <c r="V198" s="409">
        <v>1.2</v>
      </c>
      <c r="W198" s="409">
        <v>1.2</v>
      </c>
      <c r="X198" s="415"/>
      <c r="Y198" s="416" t="s">
        <v>79</v>
      </c>
      <c r="Z198" s="409">
        <v>1.2</v>
      </c>
      <c r="AA198" s="417">
        <v>20000</v>
      </c>
      <c r="AB198" s="417" t="s">
        <v>65</v>
      </c>
      <c r="AC198" s="414">
        <v>0.05</v>
      </c>
      <c r="AD198" s="414">
        <v>0</v>
      </c>
      <c r="AE198" s="418" t="s">
        <v>88</v>
      </c>
      <c r="AF198" s="419">
        <v>10000</v>
      </c>
      <c r="AG198" s="420">
        <v>4</v>
      </c>
      <c r="AH198" s="420">
        <v>4</v>
      </c>
      <c r="AI198" s="420">
        <v>4</v>
      </c>
      <c r="AJ198" s="418">
        <v>9</v>
      </c>
      <c r="AK198" s="429" t="s">
        <v>67</v>
      </c>
      <c r="AL198" s="428" t="s">
        <v>68</v>
      </c>
      <c r="AM198" s="422" t="s">
        <v>197</v>
      </c>
      <c r="AN198" s="403" t="s">
        <v>198</v>
      </c>
      <c r="AO198" s="314">
        <f t="shared" si="394"/>
        <v>0.504178240740741</v>
      </c>
      <c r="AP198" s="315">
        <f t="shared" si="395"/>
        <v>136</v>
      </c>
      <c r="AQ198" s="316" t="str">
        <f t="shared" si="396"/>
        <v>MICRO</v>
      </c>
    </row>
    <row r="199" ht="29.25" customHeight="1" outlineLevel="1" spans="1:43">
      <c r="A199" s="363" t="s">
        <v>224</v>
      </c>
      <c r="B199" s="483"/>
      <c r="C199" s="293" t="str">
        <f t="shared" ref="C199:G199" si="403">TEXT(IF($B199=0," ",$B199-C$6),"hh:mm am/pm")</f>
        <v> </v>
      </c>
      <c r="D199" s="293" t="str">
        <f t="shared" si="403"/>
        <v> </v>
      </c>
      <c r="E199" s="293" t="str">
        <f t="shared" si="403"/>
        <v> </v>
      </c>
      <c r="F199" s="293" t="str">
        <f t="shared" si="403"/>
        <v> </v>
      </c>
      <c r="G199" s="293" t="str">
        <f t="shared" si="403"/>
        <v> </v>
      </c>
      <c r="H199" s="293" t="str">
        <f t="shared" ref="H199:I199" si="404">TEXT(IF($B199=0," ",$B199+H$6),"hh:mm am/pm")</f>
        <v> </v>
      </c>
      <c r="I199" s="293" t="str">
        <f t="shared" si="404"/>
        <v> </v>
      </c>
      <c r="J199" s="485"/>
      <c r="K199" s="366"/>
      <c r="L199" s="366"/>
      <c r="M199" s="368"/>
      <c r="N199" s="369"/>
      <c r="O199" s="370"/>
      <c r="P199" s="370"/>
      <c r="Q199" s="369"/>
      <c r="R199" s="369"/>
      <c r="S199" s="369"/>
      <c r="T199" s="371"/>
      <c r="U199" s="369"/>
      <c r="V199" s="369"/>
      <c r="W199" s="369"/>
      <c r="X199" s="372"/>
      <c r="Y199" s="367"/>
      <c r="Z199" s="369"/>
      <c r="AA199" s="372"/>
      <c r="AB199" s="372"/>
      <c r="AC199" s="371"/>
      <c r="AD199" s="371"/>
      <c r="AE199" s="367"/>
      <c r="AF199" s="372"/>
      <c r="AG199" s="367"/>
      <c r="AH199" s="367"/>
      <c r="AI199" s="367"/>
      <c r="AJ199" s="367"/>
      <c r="AK199" s="373"/>
      <c r="AL199" s="373"/>
      <c r="AM199" s="373"/>
      <c r="AN199" s="373"/>
      <c r="AO199" s="314" t="str">
        <f t="shared" si="394"/>
        <v> </v>
      </c>
      <c r="AP199" s="374">
        <f t="shared" si="395"/>
        <v>0</v>
      </c>
      <c r="AQ199" s="316" t="str">
        <f t="shared" si="396"/>
        <v> </v>
      </c>
    </row>
    <row r="200" ht="29.25" customHeight="1" outlineLevel="1" spans="1:43">
      <c r="B200" s="364">
        <v>0.520844907407407</v>
      </c>
      <c r="C200" s="293" t="str">
        <f t="shared" ref="C200:G200" si="405">TEXT(IF($B200=0," ",$B200-C$6),"hh:mm am/pm")</f>
        <v>10:30 001/p1</v>
      </c>
      <c r="D200" s="293" t="str">
        <f t="shared" si="405"/>
        <v>08:30 001/p1</v>
      </c>
      <c r="E200" s="293" t="str">
        <f t="shared" si="405"/>
        <v>09:30 001/p1</v>
      </c>
      <c r="F200" s="293" t="str">
        <f t="shared" si="405"/>
        <v>10:30 001/p1</v>
      </c>
      <c r="G200" s="293" t="str">
        <f t="shared" si="405"/>
        <v>11:30 001/p1</v>
      </c>
      <c r="H200" s="293" t="str">
        <f t="shared" ref="H200:I200" si="406">TEXT(IF($B200=0," ",$B200+H$6),"hh:mm am/pm")</f>
        <v>18:30 001/p1</v>
      </c>
      <c r="I200" s="293" t="str">
        <f t="shared" si="406"/>
        <v>23:30 001/p1</v>
      </c>
      <c r="J200" s="423" t="str">
        <f>L132</f>
        <v>#AS Battle HR+SPS</v>
      </c>
      <c r="K200" s="424"/>
      <c r="L200" s="425" t="s">
        <v>279</v>
      </c>
      <c r="M200" s="408" t="s">
        <v>196</v>
      </c>
      <c r="N200" s="409" t="s">
        <v>57</v>
      </c>
      <c r="O200" s="410" t="s">
        <v>74</v>
      </c>
      <c r="P200" s="411" t="s">
        <v>59</v>
      </c>
      <c r="Q200" s="412">
        <f>60*5</f>
        <v>300</v>
      </c>
      <c r="R200" s="414" t="s">
        <v>60</v>
      </c>
      <c r="S200" s="413"/>
      <c r="T200" s="414">
        <v>0.1</v>
      </c>
      <c r="U200" s="409" t="s">
        <v>62</v>
      </c>
      <c r="V200" s="409">
        <v>3.2</v>
      </c>
      <c r="W200" s="409">
        <v>3.2</v>
      </c>
      <c r="X200" s="415"/>
      <c r="Y200" s="416" t="s">
        <v>79</v>
      </c>
      <c r="Z200" s="409">
        <v>3.2</v>
      </c>
      <c r="AA200" s="417">
        <v>20000</v>
      </c>
      <c r="AB200" s="417" t="s">
        <v>65</v>
      </c>
      <c r="AC200" s="414">
        <v>0.05</v>
      </c>
      <c r="AD200" s="414">
        <v>0</v>
      </c>
      <c r="AE200" s="418" t="s">
        <v>88</v>
      </c>
      <c r="AF200" s="419">
        <v>10000</v>
      </c>
      <c r="AG200" s="420">
        <v>5</v>
      </c>
      <c r="AH200" s="420">
        <v>5</v>
      </c>
      <c r="AI200" s="420">
        <v>4</v>
      </c>
      <c r="AJ200" s="418">
        <v>9</v>
      </c>
      <c r="AK200" s="421" t="s">
        <v>67</v>
      </c>
      <c r="AL200" s="428" t="s">
        <v>68</v>
      </c>
      <c r="AM200" s="422" t="s">
        <v>197</v>
      </c>
      <c r="AN200" s="403" t="s">
        <v>198</v>
      </c>
      <c r="AO200" s="314">
        <f t="shared" si="394"/>
        <v>0.552094907407407</v>
      </c>
      <c r="AP200" s="315">
        <f t="shared" si="395"/>
        <v>99</v>
      </c>
      <c r="AQ200" s="316" t="str">
        <f t="shared" si="396"/>
        <v>MICRO</v>
      </c>
    </row>
    <row r="201" ht="29.25" customHeight="1" outlineLevel="1" spans="1:43">
      <c r="A201" s="363" t="s">
        <v>224</v>
      </c>
      <c r="B201" s="364">
        <v>0.583344907407407</v>
      </c>
      <c r="C201" s="293" t="str">
        <f t="shared" ref="C201:G201" si="407">TEXT(IF($B201=0," ",$B201-C$6),"hh:mm am/pm")</f>
        <v>12:00 001/p1</v>
      </c>
      <c r="D201" s="293" t="str">
        <f t="shared" si="407"/>
        <v>10:00 001/p1</v>
      </c>
      <c r="E201" s="293" t="str">
        <f t="shared" si="407"/>
        <v>11:00 001/p1</v>
      </c>
      <c r="F201" s="293" t="str">
        <f t="shared" si="407"/>
        <v>12:00 001/p1</v>
      </c>
      <c r="G201" s="293" t="str">
        <f t="shared" si="407"/>
        <v>13:00 001/p1</v>
      </c>
      <c r="H201" s="293" t="str">
        <f t="shared" ref="H201:I201" si="408">TEXT(IF($B201=0," ",$B201+H$6),"hh:mm am/pm")</f>
        <v>20:00 001/p1</v>
      </c>
      <c r="I201" s="293" t="str">
        <f t="shared" si="408"/>
        <v>01:00 001/p1</v>
      </c>
      <c r="J201" s="29"/>
      <c r="K201" s="431"/>
      <c r="L201" s="432" t="s">
        <v>203</v>
      </c>
      <c r="M201" s="408" t="s">
        <v>196</v>
      </c>
      <c r="N201" s="409" t="s">
        <v>57</v>
      </c>
      <c r="O201" s="410" t="s">
        <v>74</v>
      </c>
      <c r="P201" s="411" t="s">
        <v>59</v>
      </c>
      <c r="Q201" s="412">
        <f>60*7</f>
        <v>420</v>
      </c>
      <c r="R201" s="414" t="s">
        <v>60</v>
      </c>
      <c r="S201" s="413"/>
      <c r="T201" s="414">
        <v>0.1</v>
      </c>
      <c r="U201" s="409" t="s">
        <v>62</v>
      </c>
      <c r="V201" s="409">
        <v>3.6</v>
      </c>
      <c r="W201" s="409">
        <v>3.6</v>
      </c>
      <c r="X201" s="415"/>
      <c r="Y201" s="416" t="s">
        <v>79</v>
      </c>
      <c r="Z201" s="409">
        <v>3.6</v>
      </c>
      <c r="AA201" s="417">
        <v>20000</v>
      </c>
      <c r="AB201" s="417" t="s">
        <v>65</v>
      </c>
      <c r="AC201" s="414">
        <v>0.05</v>
      </c>
      <c r="AD201" s="414">
        <v>0</v>
      </c>
      <c r="AE201" s="418" t="s">
        <v>88</v>
      </c>
      <c r="AF201" s="419">
        <v>10000</v>
      </c>
      <c r="AG201" s="420">
        <v>5</v>
      </c>
      <c r="AH201" s="420">
        <v>5</v>
      </c>
      <c r="AI201" s="420">
        <v>4</v>
      </c>
      <c r="AJ201" s="418">
        <v>9</v>
      </c>
      <c r="AK201" s="421" t="s">
        <v>67</v>
      </c>
      <c r="AL201" s="428" t="s">
        <v>68</v>
      </c>
      <c r="AM201" s="422" t="s">
        <v>197</v>
      </c>
      <c r="AN201" s="403" t="s">
        <v>198</v>
      </c>
      <c r="AO201" s="314">
        <f t="shared" si="394"/>
        <v>0.614594907407407</v>
      </c>
      <c r="AP201" s="315">
        <f t="shared" si="395"/>
        <v>123</v>
      </c>
      <c r="AQ201" s="316" t="str">
        <f t="shared" si="396"/>
        <v>MICRO</v>
      </c>
    </row>
    <row r="202" ht="29.25" customHeight="1" outlineLevel="1" spans="1:43">
      <c r="B202" s="364">
        <v>0.625011574074074</v>
      </c>
      <c r="C202" s="293" t="str">
        <f t="shared" ref="C202:G202" si="409">TEXT(IF($B202=0," ",$B202-C$6),"hh:mm am/pm")</f>
        <v>13:00 001/p1</v>
      </c>
      <c r="D202" s="293" t="str">
        <f t="shared" si="409"/>
        <v>11:00 001/p1</v>
      </c>
      <c r="E202" s="293" t="str">
        <f t="shared" si="409"/>
        <v>12:00 001/p1</v>
      </c>
      <c r="F202" s="293" t="str">
        <f t="shared" si="409"/>
        <v>13:00 001/p1</v>
      </c>
      <c r="G202" s="293" t="str">
        <f t="shared" si="409"/>
        <v>14:00 001/p1</v>
      </c>
      <c r="H202" s="293" t="str">
        <f t="shared" ref="H202:I202" si="410">TEXT(IF($B202=0," ",$B202+H$6),"hh:mm am/pm")</f>
        <v>21:00 001/p1</v>
      </c>
      <c r="I202" s="293" t="str">
        <f t="shared" si="410"/>
        <v>02:00 001/p1</v>
      </c>
      <c r="J202" s="29"/>
      <c r="K202" s="431"/>
      <c r="L202" s="432" t="s">
        <v>204</v>
      </c>
      <c r="M202" s="408" t="s">
        <v>196</v>
      </c>
      <c r="N202" s="409" t="s">
        <v>57</v>
      </c>
      <c r="O202" s="410" t="s">
        <v>74</v>
      </c>
      <c r="P202" s="411" t="s">
        <v>59</v>
      </c>
      <c r="Q202" s="412">
        <f>60*8</f>
        <v>480</v>
      </c>
      <c r="R202" s="414" t="s">
        <v>60</v>
      </c>
      <c r="S202" s="413"/>
      <c r="T202" s="414">
        <v>0.1</v>
      </c>
      <c r="U202" s="409" t="s">
        <v>62</v>
      </c>
      <c r="V202" s="409">
        <v>3.6</v>
      </c>
      <c r="W202" s="409">
        <v>3.6</v>
      </c>
      <c r="X202" s="415"/>
      <c r="Y202" s="416" t="s">
        <v>79</v>
      </c>
      <c r="Z202" s="409">
        <v>3.6</v>
      </c>
      <c r="AA202" s="417">
        <v>20000</v>
      </c>
      <c r="AB202" s="417" t="s">
        <v>65</v>
      </c>
      <c r="AC202" s="414">
        <v>0.05</v>
      </c>
      <c r="AD202" s="414">
        <v>0</v>
      </c>
      <c r="AE202" s="418" t="s">
        <v>88</v>
      </c>
      <c r="AF202" s="419">
        <v>10000</v>
      </c>
      <c r="AG202" s="420">
        <v>4</v>
      </c>
      <c r="AH202" s="420">
        <v>4</v>
      </c>
      <c r="AI202" s="420">
        <v>4</v>
      </c>
      <c r="AJ202" s="418">
        <v>9</v>
      </c>
      <c r="AK202" s="421" t="s">
        <v>67</v>
      </c>
      <c r="AL202" s="428" t="s">
        <v>68</v>
      </c>
      <c r="AM202" s="422" t="s">
        <v>197</v>
      </c>
      <c r="AN202" s="403" t="s">
        <v>198</v>
      </c>
      <c r="AO202" s="314">
        <f t="shared" si="394"/>
        <v>0.650011574074074</v>
      </c>
      <c r="AP202" s="315">
        <f t="shared" si="395"/>
        <v>141</v>
      </c>
      <c r="AQ202" s="316" t="str">
        <f t="shared" si="396"/>
        <v>MICRO</v>
      </c>
    </row>
    <row r="203" ht="29.25" customHeight="1" outlineLevel="1" spans="1:43">
      <c r="B203" s="364">
        <v>0.666678240740741</v>
      </c>
      <c r="C203" s="293" t="str">
        <f t="shared" ref="C203:G203" si="411">TEXT(IF($B203=0," ",$B203-C$6),"hh:mm am/pm")</f>
        <v>14:00 001/p1</v>
      </c>
      <c r="D203" s="293" t="str">
        <f t="shared" si="411"/>
        <v>12:00 001/p1</v>
      </c>
      <c r="E203" s="293" t="str">
        <f t="shared" si="411"/>
        <v>13:00 001/p1</v>
      </c>
      <c r="F203" s="293" t="str">
        <f t="shared" si="411"/>
        <v>14:00 001/p1</v>
      </c>
      <c r="G203" s="293" t="str">
        <f t="shared" si="411"/>
        <v>15:00 001/p1</v>
      </c>
      <c r="H203" s="293" t="str">
        <f t="shared" ref="H203:I203" si="412">TEXT(IF($B203=0," ",$B203+H$6),"hh:mm am/pm")</f>
        <v>22:00 001/p1</v>
      </c>
      <c r="I203" s="293" t="str">
        <f t="shared" si="412"/>
        <v>03:00 001/p1</v>
      </c>
      <c r="J203" s="29"/>
      <c r="K203" s="431"/>
      <c r="L203" s="432" t="s">
        <v>205</v>
      </c>
      <c r="M203" s="408" t="s">
        <v>196</v>
      </c>
      <c r="N203" s="409" t="s">
        <v>57</v>
      </c>
      <c r="O203" s="410" t="s">
        <v>74</v>
      </c>
      <c r="P203" s="411" t="s">
        <v>59</v>
      </c>
      <c r="Q203" s="412">
        <f>60*10</f>
        <v>600</v>
      </c>
      <c r="R203" s="414" t="s">
        <v>60</v>
      </c>
      <c r="S203" s="413"/>
      <c r="T203" s="414">
        <v>0.1</v>
      </c>
      <c r="U203" s="409" t="s">
        <v>62</v>
      </c>
      <c r="V203" s="409">
        <v>4</v>
      </c>
      <c r="W203" s="409">
        <v>4</v>
      </c>
      <c r="X203" s="415"/>
      <c r="Y203" s="416" t="s">
        <v>79</v>
      </c>
      <c r="Z203" s="409">
        <v>4</v>
      </c>
      <c r="AA203" s="417">
        <v>20000</v>
      </c>
      <c r="AB203" s="417" t="s">
        <v>65</v>
      </c>
      <c r="AC203" s="414">
        <v>0.05</v>
      </c>
      <c r="AD203" s="414">
        <v>0</v>
      </c>
      <c r="AE203" s="418" t="s">
        <v>88</v>
      </c>
      <c r="AF203" s="419">
        <v>10000</v>
      </c>
      <c r="AG203" s="420">
        <v>4</v>
      </c>
      <c r="AH203" s="420">
        <v>4</v>
      </c>
      <c r="AI203" s="420">
        <v>4</v>
      </c>
      <c r="AJ203" s="418">
        <v>9</v>
      </c>
      <c r="AK203" s="421" t="s">
        <v>67</v>
      </c>
      <c r="AL203" s="428" t="s">
        <v>68</v>
      </c>
      <c r="AM203" s="422" t="s">
        <v>197</v>
      </c>
      <c r="AN203" s="403" t="s">
        <v>198</v>
      </c>
      <c r="AO203" s="314">
        <f t="shared" si="394"/>
        <v>0.691678240740741</v>
      </c>
      <c r="AP203" s="315">
        <f t="shared" si="395"/>
        <v>158</v>
      </c>
      <c r="AQ203" s="316" t="str">
        <f t="shared" si="396"/>
        <v>MICRO</v>
      </c>
    </row>
    <row r="204" ht="29.25" customHeight="1" outlineLevel="1" spans="1:43">
      <c r="A204" s="363" t="s">
        <v>224</v>
      </c>
      <c r="B204" s="364">
        <v>0.729178240740741</v>
      </c>
      <c r="C204" s="293" t="str">
        <f t="shared" ref="C204:G204" si="413">TEXT(IF($B204=0," ",$B204-C$6),"hh:mm am/pm")</f>
        <v>15:30 001/p1</v>
      </c>
      <c r="D204" s="293" t="str">
        <f t="shared" si="413"/>
        <v>13:30 001/p1</v>
      </c>
      <c r="E204" s="293" t="str">
        <f t="shared" si="413"/>
        <v>14:30 001/p1</v>
      </c>
      <c r="F204" s="293" t="str">
        <f t="shared" si="413"/>
        <v>15:30 001/p1</v>
      </c>
      <c r="G204" s="293" t="str">
        <f t="shared" si="413"/>
        <v>16:30 001/p1</v>
      </c>
      <c r="H204" s="293" t="str">
        <f t="shared" ref="H204:I204" si="414">TEXT(IF($B204=0," ",$B204+H$6),"hh:mm am/pm")</f>
        <v>23:30 001/p1</v>
      </c>
      <c r="I204" s="293" t="str">
        <f t="shared" si="414"/>
        <v>04:30 001/p1</v>
      </c>
      <c r="J204" s="124"/>
      <c r="K204" s="406"/>
      <c r="L204" s="407" t="s">
        <v>280</v>
      </c>
      <c r="M204" s="408" t="s">
        <v>196</v>
      </c>
      <c r="N204" s="409" t="s">
        <v>57</v>
      </c>
      <c r="O204" s="410" t="s">
        <v>74</v>
      </c>
      <c r="P204" s="411" t="s">
        <v>59</v>
      </c>
      <c r="Q204" s="412">
        <f>60*15</f>
        <v>900</v>
      </c>
      <c r="R204" s="414" t="s">
        <v>60</v>
      </c>
      <c r="S204" s="413"/>
      <c r="T204" s="414">
        <v>0.1</v>
      </c>
      <c r="U204" s="409" t="s">
        <v>62</v>
      </c>
      <c r="V204" s="409">
        <v>4</v>
      </c>
      <c r="W204" s="409">
        <v>4</v>
      </c>
      <c r="X204" s="415"/>
      <c r="Y204" s="416" t="s">
        <v>79</v>
      </c>
      <c r="Z204" s="409">
        <v>4</v>
      </c>
      <c r="AA204" s="417">
        <v>20000</v>
      </c>
      <c r="AB204" s="417" t="s">
        <v>65</v>
      </c>
      <c r="AC204" s="414">
        <v>0.05</v>
      </c>
      <c r="AD204" s="414">
        <v>0</v>
      </c>
      <c r="AE204" s="418" t="s">
        <v>88</v>
      </c>
      <c r="AF204" s="419">
        <v>10000</v>
      </c>
      <c r="AG204" s="420">
        <v>4</v>
      </c>
      <c r="AH204" s="420">
        <v>4</v>
      </c>
      <c r="AI204" s="420">
        <v>4</v>
      </c>
      <c r="AJ204" s="418">
        <v>9</v>
      </c>
      <c r="AK204" s="421" t="s">
        <v>67</v>
      </c>
      <c r="AL204" s="428" t="s">
        <v>68</v>
      </c>
      <c r="AM204" s="422" t="s">
        <v>197</v>
      </c>
      <c r="AN204" s="403" t="s">
        <v>198</v>
      </c>
      <c r="AO204" s="314">
        <f t="shared" si="394"/>
        <v>0.754178240740741</v>
      </c>
      <c r="AP204" s="315">
        <f t="shared" si="395"/>
        <v>237</v>
      </c>
      <c r="AQ204" s="316" t="str">
        <f t="shared" si="396"/>
        <v>MICRO</v>
      </c>
    </row>
    <row r="205" ht="29.25" customHeight="1" outlineLevel="1" spans="1:43">
      <c r="B205" s="483"/>
      <c r="C205" s="293" t="str">
        <f t="shared" ref="C205:G205" si="415">TEXT(IF($B205=0," ",$B205-C$6),"hh:mm am/pm")</f>
        <v> </v>
      </c>
      <c r="D205" s="293" t="str">
        <f t="shared" si="415"/>
        <v> </v>
      </c>
      <c r="E205" s="293" t="str">
        <f t="shared" si="415"/>
        <v> </v>
      </c>
      <c r="F205" s="293" t="str">
        <f t="shared" si="415"/>
        <v> </v>
      </c>
      <c r="G205" s="293" t="str">
        <f t="shared" si="415"/>
        <v> </v>
      </c>
      <c r="H205" s="293" t="str">
        <f t="shared" ref="H205:I205" si="416">TEXT(IF($B205=0," ",$B205+H$6),"hh:mm am/pm")</f>
        <v> </v>
      </c>
      <c r="I205" s="293" t="str">
        <f t="shared" si="416"/>
        <v> </v>
      </c>
      <c r="J205" s="344"/>
      <c r="K205" s="367"/>
      <c r="L205" s="367"/>
      <c r="M205" s="368"/>
      <c r="N205" s="369"/>
      <c r="O205" s="370"/>
      <c r="P205" s="370"/>
      <c r="Q205" s="369"/>
      <c r="R205" s="369"/>
      <c r="S205" s="369"/>
      <c r="T205" s="371"/>
      <c r="U205" s="369"/>
      <c r="V205" s="369"/>
      <c r="W205" s="369"/>
      <c r="X205" s="372"/>
      <c r="Y205" s="367"/>
      <c r="Z205" s="369"/>
      <c r="AA205" s="372"/>
      <c r="AB205" s="372"/>
      <c r="AC205" s="371"/>
      <c r="AD205" s="371"/>
      <c r="AE205" s="367"/>
      <c r="AF205" s="372"/>
      <c r="AG205" s="367"/>
      <c r="AH205" s="367"/>
      <c r="AI205" s="367"/>
      <c r="AJ205" s="367"/>
      <c r="AK205" s="373"/>
      <c r="AL205" s="373"/>
      <c r="AM205" s="373"/>
      <c r="AN205" s="373"/>
      <c r="AO205" s="383"/>
      <c r="AP205" s="374"/>
      <c r="AQ205" s="383"/>
    </row>
    <row r="206" ht="29.25" customHeight="1" outlineLevel="1" spans="1:43">
      <c r="B206" s="317">
        <v>0.562511574074074</v>
      </c>
      <c r="C206" s="293" t="str">
        <f t="shared" ref="C206:G206" si="417">TEXT(IF($B206=0," ",$B206-C$6),"hh:mm am/pm")</f>
        <v>11:30 001/p1</v>
      </c>
      <c r="D206" s="293" t="str">
        <f t="shared" si="417"/>
        <v>09:30 001/p1</v>
      </c>
      <c r="E206" s="293" t="str">
        <f t="shared" si="417"/>
        <v>10:30 001/p1</v>
      </c>
      <c r="F206" s="293" t="str">
        <f t="shared" si="417"/>
        <v>11:30 001/p1</v>
      </c>
      <c r="G206" s="293" t="str">
        <f t="shared" si="417"/>
        <v>12:30 001/p1</v>
      </c>
      <c r="H206" s="293" t="str">
        <f t="shared" ref="H206:I206" si="418">TEXT(IF($B206=0," ",$B206+H$6),"hh:mm am/pm")</f>
        <v>19:30 001/p1</v>
      </c>
      <c r="I206" s="293" t="str">
        <f t="shared" si="418"/>
        <v>00:30 001/p1</v>
      </c>
      <c r="J206" s="405" t="str">
        <f>L156</f>
        <v>#AS OmaX PKO</v>
      </c>
      <c r="K206" s="406"/>
      <c r="L206" s="407" t="s">
        <v>207</v>
      </c>
      <c r="M206" s="408" t="s">
        <v>196</v>
      </c>
      <c r="N206" s="409" t="s">
        <v>100</v>
      </c>
      <c r="O206" s="410" t="s">
        <v>74</v>
      </c>
      <c r="P206" s="411" t="s">
        <v>101</v>
      </c>
      <c r="Q206" s="412">
        <f>30*4</f>
        <v>120</v>
      </c>
      <c r="R206" s="414" t="s">
        <v>60</v>
      </c>
      <c r="S206" s="413"/>
      <c r="T206" s="414">
        <v>0.1</v>
      </c>
      <c r="U206" s="409" t="s">
        <v>62</v>
      </c>
      <c r="V206" s="409">
        <v>1.6</v>
      </c>
      <c r="W206" s="409">
        <v>1.6</v>
      </c>
      <c r="X206" s="415"/>
      <c r="Y206" s="416" t="s">
        <v>79</v>
      </c>
      <c r="Z206" s="409">
        <v>1.6</v>
      </c>
      <c r="AA206" s="417">
        <v>20000</v>
      </c>
      <c r="AB206" s="417" t="s">
        <v>65</v>
      </c>
      <c r="AC206" s="414">
        <v>0.05</v>
      </c>
      <c r="AD206" s="414">
        <v>0</v>
      </c>
      <c r="AE206" s="418" t="s">
        <v>88</v>
      </c>
      <c r="AF206" s="419">
        <v>10000</v>
      </c>
      <c r="AG206" s="420">
        <v>4</v>
      </c>
      <c r="AH206" s="420">
        <v>4</v>
      </c>
      <c r="AI206" s="420">
        <v>4</v>
      </c>
      <c r="AJ206" s="418">
        <v>9</v>
      </c>
      <c r="AK206" s="421" t="s">
        <v>67</v>
      </c>
      <c r="AL206" s="428" t="s">
        <v>68</v>
      </c>
      <c r="AM206" s="422" t="s">
        <v>197</v>
      </c>
      <c r="AN206" s="403" t="s">
        <v>198</v>
      </c>
      <c r="AO206" s="314">
        <f>IF(B206=0," ",TIME(,ROUNDDOWN(AG206*AJ206/60,0)*5+(AG206*AJ206),)+B206)</f>
        <v>0.587511574074074</v>
      </c>
      <c r="AP206" s="315">
        <f>IF(Q206=0,,ROUNDUP(Q206/(V206*(1-AC206-AD206)),0))</f>
        <v>79</v>
      </c>
      <c r="AQ206" s="316" t="str">
        <f>IFERROR(IF(V206=0," ",IF(V206&lt;=5,"MICRO",IF(V206&lt;=19.8,"LOW",IF(V206&lt;=99.8,"MEDIUM",IF(V206&lt;=500,"HIGH",IF(V206&gt;500,"SUPER HIGH",)))))),"")</f>
        <v>MICRO</v>
      </c>
    </row>
    <row r="207" ht="29.25" customHeight="1" outlineLevel="1" spans="1:43">
      <c r="B207" s="483"/>
      <c r="C207" s="293" t="str">
        <f t="shared" ref="C207:G207" si="419">TEXT(IF($B207=0," ",$B207-C$6),"hh:mm am/pm")</f>
        <v> </v>
      </c>
      <c r="D207" s="293" t="str">
        <f t="shared" si="419"/>
        <v> </v>
      </c>
      <c r="E207" s="293" t="str">
        <f t="shared" si="419"/>
        <v> </v>
      </c>
      <c r="F207" s="293" t="str">
        <f t="shared" si="419"/>
        <v> </v>
      </c>
      <c r="G207" s="293" t="str">
        <f t="shared" si="419"/>
        <v> </v>
      </c>
      <c r="H207" s="293" t="str">
        <f t="shared" ref="H207:I207" si="420">TEXT(IF($B207=0," ",$B207+H$6),"hh:mm am/pm")</f>
        <v> </v>
      </c>
      <c r="I207" s="293" t="str">
        <f t="shared" si="420"/>
        <v> </v>
      </c>
      <c r="J207" s="344"/>
      <c r="K207" s="367"/>
      <c r="L207" s="367"/>
      <c r="M207" s="368"/>
      <c r="N207" s="369"/>
      <c r="O207" s="370"/>
      <c r="P207" s="370"/>
      <c r="Q207" s="369"/>
      <c r="R207" s="369"/>
      <c r="S207" s="369"/>
      <c r="T207" s="371"/>
      <c r="U207" s="369"/>
      <c r="V207" s="369"/>
      <c r="W207" s="369"/>
      <c r="X207" s="372"/>
      <c r="Y207" s="367"/>
      <c r="Z207" s="369"/>
      <c r="AA207" s="372"/>
      <c r="AB207" s="372"/>
      <c r="AC207" s="371"/>
      <c r="AD207" s="371"/>
      <c r="AE207" s="367"/>
      <c r="AF207" s="372"/>
      <c r="AG207" s="367"/>
      <c r="AH207" s="367"/>
      <c r="AI207" s="367"/>
      <c r="AJ207" s="367"/>
      <c r="AK207" s="373"/>
      <c r="AL207" s="373"/>
      <c r="AM207" s="373"/>
      <c r="AN207" s="373"/>
      <c r="AO207" s="383"/>
      <c r="AP207" s="374"/>
      <c r="AQ207" s="383"/>
    </row>
    <row r="208" ht="29.25" customHeight="1" outlineLevel="1" spans="1:43">
      <c r="A208" s="363"/>
      <c r="B208" s="317">
        <v>0.604178240740741</v>
      </c>
      <c r="C208" s="293" t="str">
        <f t="shared" ref="C208:G208" si="421">TEXT(IF($B208=0," ",$B208-C$6),"hh:mm am/pm")</f>
        <v>12:30 001/p1</v>
      </c>
      <c r="D208" s="293" t="str">
        <f t="shared" si="421"/>
        <v>10:30 001/p1</v>
      </c>
      <c r="E208" s="293" t="str">
        <f t="shared" si="421"/>
        <v>11:30 001/p1</v>
      </c>
      <c r="F208" s="293" t="str">
        <f t="shared" si="421"/>
        <v>12:30 001/p1</v>
      </c>
      <c r="G208" s="293" t="str">
        <f t="shared" si="421"/>
        <v>13:30 001/p1</v>
      </c>
      <c r="H208" s="293" t="str">
        <f t="shared" ref="H208:I208" si="422">TEXT(IF($B208=0," ",$B208+H$6),"hh:mm am/pm")</f>
        <v>20:30 001/p1</v>
      </c>
      <c r="I208" s="293" t="str">
        <f t="shared" si="422"/>
        <v>01:30 001/p1</v>
      </c>
      <c r="J208" s="433" t="str">
        <f>L162</f>
        <v>#AS Bounty</v>
      </c>
      <c r="K208" s="385"/>
      <c r="L208" s="386" t="s">
        <v>281</v>
      </c>
      <c r="M208" s="408" t="s">
        <v>196</v>
      </c>
      <c r="N208" s="409" t="s">
        <v>57</v>
      </c>
      <c r="O208" s="410" t="s">
        <v>74</v>
      </c>
      <c r="P208" s="411" t="s">
        <v>59</v>
      </c>
      <c r="Q208" s="412">
        <f>20*4</f>
        <v>80</v>
      </c>
      <c r="R208" s="414" t="s">
        <v>60</v>
      </c>
      <c r="S208" s="413"/>
      <c r="T208" s="414">
        <v>0.1</v>
      </c>
      <c r="U208" s="409" t="s">
        <v>62</v>
      </c>
      <c r="V208" s="409">
        <v>1.4</v>
      </c>
      <c r="W208" s="409">
        <v>1.4</v>
      </c>
      <c r="X208" s="415"/>
      <c r="Y208" s="416" t="s">
        <v>79</v>
      </c>
      <c r="Z208" s="409">
        <v>1.4</v>
      </c>
      <c r="AA208" s="417">
        <v>20000</v>
      </c>
      <c r="AB208" s="417" t="s">
        <v>65</v>
      </c>
      <c r="AC208" s="414">
        <v>0.05</v>
      </c>
      <c r="AD208" s="414">
        <v>0</v>
      </c>
      <c r="AE208" s="418" t="s">
        <v>88</v>
      </c>
      <c r="AF208" s="419">
        <v>10000</v>
      </c>
      <c r="AG208" s="420">
        <v>5</v>
      </c>
      <c r="AH208" s="420">
        <v>5</v>
      </c>
      <c r="AI208" s="420">
        <v>4</v>
      </c>
      <c r="AJ208" s="418">
        <v>9</v>
      </c>
      <c r="AK208" s="421" t="s">
        <v>67</v>
      </c>
      <c r="AL208" s="428" t="s">
        <v>68</v>
      </c>
      <c r="AM208" s="422" t="s">
        <v>197</v>
      </c>
      <c r="AN208" s="403" t="s">
        <v>198</v>
      </c>
      <c r="AO208" s="314">
        <f>IF(B208=0," ",TIME(,ROUNDDOWN(AG208*AJ208/60,0)*5+(AG208*AJ208),)+B208)</f>
        <v>0.635428240740741</v>
      </c>
      <c r="AP208" s="315">
        <f>IF(Q208=0,,ROUNDUP(Q208/(V208*(1-AC208-AD208)),0))</f>
        <v>61</v>
      </c>
      <c r="AQ208" s="316" t="str">
        <f>IFERROR(IF(V208=0," ",IF(V208&lt;=5,"MICRO",IF(V208&lt;=19.8,"LOW",IF(V208&lt;=99.8,"MEDIUM",IF(V208&lt;=500,"HIGH",IF(V208&gt;500,"SUPER HIGH",)))))),"")</f>
        <v>MICRO</v>
      </c>
    </row>
    <row r="209" ht="29.25" customHeight="1" outlineLevel="1" spans="1:43">
      <c r="A209" s="363"/>
      <c r="B209" s="483"/>
      <c r="C209" s="293" t="str">
        <f t="shared" ref="C209:G209" si="423">TEXT(IF($B209=0," ",$B209-C$6),"hh:mm am/pm")</f>
        <v> </v>
      </c>
      <c r="D209" s="293" t="str">
        <f t="shared" si="423"/>
        <v> </v>
      </c>
      <c r="E209" s="293" t="str">
        <f t="shared" si="423"/>
        <v> </v>
      </c>
      <c r="F209" s="293" t="str">
        <f t="shared" si="423"/>
        <v> </v>
      </c>
      <c r="G209" s="293" t="str">
        <f t="shared" si="423"/>
        <v> </v>
      </c>
      <c r="H209" s="293" t="str">
        <f t="shared" ref="H209:I209" si="424">TEXT(IF($B209=0," ",$B209+H$6),"hh:mm am/pm")</f>
        <v> </v>
      </c>
      <c r="I209" s="293" t="str">
        <f t="shared" si="424"/>
        <v> </v>
      </c>
      <c r="J209" s="344"/>
      <c r="K209" s="367"/>
      <c r="L209" s="367"/>
      <c r="M209" s="368"/>
      <c r="N209" s="369"/>
      <c r="O209" s="370"/>
      <c r="P209" s="370"/>
      <c r="Q209" s="369"/>
      <c r="R209" s="369"/>
      <c r="S209" s="369"/>
      <c r="T209" s="371"/>
      <c r="U209" s="369"/>
      <c r="V209" s="369"/>
      <c r="W209" s="369"/>
      <c r="X209" s="372"/>
      <c r="Y209" s="367"/>
      <c r="Z209" s="369"/>
      <c r="AA209" s="372"/>
      <c r="AB209" s="372"/>
      <c r="AC209" s="371"/>
      <c r="AD209" s="371"/>
      <c r="AE209" s="367"/>
      <c r="AF209" s="372"/>
      <c r="AG209" s="367"/>
      <c r="AH209" s="367"/>
      <c r="AI209" s="367"/>
      <c r="AJ209" s="367"/>
      <c r="AK209" s="373"/>
      <c r="AL209" s="373"/>
      <c r="AM209" s="373"/>
      <c r="AN209" s="373"/>
      <c r="AO209" s="383"/>
      <c r="AP209" s="374"/>
      <c r="AQ209" s="383"/>
    </row>
    <row r="210" ht="29.25" customHeight="1" outlineLevel="1" spans="1:43">
      <c r="A210" s="363"/>
      <c r="B210" s="317">
        <v>0.666678240740741</v>
      </c>
      <c r="C210" s="293" t="str">
        <f t="shared" ref="C210:G210" si="425">TEXT(IF($B210=0," ",$B210-C$6),"hh:mm am/pm")</f>
        <v>14:00 001/p1</v>
      </c>
      <c r="D210" s="293" t="str">
        <f t="shared" si="425"/>
        <v>12:00 001/p1</v>
      </c>
      <c r="E210" s="293" t="str">
        <f t="shared" si="425"/>
        <v>13:00 001/p1</v>
      </c>
      <c r="F210" s="293" t="str">
        <f t="shared" si="425"/>
        <v>14:00 001/p1</v>
      </c>
      <c r="G210" s="293" t="str">
        <f t="shared" si="425"/>
        <v>15:00 001/p1</v>
      </c>
      <c r="H210" s="293" t="str">
        <f t="shared" ref="H210:I210" si="426">TEXT(IF($B210=0," ",$B210+H$6),"hh:mm am/pm")</f>
        <v>22:00 001/p1</v>
      </c>
      <c r="I210" s="293" t="str">
        <f t="shared" si="426"/>
        <v>03:00 001/p1</v>
      </c>
      <c r="J210" s="405" t="str">
        <f>L130</f>
        <v>#AS Big Plus+SPT</v>
      </c>
      <c r="K210" s="406"/>
      <c r="L210" s="407" t="s">
        <v>282</v>
      </c>
      <c r="M210" s="408" t="s">
        <v>196</v>
      </c>
      <c r="N210" s="409" t="s">
        <v>57</v>
      </c>
      <c r="O210" s="410" t="s">
        <v>74</v>
      </c>
      <c r="P210" s="411" t="s">
        <v>59</v>
      </c>
      <c r="Q210" s="412">
        <f>30*5</f>
        <v>150</v>
      </c>
      <c r="R210" s="414" t="s">
        <v>60</v>
      </c>
      <c r="S210" s="413"/>
      <c r="T210" s="414">
        <v>0.1</v>
      </c>
      <c r="U210" s="409" t="s">
        <v>62</v>
      </c>
      <c r="V210" s="409">
        <v>1.6</v>
      </c>
      <c r="W210" s="409">
        <v>1.6</v>
      </c>
      <c r="X210" s="415"/>
      <c r="Y210" s="416" t="s">
        <v>79</v>
      </c>
      <c r="Z210" s="409">
        <v>2</v>
      </c>
      <c r="AA210" s="417">
        <v>20000</v>
      </c>
      <c r="AB210" s="417" t="s">
        <v>65</v>
      </c>
      <c r="AC210" s="414">
        <v>0.05</v>
      </c>
      <c r="AD210" s="414">
        <v>0</v>
      </c>
      <c r="AE210" s="418" t="s">
        <v>88</v>
      </c>
      <c r="AF210" s="419">
        <v>10000</v>
      </c>
      <c r="AG210" s="420">
        <v>5</v>
      </c>
      <c r="AH210" s="420">
        <v>5</v>
      </c>
      <c r="AI210" s="420">
        <v>4</v>
      </c>
      <c r="AJ210" s="418">
        <v>9</v>
      </c>
      <c r="AK210" s="421" t="s">
        <v>67</v>
      </c>
      <c r="AL210" s="428" t="s">
        <v>68</v>
      </c>
      <c r="AM210" s="422" t="s">
        <v>197</v>
      </c>
      <c r="AN210" s="403" t="s">
        <v>198</v>
      </c>
      <c r="AO210" s="314">
        <f t="shared" ref="AO210:AO212" si="427">IF(B210=0," ",TIME(,ROUNDDOWN(AG210*AJ210/60,0)*5+(AG210*AJ210),)+B210)</f>
        <v>0.697928240740741</v>
      </c>
      <c r="AP210" s="315">
        <f t="shared" ref="AP210:AP212" si="428">IF(Q210=0,,ROUNDUP(Q210/(V210*(1-AC210-AD210)),0))</f>
        <v>99</v>
      </c>
      <c r="AQ210" s="316" t="str">
        <f t="shared" ref="AQ210:AQ212" si="429">IFERROR(IF(V210=0," ",IF(V210&lt;=5,"MICRO",IF(V210&lt;=19.8,"LOW",IF(V210&lt;=99.8,"MEDIUM",IF(V210&lt;=500,"HIGH",IF(V210&gt;500,"SUPER HIGH",)))))),"")</f>
        <v>MICRO</v>
      </c>
    </row>
    <row r="211" ht="29.25" customHeight="1" outlineLevel="1" spans="1:43">
      <c r="A211" s="363" t="s">
        <v>224</v>
      </c>
      <c r="B211" s="483"/>
      <c r="C211" s="293" t="str">
        <f t="shared" ref="C211:G211" si="430">TEXT(IF($B211=0," ",$B211-C$6),"hh:mm am/pm")</f>
        <v> </v>
      </c>
      <c r="D211" s="293" t="str">
        <f t="shared" si="430"/>
        <v> </v>
      </c>
      <c r="E211" s="293" t="str">
        <f t="shared" si="430"/>
        <v> </v>
      </c>
      <c r="F211" s="293" t="str">
        <f t="shared" si="430"/>
        <v> </v>
      </c>
      <c r="G211" s="293" t="str">
        <f t="shared" si="430"/>
        <v> </v>
      </c>
      <c r="H211" s="293" t="str">
        <f t="shared" ref="H211:I211" si="431">TEXT(IF($B211=0," ",$B211+H$6),"hh:mm am/pm")</f>
        <v> </v>
      </c>
      <c r="I211" s="293" t="str">
        <f t="shared" si="431"/>
        <v> </v>
      </c>
      <c r="J211" s="344"/>
      <c r="K211" s="367"/>
      <c r="L211" s="367"/>
      <c r="M211" s="368"/>
      <c r="N211" s="369"/>
      <c r="O211" s="370"/>
      <c r="P211" s="370"/>
      <c r="Q211" s="369"/>
      <c r="R211" s="369"/>
      <c r="S211" s="369"/>
      <c r="T211" s="371"/>
      <c r="U211" s="369"/>
      <c r="V211" s="369"/>
      <c r="W211" s="369"/>
      <c r="X211" s="372"/>
      <c r="Y211" s="367"/>
      <c r="Z211" s="369"/>
      <c r="AA211" s="372"/>
      <c r="AB211" s="372"/>
      <c r="AC211" s="371"/>
      <c r="AD211" s="371"/>
      <c r="AE211" s="367"/>
      <c r="AF211" s="372"/>
      <c r="AG211" s="367"/>
      <c r="AH211" s="367"/>
      <c r="AI211" s="367"/>
      <c r="AJ211" s="367"/>
      <c r="AK211" s="373"/>
      <c r="AL211" s="373"/>
      <c r="AM211" s="373"/>
      <c r="AN211" s="373"/>
      <c r="AO211" s="314" t="str">
        <f t="shared" si="427"/>
        <v> </v>
      </c>
      <c r="AP211" s="374">
        <f t="shared" si="428"/>
        <v>0</v>
      </c>
      <c r="AQ211" s="316" t="str">
        <f t="shared" si="429"/>
        <v> </v>
      </c>
    </row>
    <row r="212" ht="29.25" customHeight="1" outlineLevel="1" spans="1:43">
      <c r="B212" s="317">
        <v>0.687511574074074</v>
      </c>
      <c r="C212" s="293" t="str">
        <f t="shared" ref="C212:G212" si="432">TEXT(IF($B212=0," ",$B212-C$6),"hh:mm am/pm")</f>
        <v>14:30 001/p1</v>
      </c>
      <c r="D212" s="293" t="str">
        <f t="shared" si="432"/>
        <v>12:30 001/p1</v>
      </c>
      <c r="E212" s="293" t="str">
        <f t="shared" si="432"/>
        <v>13:30 001/p1</v>
      </c>
      <c r="F212" s="293" t="str">
        <f t="shared" si="432"/>
        <v>14:30 001/p1</v>
      </c>
      <c r="G212" s="293" t="str">
        <f t="shared" si="432"/>
        <v>15:30 001/p1</v>
      </c>
      <c r="H212" s="293" t="str">
        <f t="shared" ref="H212:I212" si="433">TEXT(IF($B212=0," ",$B212+H$6),"hh:mm am/pm")</f>
        <v>22:30 001/p1</v>
      </c>
      <c r="I212" s="293" t="str">
        <f t="shared" si="433"/>
        <v>03:30 001/p1</v>
      </c>
      <c r="J212" s="433" t="str">
        <f>L133</f>
        <v>#AS Mystery+SPS</v>
      </c>
      <c r="K212" s="385"/>
      <c r="L212" s="386" t="s">
        <v>283</v>
      </c>
      <c r="M212" s="408" t="s">
        <v>196</v>
      </c>
      <c r="N212" s="409" t="s">
        <v>57</v>
      </c>
      <c r="O212" s="410" t="s">
        <v>74</v>
      </c>
      <c r="P212" s="411" t="s">
        <v>59</v>
      </c>
      <c r="Q212" s="412">
        <f>15*8</f>
        <v>120</v>
      </c>
      <c r="R212" s="414" t="s">
        <v>60</v>
      </c>
      <c r="S212" s="413"/>
      <c r="T212" s="414">
        <v>0.1</v>
      </c>
      <c r="U212" s="409" t="s">
        <v>62</v>
      </c>
      <c r="V212" s="409">
        <v>1</v>
      </c>
      <c r="W212" s="409">
        <v>1</v>
      </c>
      <c r="X212" s="415"/>
      <c r="Y212" s="416" t="s">
        <v>79</v>
      </c>
      <c r="Z212" s="409">
        <v>1</v>
      </c>
      <c r="AA212" s="417">
        <v>20000</v>
      </c>
      <c r="AB212" s="417" t="s">
        <v>65</v>
      </c>
      <c r="AC212" s="414">
        <v>0.05</v>
      </c>
      <c r="AD212" s="414">
        <v>0</v>
      </c>
      <c r="AE212" s="418" t="s">
        <v>88</v>
      </c>
      <c r="AF212" s="419">
        <v>10000</v>
      </c>
      <c r="AG212" s="420">
        <v>4</v>
      </c>
      <c r="AH212" s="420">
        <v>4</v>
      </c>
      <c r="AI212" s="420">
        <v>4</v>
      </c>
      <c r="AJ212" s="418">
        <v>9</v>
      </c>
      <c r="AK212" s="421" t="s">
        <v>67</v>
      </c>
      <c r="AL212" s="428" t="s">
        <v>68</v>
      </c>
      <c r="AM212" s="422" t="s">
        <v>197</v>
      </c>
      <c r="AN212" s="403" t="s">
        <v>198</v>
      </c>
      <c r="AO212" s="314">
        <f t="shared" si="427"/>
        <v>0.712511574074074</v>
      </c>
      <c r="AP212" s="315">
        <f t="shared" si="428"/>
        <v>127</v>
      </c>
      <c r="AQ212" s="316" t="str">
        <f t="shared" si="429"/>
        <v>MICRO</v>
      </c>
    </row>
    <row r="213" ht="29.25" customHeight="1" outlineLevel="1" spans="1:43">
      <c r="B213" s="483"/>
      <c r="C213" s="293" t="str">
        <f t="shared" ref="C213:G213" si="434">TEXT(IF($B213=0," ",$B213-C$6),"hh:mm am/pm")</f>
        <v> </v>
      </c>
      <c r="D213" s="293" t="str">
        <f t="shared" si="434"/>
        <v> </v>
      </c>
      <c r="E213" s="293" t="str">
        <f t="shared" si="434"/>
        <v> </v>
      </c>
      <c r="F213" s="293" t="str">
        <f t="shared" si="434"/>
        <v> </v>
      </c>
      <c r="G213" s="293" t="str">
        <f t="shared" si="434"/>
        <v> </v>
      </c>
      <c r="H213" s="293" t="str">
        <f t="shared" ref="H213:I213" si="435">TEXT(IF($B213=0," ",$B213+H$6),"hh:mm am/pm")</f>
        <v> </v>
      </c>
      <c r="I213" s="293" t="str">
        <f t="shared" si="435"/>
        <v> </v>
      </c>
      <c r="J213" s="344"/>
      <c r="K213" s="367"/>
      <c r="L213" s="367"/>
      <c r="M213" s="368"/>
      <c r="N213" s="369"/>
      <c r="O213" s="370"/>
      <c r="P213" s="370"/>
      <c r="Q213" s="369"/>
      <c r="R213" s="369"/>
      <c r="S213" s="369"/>
      <c r="T213" s="371"/>
      <c r="U213" s="369"/>
      <c r="V213" s="369"/>
      <c r="W213" s="369"/>
      <c r="X213" s="372"/>
      <c r="Y213" s="367"/>
      <c r="Z213" s="369"/>
      <c r="AA213" s="372"/>
      <c r="AB213" s="372"/>
      <c r="AC213" s="371"/>
      <c r="AD213" s="371"/>
      <c r="AE213" s="367"/>
      <c r="AF213" s="372"/>
      <c r="AG213" s="367"/>
      <c r="AH213" s="367"/>
      <c r="AI213" s="367"/>
      <c r="AJ213" s="367"/>
      <c r="AK213" s="373"/>
      <c r="AL213" s="373"/>
      <c r="AM213" s="373"/>
      <c r="AN213" s="373"/>
      <c r="AO213" s="383"/>
      <c r="AP213" s="374"/>
      <c r="AQ213" s="383"/>
    </row>
    <row r="214" ht="29.25" customHeight="1" outlineLevel="1" spans="1:43">
      <c r="B214" s="317">
        <v>0.708344907407407</v>
      </c>
      <c r="C214" s="293" t="str">
        <f t="shared" ref="C214:G214" si="436">TEXT(IF($B214=0," ",$B214-C$6),"hh:mm am/pm")</f>
        <v>15:00 001/p1</v>
      </c>
      <c r="D214" s="293" t="str">
        <f t="shared" si="436"/>
        <v>13:00 001/p1</v>
      </c>
      <c r="E214" s="293" t="str">
        <f t="shared" si="436"/>
        <v>14:00 001/p1</v>
      </c>
      <c r="F214" s="293" t="str">
        <f t="shared" si="436"/>
        <v>15:00 001/p1</v>
      </c>
      <c r="G214" s="293" t="str">
        <f t="shared" si="436"/>
        <v>16:00 001/p1</v>
      </c>
      <c r="H214" s="293" t="str">
        <f t="shared" ref="H214:I214" si="437">TEXT(IF($B214=0," ",$B214+H$6),"hh:mm am/pm")</f>
        <v>23:00 001/p1</v>
      </c>
      <c r="I214" s="293" t="str">
        <f t="shared" si="437"/>
        <v>04:00 001/p1</v>
      </c>
      <c r="J214" s="405" t="str">
        <f>L166</f>
        <v>#AS OmaX PKO</v>
      </c>
      <c r="K214" s="406"/>
      <c r="L214" s="407" t="s">
        <v>284</v>
      </c>
      <c r="M214" s="408" t="s">
        <v>196</v>
      </c>
      <c r="N214" s="409" t="s">
        <v>100</v>
      </c>
      <c r="O214" s="410" t="s">
        <v>74</v>
      </c>
      <c r="P214" s="411" t="s">
        <v>101</v>
      </c>
      <c r="Q214" s="412">
        <f>15*6</f>
        <v>90</v>
      </c>
      <c r="R214" s="414" t="s">
        <v>60</v>
      </c>
      <c r="S214" s="413"/>
      <c r="T214" s="414">
        <v>0.1</v>
      </c>
      <c r="U214" s="409" t="s">
        <v>62</v>
      </c>
      <c r="V214" s="409">
        <v>0.8</v>
      </c>
      <c r="W214" s="409">
        <v>0.8</v>
      </c>
      <c r="X214" s="415"/>
      <c r="Y214" s="416" t="s">
        <v>79</v>
      </c>
      <c r="Z214" s="409">
        <v>0.8</v>
      </c>
      <c r="AA214" s="417">
        <v>20000</v>
      </c>
      <c r="AB214" s="417" t="s">
        <v>65</v>
      </c>
      <c r="AC214" s="414">
        <v>0.05</v>
      </c>
      <c r="AD214" s="414">
        <v>0</v>
      </c>
      <c r="AE214" s="418" t="s">
        <v>88</v>
      </c>
      <c r="AF214" s="419">
        <v>10000</v>
      </c>
      <c r="AG214" s="420">
        <v>4</v>
      </c>
      <c r="AH214" s="420">
        <v>4</v>
      </c>
      <c r="AI214" s="420">
        <v>4</v>
      </c>
      <c r="AJ214" s="418">
        <v>9</v>
      </c>
      <c r="AK214" s="421" t="s">
        <v>67</v>
      </c>
      <c r="AL214" s="428" t="s">
        <v>68</v>
      </c>
      <c r="AM214" s="422" t="s">
        <v>197</v>
      </c>
      <c r="AN214" s="403" t="s">
        <v>198</v>
      </c>
      <c r="AO214" s="314">
        <f t="shared" ref="AO214:AO218" si="438">IF(B214=0," ",TIME(,ROUNDDOWN(AG214*AJ214/60,0)*5+(AG214*AJ214),)+B214)</f>
        <v>0.733344907407407</v>
      </c>
      <c r="AP214" s="315">
        <f t="shared" ref="AP214:AP218" si="439">IF(Q214=0,,ROUNDUP(Q214/(V214*(1-AC214-AD214)),0))</f>
        <v>119</v>
      </c>
      <c r="AQ214" s="316" t="str">
        <f t="shared" ref="AQ214:AQ218" si="440">IFERROR(IF(V214=0," ",IF(V214&lt;=5,"MICRO",IF(V214&lt;=19.8,"LOW",IF(V214&lt;=99.8,"MEDIUM",IF(V214&lt;=500,"HIGH",IF(V214&gt;500,"SUPER HIGH",)))))),"")</f>
        <v>MICRO</v>
      </c>
    </row>
    <row r="215" ht="29.25" customHeight="1" outlineLevel="1" spans="1:43">
      <c r="B215" s="483"/>
      <c r="C215" s="293" t="str">
        <f t="shared" ref="C215:G215" si="441">TEXT(IF($B215=0," ",$B215-C$6),"hh:mm am/pm")</f>
        <v> </v>
      </c>
      <c r="D215" s="293" t="str">
        <f t="shared" si="441"/>
        <v> </v>
      </c>
      <c r="E215" s="293" t="str">
        <f t="shared" si="441"/>
        <v> </v>
      </c>
      <c r="F215" s="293" t="str">
        <f t="shared" si="441"/>
        <v> </v>
      </c>
      <c r="G215" s="293" t="str">
        <f t="shared" si="441"/>
        <v> </v>
      </c>
      <c r="H215" s="293" t="str">
        <f t="shared" ref="H215:I215" si="442">TEXT(IF($B215=0," ",$B215+H$6),"hh:mm am/pm")</f>
        <v> </v>
      </c>
      <c r="I215" s="293" t="str">
        <f t="shared" si="442"/>
        <v> </v>
      </c>
      <c r="J215" s="344"/>
      <c r="K215" s="367"/>
      <c r="L215" s="367"/>
      <c r="M215" s="368"/>
      <c r="N215" s="369"/>
      <c r="O215" s="370"/>
      <c r="P215" s="370"/>
      <c r="Q215" s="369"/>
      <c r="R215" s="369"/>
      <c r="S215" s="369"/>
      <c r="T215" s="371"/>
      <c r="U215" s="369"/>
      <c r="V215" s="369"/>
      <c r="W215" s="369"/>
      <c r="X215" s="372"/>
      <c r="Y215" s="367"/>
      <c r="Z215" s="369"/>
      <c r="AA215" s="372"/>
      <c r="AB215" s="372"/>
      <c r="AC215" s="371"/>
      <c r="AD215" s="371"/>
      <c r="AE215" s="367"/>
      <c r="AF215" s="372"/>
      <c r="AG215" s="367"/>
      <c r="AH215" s="367"/>
      <c r="AI215" s="367"/>
      <c r="AJ215" s="367"/>
      <c r="AK215" s="373"/>
      <c r="AL215" s="373"/>
      <c r="AM215" s="373"/>
      <c r="AN215" s="373"/>
      <c r="AO215" s="314" t="str">
        <f t="shared" si="438"/>
        <v> </v>
      </c>
      <c r="AP215" s="374">
        <f t="shared" si="439"/>
        <v>0</v>
      </c>
      <c r="AQ215" s="316" t="str">
        <f t="shared" si="440"/>
        <v> </v>
      </c>
    </row>
    <row r="216" ht="29.25" customHeight="1" outlineLevel="1" spans="1:43">
      <c r="A216" s="363" t="s">
        <v>224</v>
      </c>
      <c r="B216" s="317">
        <v>0.718761574074074</v>
      </c>
      <c r="C216" s="293" t="str">
        <f t="shared" ref="C216:G216" si="443">TEXT(IF($B216=0," ",$B216-C$6),"hh:mm am/pm")</f>
        <v>15:15 001/p1</v>
      </c>
      <c r="D216" s="293" t="str">
        <f t="shared" si="443"/>
        <v>13:15 001/p1</v>
      </c>
      <c r="E216" s="293" t="str">
        <f t="shared" si="443"/>
        <v>14:15 001/p1</v>
      </c>
      <c r="F216" s="293" t="str">
        <f t="shared" si="443"/>
        <v>15:15 001/p1</v>
      </c>
      <c r="G216" s="293" t="str">
        <f t="shared" si="443"/>
        <v>16:15 001/p1</v>
      </c>
      <c r="H216" s="293" t="str">
        <f t="shared" ref="H216:I216" si="444">TEXT(IF($B216=0," ",$B216+H$6),"hh:mm am/pm")</f>
        <v>23:15 001/p1</v>
      </c>
      <c r="I216" s="293" t="str">
        <f t="shared" si="444"/>
        <v>04:15 001/p1</v>
      </c>
      <c r="J216" s="405" t="str">
        <f>L134</f>
        <v>HighS</v>
      </c>
      <c r="K216" s="406"/>
      <c r="L216" s="407" t="s">
        <v>285</v>
      </c>
      <c r="M216" s="408" t="s">
        <v>196</v>
      </c>
      <c r="N216" s="409" t="s">
        <v>57</v>
      </c>
      <c r="O216" s="410" t="s">
        <v>74</v>
      </c>
      <c r="P216" s="411" t="s">
        <v>59</v>
      </c>
      <c r="Q216" s="412">
        <f>220*6</f>
        <v>1320</v>
      </c>
      <c r="R216" s="414" t="s">
        <v>60</v>
      </c>
      <c r="S216" s="413"/>
      <c r="T216" s="414">
        <v>0.1</v>
      </c>
      <c r="U216" s="409" t="s">
        <v>62</v>
      </c>
      <c r="V216" s="409">
        <v>30</v>
      </c>
      <c r="W216" s="409">
        <v>30</v>
      </c>
      <c r="X216" s="415"/>
      <c r="Y216" s="416" t="s">
        <v>79</v>
      </c>
      <c r="Z216" s="426"/>
      <c r="AA216" s="417" t="s">
        <v>64</v>
      </c>
      <c r="AB216" s="417" t="s">
        <v>65</v>
      </c>
      <c r="AC216" s="414">
        <v>0.05</v>
      </c>
      <c r="AD216" s="414">
        <v>0</v>
      </c>
      <c r="AE216" s="418" t="s">
        <v>88</v>
      </c>
      <c r="AF216" s="419">
        <v>20000</v>
      </c>
      <c r="AG216" s="420">
        <v>5</v>
      </c>
      <c r="AH216" s="420">
        <v>5</v>
      </c>
      <c r="AI216" s="420">
        <v>4</v>
      </c>
      <c r="AJ216" s="418">
        <v>9</v>
      </c>
      <c r="AK216" s="421" t="s">
        <v>67</v>
      </c>
      <c r="AL216" s="428" t="s">
        <v>68</v>
      </c>
      <c r="AM216" s="422" t="s">
        <v>197</v>
      </c>
      <c r="AN216" s="403" t="s">
        <v>198</v>
      </c>
      <c r="AO216" s="314">
        <f t="shared" si="438"/>
        <v>0.750011574074074</v>
      </c>
      <c r="AP216" s="315">
        <f t="shared" si="439"/>
        <v>47</v>
      </c>
      <c r="AQ216" s="316" t="str">
        <f t="shared" si="440"/>
        <v>MEDIUM</v>
      </c>
    </row>
    <row r="217" ht="29.25" customHeight="1" outlineLevel="1" spans="1:43">
      <c r="B217" s="483"/>
      <c r="C217" s="293" t="str">
        <f t="shared" ref="C217:G217" si="445">TEXT(IF($B217=0," ",$B217-C$6),"hh:mm am/pm")</f>
        <v> </v>
      </c>
      <c r="D217" s="293" t="str">
        <f t="shared" si="445"/>
        <v> </v>
      </c>
      <c r="E217" s="293" t="str">
        <f t="shared" si="445"/>
        <v> </v>
      </c>
      <c r="F217" s="293" t="str">
        <f t="shared" si="445"/>
        <v> </v>
      </c>
      <c r="G217" s="293" t="str">
        <f t="shared" si="445"/>
        <v> </v>
      </c>
      <c r="H217" s="293" t="str">
        <f t="shared" ref="H217:I217" si="446">TEXT(IF($B217=0," ",$B217+H$6),"hh:mm am/pm")</f>
        <v> </v>
      </c>
      <c r="I217" s="293" t="str">
        <f t="shared" si="446"/>
        <v> </v>
      </c>
      <c r="J217" s="344"/>
      <c r="K217" s="367"/>
      <c r="L217" s="367"/>
      <c r="M217" s="368"/>
      <c r="N217" s="369"/>
      <c r="O217" s="370"/>
      <c r="P217" s="370"/>
      <c r="Q217" s="369"/>
      <c r="R217" s="369"/>
      <c r="S217" s="369"/>
      <c r="T217" s="371"/>
      <c r="U217" s="369"/>
      <c r="V217" s="369"/>
      <c r="W217" s="369"/>
      <c r="X217" s="372"/>
      <c r="Y217" s="367"/>
      <c r="Z217" s="369"/>
      <c r="AA217" s="372"/>
      <c r="AB217" s="372"/>
      <c r="AC217" s="371"/>
      <c r="AD217" s="371"/>
      <c r="AE217" s="367"/>
      <c r="AF217" s="372"/>
      <c r="AG217" s="367"/>
      <c r="AH217" s="367"/>
      <c r="AI217" s="367"/>
      <c r="AJ217" s="367"/>
      <c r="AK217" s="373"/>
      <c r="AL217" s="373"/>
      <c r="AM217" s="373"/>
      <c r="AN217" s="373"/>
      <c r="AO217" s="314" t="str">
        <f t="shared" si="438"/>
        <v> </v>
      </c>
      <c r="AP217" s="374">
        <f t="shared" si="439"/>
        <v>0</v>
      </c>
      <c r="AQ217" s="316" t="str">
        <f t="shared" si="440"/>
        <v> </v>
      </c>
    </row>
    <row r="218" ht="29.25" customHeight="1" outlineLevel="1" spans="1:43">
      <c r="A218" s="363" t="s">
        <v>224</v>
      </c>
      <c r="B218" s="317">
        <v>0.750011574074074</v>
      </c>
      <c r="C218" s="293" t="str">
        <f t="shared" ref="C218:G218" si="447">TEXT(IF($B218=0," ",$B218-C$6),"hh:mm am/pm")</f>
        <v>16:00 001/p1</v>
      </c>
      <c r="D218" s="293" t="str">
        <f t="shared" si="447"/>
        <v>14:00 001/p1</v>
      </c>
      <c r="E218" s="293" t="str">
        <f t="shared" si="447"/>
        <v>15:00 001/p1</v>
      </c>
      <c r="F218" s="293" t="str">
        <f t="shared" si="447"/>
        <v>16:00 001/p1</v>
      </c>
      <c r="G218" s="293" t="str">
        <f t="shared" si="447"/>
        <v>17:00 001/p1</v>
      </c>
      <c r="H218" s="293" t="str">
        <f t="shared" ref="H218:I218" si="448">TEXT(IF($B218=0," ",$B218+H$6),"hh:mm am/pm")</f>
        <v>00:00 001/p1</v>
      </c>
      <c r="I218" s="293" t="str">
        <f t="shared" si="448"/>
        <v>05:00 001/p1</v>
      </c>
      <c r="J218" s="405" t="str">
        <f>L135</f>
        <v>#AS OmaX HR</v>
      </c>
      <c r="K218" s="406"/>
      <c r="L218" s="407" t="s">
        <v>286</v>
      </c>
      <c r="M218" s="408" t="s">
        <v>196</v>
      </c>
      <c r="N218" s="409" t="s">
        <v>100</v>
      </c>
      <c r="O218" s="410" t="s">
        <v>74</v>
      </c>
      <c r="P218" s="411" t="s">
        <v>101</v>
      </c>
      <c r="Q218" s="412">
        <f>100*8</f>
        <v>800</v>
      </c>
      <c r="R218" s="414" t="s">
        <v>60</v>
      </c>
      <c r="S218" s="413"/>
      <c r="T218" s="414">
        <v>0.1</v>
      </c>
      <c r="U218" s="409" t="s">
        <v>62</v>
      </c>
      <c r="V218" s="409">
        <v>7</v>
      </c>
      <c r="W218" s="409">
        <v>7</v>
      </c>
      <c r="X218" s="415"/>
      <c r="Y218" s="416" t="s">
        <v>79</v>
      </c>
      <c r="Z218" s="409">
        <v>8</v>
      </c>
      <c r="AA218" s="417">
        <v>20000</v>
      </c>
      <c r="AB218" s="417" t="s">
        <v>65</v>
      </c>
      <c r="AC218" s="414">
        <v>0.05</v>
      </c>
      <c r="AD218" s="414">
        <v>0</v>
      </c>
      <c r="AE218" s="418" t="s">
        <v>88</v>
      </c>
      <c r="AF218" s="419">
        <v>10000</v>
      </c>
      <c r="AG218" s="420">
        <v>4</v>
      </c>
      <c r="AH218" s="420">
        <v>4</v>
      </c>
      <c r="AI218" s="420">
        <v>4</v>
      </c>
      <c r="AJ218" s="418">
        <v>9</v>
      </c>
      <c r="AK218" s="421" t="s">
        <v>67</v>
      </c>
      <c r="AL218" s="428" t="s">
        <v>68</v>
      </c>
      <c r="AM218" s="422" t="s">
        <v>197</v>
      </c>
      <c r="AN218" s="403" t="s">
        <v>198</v>
      </c>
      <c r="AO218" s="314">
        <f t="shared" si="438"/>
        <v>0.775011574074074</v>
      </c>
      <c r="AP218" s="315">
        <f t="shared" si="439"/>
        <v>121</v>
      </c>
      <c r="AQ218" s="316" t="str">
        <f t="shared" si="440"/>
        <v>LOW</v>
      </c>
    </row>
    <row r="219" ht="29.25" customHeight="1" outlineLevel="1" spans="1:43">
      <c r="B219" s="483"/>
      <c r="C219" s="293" t="str">
        <f t="shared" ref="C219:G219" si="449">TEXT(IF($B219=0," ",$B219-C$6),"hh:mm am/pm")</f>
        <v> </v>
      </c>
      <c r="D219" s="293" t="str">
        <f t="shared" si="449"/>
        <v> </v>
      </c>
      <c r="E219" s="293" t="str">
        <f t="shared" si="449"/>
        <v> </v>
      </c>
      <c r="F219" s="293" t="str">
        <f t="shared" si="449"/>
        <v> </v>
      </c>
      <c r="G219" s="293" t="str">
        <f t="shared" si="449"/>
        <v> </v>
      </c>
      <c r="H219" s="293" t="str">
        <f t="shared" ref="H219:I219" si="450">TEXT(IF($B219=0," ",$B219+H$6),"hh:mm am/pm")</f>
        <v> </v>
      </c>
      <c r="I219" s="293" t="str">
        <f t="shared" si="450"/>
        <v> </v>
      </c>
      <c r="J219" s="344"/>
      <c r="K219" s="367"/>
      <c r="L219" s="367"/>
      <c r="M219" s="368"/>
      <c r="N219" s="369"/>
      <c r="O219" s="370"/>
      <c r="P219" s="370"/>
      <c r="Q219" s="369"/>
      <c r="R219" s="369"/>
      <c r="S219" s="369"/>
      <c r="T219" s="371"/>
      <c r="U219" s="369"/>
      <c r="V219" s="369"/>
      <c r="W219" s="369"/>
      <c r="X219" s="372"/>
      <c r="Y219" s="367"/>
      <c r="Z219" s="369"/>
      <c r="AA219" s="372"/>
      <c r="AB219" s="372"/>
      <c r="AC219" s="371"/>
      <c r="AD219" s="371"/>
      <c r="AE219" s="367"/>
      <c r="AF219" s="372"/>
      <c r="AG219" s="367"/>
      <c r="AH219" s="367"/>
      <c r="AI219" s="367"/>
      <c r="AJ219" s="367"/>
      <c r="AK219" s="373"/>
      <c r="AL219" s="373"/>
      <c r="AM219" s="373"/>
      <c r="AN219" s="373"/>
      <c r="AO219" s="383"/>
      <c r="AP219" s="374"/>
      <c r="AQ219" s="383"/>
    </row>
    <row r="220" ht="29.25" customHeight="1" outlineLevel="1" spans="1:43">
      <c r="B220" s="317">
        <v>0.750011574074074</v>
      </c>
      <c r="C220" s="293" t="str">
        <f t="shared" ref="C220:G220" si="451">TEXT(IF($B220=0," ",$B220-C$6),"hh:mm am/pm")</f>
        <v>16:00 001/p1</v>
      </c>
      <c r="D220" s="293" t="str">
        <f t="shared" si="451"/>
        <v>14:00 001/p1</v>
      </c>
      <c r="E220" s="293" t="str">
        <f t="shared" si="451"/>
        <v>15:00 001/p1</v>
      </c>
      <c r="F220" s="293" t="str">
        <f t="shared" si="451"/>
        <v>16:00 001/p1</v>
      </c>
      <c r="G220" s="293" t="str">
        <f t="shared" si="451"/>
        <v>17:00 001/p1</v>
      </c>
      <c r="H220" s="293" t="str">
        <f t="shared" ref="H220:I220" si="452">TEXT(IF($B220=0," ",$B220+H$6),"hh:mm am/pm")</f>
        <v>00:00 001/p1</v>
      </c>
      <c r="I220" s="293" t="str">
        <f t="shared" si="452"/>
        <v>05:00 001/p1</v>
      </c>
      <c r="J220" s="405" t="str">
        <f>L176</f>
        <v>#AS Freeze</v>
      </c>
      <c r="K220" s="406"/>
      <c r="L220" s="407" t="s">
        <v>287</v>
      </c>
      <c r="M220" s="408" t="s">
        <v>196</v>
      </c>
      <c r="N220" s="409" t="s">
        <v>57</v>
      </c>
      <c r="O220" s="410" t="s">
        <v>74</v>
      </c>
      <c r="P220" s="411" t="s">
        <v>59</v>
      </c>
      <c r="Q220" s="412">
        <f>30*4</f>
        <v>120</v>
      </c>
      <c r="R220" s="414" t="s">
        <v>60</v>
      </c>
      <c r="S220" s="413"/>
      <c r="T220" s="414">
        <v>0.1</v>
      </c>
      <c r="U220" s="409" t="s">
        <v>62</v>
      </c>
      <c r="V220" s="409">
        <v>2</v>
      </c>
      <c r="W220" s="409">
        <v>2</v>
      </c>
      <c r="X220" s="415"/>
      <c r="Y220" s="416" t="s">
        <v>79</v>
      </c>
      <c r="Z220" s="409">
        <v>2</v>
      </c>
      <c r="AA220" s="417">
        <v>20000</v>
      </c>
      <c r="AB220" s="417" t="s">
        <v>65</v>
      </c>
      <c r="AC220" s="414">
        <v>0.05</v>
      </c>
      <c r="AD220" s="414">
        <v>0</v>
      </c>
      <c r="AE220" s="418" t="s">
        <v>88</v>
      </c>
      <c r="AF220" s="419">
        <v>10000</v>
      </c>
      <c r="AG220" s="420">
        <v>5</v>
      </c>
      <c r="AH220" s="420">
        <v>5</v>
      </c>
      <c r="AI220" s="420">
        <v>4</v>
      </c>
      <c r="AJ220" s="418">
        <v>9</v>
      </c>
      <c r="AK220" s="421" t="s">
        <v>67</v>
      </c>
      <c r="AL220" s="428" t="s">
        <v>68</v>
      </c>
      <c r="AM220" s="422" t="s">
        <v>197</v>
      </c>
      <c r="AN220" s="403" t="s">
        <v>198</v>
      </c>
      <c r="AO220" s="314">
        <f t="shared" ref="AO220:AO236" si="453">IF(B220=0," ",TIME(,ROUNDDOWN(AG220*AJ220/60,0)*5+(AG220*AJ220),)+B220)</f>
        <v>0.781261574074074</v>
      </c>
      <c r="AP220" s="315">
        <f t="shared" ref="AP220:AP236" si="454">IF(Q220=0,,ROUNDUP(Q220/(V220*(1-AC220-AD220)),0))</f>
        <v>64</v>
      </c>
      <c r="AQ220" s="316" t="str">
        <f t="shared" ref="AQ220:AQ236" si="455">IFERROR(IF(V220=0," ",IF(V220&lt;=5,"MICRO",IF(V220&lt;=19.8,"LOW",IF(V220&lt;=99.8,"MEDIUM",IF(V220&lt;=500,"HIGH",IF(V220&gt;500,"SUPER HIGH",)))))),"")</f>
        <v>MICRO</v>
      </c>
    </row>
    <row r="221" ht="29.25" customHeight="1" outlineLevel="1" spans="1:43">
      <c r="A221" s="363" t="s">
        <v>224</v>
      </c>
      <c r="B221" s="483"/>
      <c r="C221" s="293" t="str">
        <f t="shared" ref="C221:G221" si="456">TEXT(IF($B221=0," ",$B221-C$6),"hh:mm am/pm")</f>
        <v> </v>
      </c>
      <c r="D221" s="293" t="str">
        <f t="shared" si="456"/>
        <v> </v>
      </c>
      <c r="E221" s="293" t="str">
        <f t="shared" si="456"/>
        <v> </v>
      </c>
      <c r="F221" s="293" t="str">
        <f t="shared" si="456"/>
        <v> </v>
      </c>
      <c r="G221" s="293" t="str">
        <f t="shared" si="456"/>
        <v> </v>
      </c>
      <c r="H221" s="293" t="str">
        <f t="shared" ref="H221:I221" si="457">TEXT(IF($B221=0," ",$B221+H$6),"hh:mm am/pm")</f>
        <v> </v>
      </c>
      <c r="I221" s="293" t="str">
        <f t="shared" si="457"/>
        <v> </v>
      </c>
      <c r="J221" s="344"/>
      <c r="K221" s="367"/>
      <c r="L221" s="367"/>
      <c r="M221" s="368"/>
      <c r="N221" s="369"/>
      <c r="O221" s="370"/>
      <c r="P221" s="370"/>
      <c r="Q221" s="369"/>
      <c r="R221" s="369"/>
      <c r="S221" s="369"/>
      <c r="T221" s="371"/>
      <c r="U221" s="369"/>
      <c r="V221" s="369"/>
      <c r="W221" s="369"/>
      <c r="X221" s="372"/>
      <c r="Y221" s="367"/>
      <c r="Z221" s="369"/>
      <c r="AA221" s="372"/>
      <c r="AB221" s="372"/>
      <c r="AC221" s="371"/>
      <c r="AD221" s="371"/>
      <c r="AE221" s="367"/>
      <c r="AF221" s="372"/>
      <c r="AG221" s="367"/>
      <c r="AH221" s="367"/>
      <c r="AI221" s="367"/>
      <c r="AJ221" s="367"/>
      <c r="AK221" s="373"/>
      <c r="AL221" s="373"/>
      <c r="AM221" s="373"/>
      <c r="AN221" s="373"/>
      <c r="AO221" s="314" t="str">
        <f t="shared" si="453"/>
        <v> </v>
      </c>
      <c r="AP221" s="374">
        <f t="shared" si="454"/>
        <v>0</v>
      </c>
      <c r="AQ221" s="316" t="str">
        <f t="shared" si="455"/>
        <v> </v>
      </c>
    </row>
    <row r="222" ht="29.25" customHeight="1" outlineLevel="1" spans="1:43">
      <c r="B222" s="317">
        <v>0.770844907407407</v>
      </c>
      <c r="C222" s="293" t="str">
        <f t="shared" ref="C222:G222" si="458">TEXT(IF($B222=0," ",$B222-C$6),"hh:mm am/pm")</f>
        <v>16:30 001/p1</v>
      </c>
      <c r="D222" s="293" t="str">
        <f t="shared" si="458"/>
        <v>14:30 001/p1</v>
      </c>
      <c r="E222" s="293" t="str">
        <f t="shared" si="458"/>
        <v>15:30 001/p1</v>
      </c>
      <c r="F222" s="293" t="str">
        <f t="shared" si="458"/>
        <v>16:30 001/p1</v>
      </c>
      <c r="G222" s="293" t="str">
        <f t="shared" si="458"/>
        <v>17:30 001/p1</v>
      </c>
      <c r="H222" s="293" t="str">
        <f t="shared" ref="H222:I222" si="459">TEXT(IF($B222=0," ",$B222+H$6),"hh:mm am/pm")</f>
        <v>00:30 001/p1</v>
      </c>
      <c r="I222" s="293" t="str">
        <f t="shared" si="459"/>
        <v>05:30 001/p1</v>
      </c>
      <c r="J222" s="433" t="str">
        <f>L136</f>
        <v>#AS Bounty</v>
      </c>
      <c r="K222" s="385"/>
      <c r="L222" s="386" t="s">
        <v>206</v>
      </c>
      <c r="M222" s="408" t="s">
        <v>196</v>
      </c>
      <c r="N222" s="409" t="s">
        <v>57</v>
      </c>
      <c r="O222" s="410" t="s">
        <v>74</v>
      </c>
      <c r="P222" s="411" t="s">
        <v>59</v>
      </c>
      <c r="Q222" s="412">
        <f>22*5</f>
        <v>110</v>
      </c>
      <c r="R222" s="414" t="s">
        <v>60</v>
      </c>
      <c r="S222" s="413"/>
      <c r="T222" s="414">
        <v>0.1</v>
      </c>
      <c r="U222" s="409" t="s">
        <v>62</v>
      </c>
      <c r="V222" s="409">
        <v>1.4</v>
      </c>
      <c r="W222" s="409">
        <v>1.4</v>
      </c>
      <c r="X222" s="415"/>
      <c r="Y222" s="416" t="s">
        <v>79</v>
      </c>
      <c r="Z222" s="409">
        <v>1.4</v>
      </c>
      <c r="AA222" s="417">
        <v>20000</v>
      </c>
      <c r="AB222" s="417" t="s">
        <v>65</v>
      </c>
      <c r="AC222" s="414">
        <v>0.05</v>
      </c>
      <c r="AD222" s="414">
        <v>0</v>
      </c>
      <c r="AE222" s="418" t="s">
        <v>88</v>
      </c>
      <c r="AF222" s="419">
        <v>10000</v>
      </c>
      <c r="AG222" s="420">
        <v>4</v>
      </c>
      <c r="AH222" s="420">
        <v>4</v>
      </c>
      <c r="AI222" s="420">
        <v>4</v>
      </c>
      <c r="AJ222" s="418">
        <v>9</v>
      </c>
      <c r="AK222" s="421" t="s">
        <v>67</v>
      </c>
      <c r="AL222" s="428" t="s">
        <v>68</v>
      </c>
      <c r="AM222" s="422" t="s">
        <v>197</v>
      </c>
      <c r="AN222" s="403" t="s">
        <v>198</v>
      </c>
      <c r="AO222" s="314">
        <f t="shared" si="453"/>
        <v>0.795844907407407</v>
      </c>
      <c r="AP222" s="315">
        <f t="shared" si="454"/>
        <v>83</v>
      </c>
      <c r="AQ222" s="316" t="str">
        <f t="shared" si="455"/>
        <v>MICRO</v>
      </c>
    </row>
    <row r="223" ht="29.25" customHeight="1" outlineLevel="1" spans="1:43">
      <c r="B223" s="483"/>
      <c r="C223" s="293" t="str">
        <f t="shared" ref="C223:G223" si="460">TEXT(IF($B223=0," ",$B223-C$6),"hh:mm am/pm")</f>
        <v> </v>
      </c>
      <c r="D223" s="293" t="str">
        <f t="shared" si="460"/>
        <v> </v>
      </c>
      <c r="E223" s="293" t="str">
        <f t="shared" si="460"/>
        <v> </v>
      </c>
      <c r="F223" s="293" t="str">
        <f t="shared" si="460"/>
        <v> </v>
      </c>
      <c r="G223" s="293" t="str">
        <f t="shared" si="460"/>
        <v> </v>
      </c>
      <c r="H223" s="293" t="str">
        <f t="shared" ref="H223:I223" si="461">TEXT(IF($B223=0," ",$B223+H$6),"hh:mm am/pm")</f>
        <v> </v>
      </c>
      <c r="I223" s="293" t="str">
        <f t="shared" si="461"/>
        <v> </v>
      </c>
      <c r="J223" s="344"/>
      <c r="K223" s="367"/>
      <c r="L223" s="367"/>
      <c r="M223" s="368"/>
      <c r="N223" s="369"/>
      <c r="O223" s="370"/>
      <c r="P223" s="370"/>
      <c r="Q223" s="369"/>
      <c r="R223" s="369"/>
      <c r="S223" s="369"/>
      <c r="T223" s="371"/>
      <c r="U223" s="369"/>
      <c r="V223" s="369"/>
      <c r="W223" s="369"/>
      <c r="X223" s="372"/>
      <c r="Y223" s="367"/>
      <c r="Z223" s="369"/>
      <c r="AA223" s="372"/>
      <c r="AB223" s="372"/>
      <c r="AC223" s="371"/>
      <c r="AD223" s="371"/>
      <c r="AE223" s="367"/>
      <c r="AF223" s="372"/>
      <c r="AG223" s="367"/>
      <c r="AH223" s="367"/>
      <c r="AI223" s="367"/>
      <c r="AJ223" s="367"/>
      <c r="AK223" s="373"/>
      <c r="AL223" s="373"/>
      <c r="AM223" s="373"/>
      <c r="AN223" s="373"/>
      <c r="AO223" s="314" t="str">
        <f t="shared" si="453"/>
        <v> </v>
      </c>
      <c r="AP223" s="374">
        <f t="shared" si="454"/>
        <v>0</v>
      </c>
      <c r="AQ223" s="316" t="str">
        <f t="shared" si="455"/>
        <v> </v>
      </c>
    </row>
    <row r="224" ht="29.25" customHeight="1" outlineLevel="1" spans="1:43">
      <c r="A224" s="363" t="s">
        <v>224</v>
      </c>
      <c r="B224" s="317">
        <v>0.812511574074074</v>
      </c>
      <c r="C224" s="293" t="str">
        <f t="shared" ref="C224:G224" si="462">TEXT(IF($B224=0," ",$B224-C$6),"hh:mm am/pm")</f>
        <v>17:30 001/p1</v>
      </c>
      <c r="D224" s="293" t="str">
        <f t="shared" si="462"/>
        <v>15:30 001/p1</v>
      </c>
      <c r="E224" s="293" t="str">
        <f t="shared" si="462"/>
        <v>16:30 001/p1</v>
      </c>
      <c r="F224" s="293" t="str">
        <f t="shared" si="462"/>
        <v>17:30 001/p1</v>
      </c>
      <c r="G224" s="293" t="str">
        <f t="shared" si="462"/>
        <v>18:30 001/p1</v>
      </c>
      <c r="H224" s="293" t="str">
        <f t="shared" ref="H224:I224" si="463">TEXT(IF($B224=0," ",$B224+H$6),"hh:mm am/pm")</f>
        <v>01:30 001/p1</v>
      </c>
      <c r="I224" s="293" t="str">
        <f t="shared" si="463"/>
        <v>06:30 001/p1</v>
      </c>
      <c r="J224" s="405" t="str">
        <f>L182</f>
        <v>#AS OmaX Turbo</v>
      </c>
      <c r="K224" s="406"/>
      <c r="L224" s="407" t="s">
        <v>288</v>
      </c>
      <c r="M224" s="408" t="s">
        <v>196</v>
      </c>
      <c r="N224" s="409" t="s">
        <v>100</v>
      </c>
      <c r="O224" s="410" t="s">
        <v>74</v>
      </c>
      <c r="P224" s="411" t="s">
        <v>101</v>
      </c>
      <c r="Q224" s="412">
        <f>11*6</f>
        <v>66</v>
      </c>
      <c r="R224" s="414" t="s">
        <v>60</v>
      </c>
      <c r="S224" s="413"/>
      <c r="T224" s="414">
        <v>0.1</v>
      </c>
      <c r="U224" s="409" t="s">
        <v>62</v>
      </c>
      <c r="V224" s="409">
        <v>0.6</v>
      </c>
      <c r="W224" s="409">
        <v>0.6</v>
      </c>
      <c r="X224" s="415"/>
      <c r="Y224" s="416" t="s">
        <v>79</v>
      </c>
      <c r="Z224" s="409">
        <v>0.6</v>
      </c>
      <c r="AA224" s="417">
        <v>20000</v>
      </c>
      <c r="AB224" s="417" t="s">
        <v>65</v>
      </c>
      <c r="AC224" s="414">
        <v>0.05</v>
      </c>
      <c r="AD224" s="414">
        <v>0</v>
      </c>
      <c r="AE224" s="418" t="s">
        <v>88</v>
      </c>
      <c r="AF224" s="419">
        <v>10000</v>
      </c>
      <c r="AG224" s="420">
        <v>4</v>
      </c>
      <c r="AH224" s="420">
        <v>4</v>
      </c>
      <c r="AI224" s="420">
        <v>4</v>
      </c>
      <c r="AJ224" s="418">
        <v>9</v>
      </c>
      <c r="AK224" s="421" t="s">
        <v>67</v>
      </c>
      <c r="AL224" s="428" t="s">
        <v>68</v>
      </c>
      <c r="AM224" s="422" t="s">
        <v>197</v>
      </c>
      <c r="AN224" s="403" t="s">
        <v>198</v>
      </c>
      <c r="AO224" s="314">
        <f t="shared" si="453"/>
        <v>0.837511574074074</v>
      </c>
      <c r="AP224" s="315">
        <f t="shared" si="454"/>
        <v>116</v>
      </c>
      <c r="AQ224" s="316" t="str">
        <f t="shared" si="455"/>
        <v>MICRO</v>
      </c>
    </row>
    <row r="225" ht="29.25" customHeight="1" outlineLevel="1" spans="1:43">
      <c r="B225" s="483"/>
      <c r="C225" s="293" t="str">
        <f t="shared" ref="C225:G225" si="464">TEXT(IF($B225=0," ",$B225-C$6),"hh:mm am/pm")</f>
        <v> </v>
      </c>
      <c r="D225" s="293" t="str">
        <f t="shared" si="464"/>
        <v> </v>
      </c>
      <c r="E225" s="293" t="str">
        <f t="shared" si="464"/>
        <v> </v>
      </c>
      <c r="F225" s="293" t="str">
        <f t="shared" si="464"/>
        <v> </v>
      </c>
      <c r="G225" s="293" t="str">
        <f t="shared" si="464"/>
        <v> </v>
      </c>
      <c r="H225" s="293" t="str">
        <f t="shared" ref="H225:I225" si="465">TEXT(IF($B225=0," ",$B225+H$6),"hh:mm am/pm")</f>
        <v> </v>
      </c>
      <c r="I225" s="293" t="str">
        <f t="shared" si="465"/>
        <v> </v>
      </c>
      <c r="J225" s="344"/>
      <c r="K225" s="367"/>
      <c r="L225" s="367"/>
      <c r="M225" s="368"/>
      <c r="N225" s="369"/>
      <c r="O225" s="370"/>
      <c r="P225" s="370"/>
      <c r="Q225" s="369"/>
      <c r="R225" s="369"/>
      <c r="S225" s="369"/>
      <c r="T225" s="371"/>
      <c r="U225" s="369"/>
      <c r="V225" s="369"/>
      <c r="W225" s="369"/>
      <c r="X225" s="372"/>
      <c r="Y225" s="367"/>
      <c r="Z225" s="369"/>
      <c r="AA225" s="372"/>
      <c r="AB225" s="372"/>
      <c r="AC225" s="371"/>
      <c r="AD225" s="371"/>
      <c r="AE225" s="367"/>
      <c r="AF225" s="372"/>
      <c r="AG225" s="367"/>
      <c r="AH225" s="367"/>
      <c r="AI225" s="367"/>
      <c r="AJ225" s="367"/>
      <c r="AK225" s="373"/>
      <c r="AL225" s="373"/>
      <c r="AM225" s="373"/>
      <c r="AN225" s="373"/>
      <c r="AO225" s="314" t="str">
        <f t="shared" si="453"/>
        <v> </v>
      </c>
      <c r="AP225" s="374">
        <f t="shared" si="454"/>
        <v>0</v>
      </c>
      <c r="AQ225" s="316" t="str">
        <f t="shared" si="455"/>
        <v> </v>
      </c>
    </row>
    <row r="226" ht="29.25" customHeight="1" outlineLevel="1" spans="1:43">
      <c r="B226" s="317">
        <v>0.791678240740741</v>
      </c>
      <c r="C226" s="293" t="str">
        <f t="shared" ref="C226:G226" si="466">TEXT(IF($B226=0," ",$B226-C$6),"hh:mm am/pm")</f>
        <v>17:00 001/p1</v>
      </c>
      <c r="D226" s="293" t="str">
        <f t="shared" si="466"/>
        <v>15:00 001/p1</v>
      </c>
      <c r="E226" s="293" t="str">
        <f t="shared" si="466"/>
        <v>16:00 001/p1</v>
      </c>
      <c r="F226" s="293" t="str">
        <f t="shared" si="466"/>
        <v>17:00 001/p1</v>
      </c>
      <c r="G226" s="293" t="str">
        <f t="shared" si="466"/>
        <v>18:00 001/p1</v>
      </c>
      <c r="H226" s="293" t="str">
        <f t="shared" ref="H226:I226" si="467">TEXT(IF($B226=0," ",$B226+H$6),"hh:mm am/pm")</f>
        <v>01:00 001/p1</v>
      </c>
      <c r="I226" s="293" t="str">
        <f t="shared" si="467"/>
        <v>06:00 001/p1</v>
      </c>
      <c r="J226" s="433" t="str">
        <f>L184</f>
        <v>#AS OmaX Night</v>
      </c>
      <c r="K226" s="385"/>
      <c r="L226" s="386" t="s">
        <v>289</v>
      </c>
      <c r="M226" s="408" t="s">
        <v>196</v>
      </c>
      <c r="N226" s="409" t="s">
        <v>100</v>
      </c>
      <c r="O226" s="410" t="s">
        <v>74</v>
      </c>
      <c r="P226" s="411" t="s">
        <v>101</v>
      </c>
      <c r="Q226" s="412">
        <f>40*4</f>
        <v>160</v>
      </c>
      <c r="R226" s="414" t="s">
        <v>60</v>
      </c>
      <c r="S226" s="413"/>
      <c r="T226" s="414">
        <v>0.1</v>
      </c>
      <c r="U226" s="409" t="s">
        <v>62</v>
      </c>
      <c r="V226" s="409">
        <v>2.4</v>
      </c>
      <c r="W226" s="409">
        <v>2.4</v>
      </c>
      <c r="X226" s="415"/>
      <c r="Y226" s="416" t="s">
        <v>79</v>
      </c>
      <c r="Z226" s="409">
        <v>2.4</v>
      </c>
      <c r="AA226" s="417">
        <v>20000</v>
      </c>
      <c r="AB226" s="417" t="s">
        <v>65</v>
      </c>
      <c r="AC226" s="414">
        <v>0.05</v>
      </c>
      <c r="AD226" s="414">
        <v>0</v>
      </c>
      <c r="AE226" s="418" t="s">
        <v>88</v>
      </c>
      <c r="AF226" s="419">
        <v>10000</v>
      </c>
      <c r="AG226" s="420">
        <v>4</v>
      </c>
      <c r="AH226" s="420">
        <v>4</v>
      </c>
      <c r="AI226" s="420">
        <v>4</v>
      </c>
      <c r="AJ226" s="418">
        <v>9</v>
      </c>
      <c r="AK226" s="421" t="s">
        <v>67</v>
      </c>
      <c r="AL226" s="428" t="s">
        <v>68</v>
      </c>
      <c r="AM226" s="422" t="s">
        <v>197</v>
      </c>
      <c r="AN226" s="403" t="s">
        <v>198</v>
      </c>
      <c r="AO226" s="314">
        <f t="shared" si="453"/>
        <v>0.816678240740741</v>
      </c>
      <c r="AP226" s="315">
        <f t="shared" si="454"/>
        <v>71</v>
      </c>
      <c r="AQ226" s="316" t="str">
        <f t="shared" si="455"/>
        <v>MICRO</v>
      </c>
    </row>
    <row r="227" ht="29.25" customHeight="1" outlineLevel="1" spans="1:43">
      <c r="A227" s="363" t="s">
        <v>224</v>
      </c>
      <c r="B227" s="483"/>
      <c r="C227" s="293" t="str">
        <f t="shared" ref="C227:G227" si="468">TEXT(IF($B227=0," ",$B227-C$6),"hh:mm am/pm")</f>
        <v> </v>
      </c>
      <c r="D227" s="293" t="str">
        <f t="shared" si="468"/>
        <v> </v>
      </c>
      <c r="E227" s="293" t="str">
        <f t="shared" si="468"/>
        <v> </v>
      </c>
      <c r="F227" s="293" t="str">
        <f t="shared" si="468"/>
        <v> </v>
      </c>
      <c r="G227" s="293" t="str">
        <f t="shared" si="468"/>
        <v> </v>
      </c>
      <c r="H227" s="293" t="str">
        <f t="shared" ref="H227:I227" si="469">TEXT(IF($B227=0," ",$B227+H$6),"hh:mm am/pm")</f>
        <v> </v>
      </c>
      <c r="I227" s="293" t="str">
        <f t="shared" si="469"/>
        <v> </v>
      </c>
      <c r="J227" s="344"/>
      <c r="K227" s="367"/>
      <c r="L227" s="367"/>
      <c r="M227" s="368"/>
      <c r="N227" s="369"/>
      <c r="O227" s="370"/>
      <c r="P227" s="370"/>
      <c r="Q227" s="369"/>
      <c r="R227" s="369"/>
      <c r="S227" s="369"/>
      <c r="T227" s="371"/>
      <c r="U227" s="369"/>
      <c r="V227" s="369"/>
      <c r="W227" s="369"/>
      <c r="X227" s="372"/>
      <c r="Y227" s="367"/>
      <c r="Z227" s="369"/>
      <c r="AA227" s="372"/>
      <c r="AB227" s="372"/>
      <c r="AC227" s="371"/>
      <c r="AD227" s="371"/>
      <c r="AE227" s="367"/>
      <c r="AF227" s="372"/>
      <c r="AG227" s="367"/>
      <c r="AH227" s="367"/>
      <c r="AI227" s="367"/>
      <c r="AJ227" s="367"/>
      <c r="AK227" s="373"/>
      <c r="AL227" s="373"/>
      <c r="AM227" s="373"/>
      <c r="AN227" s="373"/>
      <c r="AO227" s="314" t="str">
        <f t="shared" si="453"/>
        <v> </v>
      </c>
      <c r="AP227" s="374">
        <f t="shared" si="454"/>
        <v>0</v>
      </c>
      <c r="AQ227" s="316" t="str">
        <f t="shared" si="455"/>
        <v> </v>
      </c>
    </row>
    <row r="228" ht="29.25" customHeight="1" outlineLevel="1" spans="1:43">
      <c r="B228" s="317">
        <v>0.854178240740741</v>
      </c>
      <c r="C228" s="293" t="str">
        <f t="shared" ref="C228:G228" si="470">TEXT(IF($B228=0," ",$B228-C$6),"hh:mm am/pm")</f>
        <v>18:30 001/p1</v>
      </c>
      <c r="D228" s="293" t="str">
        <f t="shared" si="470"/>
        <v>16:30 001/p1</v>
      </c>
      <c r="E228" s="293" t="str">
        <f t="shared" si="470"/>
        <v>17:30 001/p1</v>
      </c>
      <c r="F228" s="293" t="str">
        <f t="shared" si="470"/>
        <v>18:30 001/p1</v>
      </c>
      <c r="G228" s="293" t="str">
        <f t="shared" si="470"/>
        <v>19:30 001/p1</v>
      </c>
      <c r="H228" s="293" t="str">
        <f t="shared" ref="H228:I228" si="471">TEXT(IF($B228=0," ",$B228+H$6),"hh:mm am/pm")</f>
        <v>02:30 001/p1</v>
      </c>
      <c r="I228" s="293" t="str">
        <f t="shared" si="471"/>
        <v>07:30 001/p1</v>
      </c>
      <c r="J228" s="433" t="str">
        <f>L188</f>
        <v>#AS Bounty Night</v>
      </c>
      <c r="K228" s="385"/>
      <c r="L228" s="386" t="s">
        <v>206</v>
      </c>
      <c r="M228" s="408" t="s">
        <v>196</v>
      </c>
      <c r="N228" s="409" t="s">
        <v>57</v>
      </c>
      <c r="O228" s="410" t="s">
        <v>74</v>
      </c>
      <c r="P228" s="411" t="s">
        <v>59</v>
      </c>
      <c r="Q228" s="412">
        <f>11*5</f>
        <v>55</v>
      </c>
      <c r="R228" s="414" t="s">
        <v>60</v>
      </c>
      <c r="S228" s="413"/>
      <c r="T228" s="414">
        <v>0.1</v>
      </c>
      <c r="U228" s="409" t="s">
        <v>62</v>
      </c>
      <c r="V228" s="409">
        <v>0.6</v>
      </c>
      <c r="W228" s="409">
        <v>0.6</v>
      </c>
      <c r="X228" s="415"/>
      <c r="Y228" s="416" t="s">
        <v>79</v>
      </c>
      <c r="Z228" s="409">
        <v>0.6</v>
      </c>
      <c r="AA228" s="417">
        <v>20000</v>
      </c>
      <c r="AB228" s="417" t="s">
        <v>65</v>
      </c>
      <c r="AC228" s="414">
        <v>0.05</v>
      </c>
      <c r="AD228" s="414">
        <v>0</v>
      </c>
      <c r="AE228" s="418" t="s">
        <v>88</v>
      </c>
      <c r="AF228" s="419">
        <v>10000</v>
      </c>
      <c r="AG228" s="420">
        <v>4</v>
      </c>
      <c r="AH228" s="420">
        <v>4</v>
      </c>
      <c r="AI228" s="420">
        <v>4</v>
      </c>
      <c r="AJ228" s="418">
        <v>9</v>
      </c>
      <c r="AK228" s="421" t="s">
        <v>67</v>
      </c>
      <c r="AL228" s="428" t="s">
        <v>68</v>
      </c>
      <c r="AM228" s="422" t="s">
        <v>197</v>
      </c>
      <c r="AN228" s="403" t="s">
        <v>198</v>
      </c>
      <c r="AO228" s="314">
        <f t="shared" si="453"/>
        <v>0.879178240740741</v>
      </c>
      <c r="AP228" s="315">
        <f t="shared" si="454"/>
        <v>97</v>
      </c>
      <c r="AQ228" s="316" t="str">
        <f t="shared" si="455"/>
        <v>MICRO</v>
      </c>
    </row>
    <row r="229" ht="29.25" customHeight="1" outlineLevel="1" spans="1:43">
      <c r="A229" s="363" t="s">
        <v>224</v>
      </c>
      <c r="B229" s="483"/>
      <c r="C229" s="293" t="str">
        <f t="shared" ref="C229:G229" si="472">TEXT(IF($B229=0," ",$B229-C$6),"hh:mm am/pm")</f>
        <v> </v>
      </c>
      <c r="D229" s="293" t="str">
        <f t="shared" si="472"/>
        <v> </v>
      </c>
      <c r="E229" s="293" t="str">
        <f t="shared" si="472"/>
        <v> </v>
      </c>
      <c r="F229" s="293" t="str">
        <f t="shared" si="472"/>
        <v> </v>
      </c>
      <c r="G229" s="293" t="str">
        <f t="shared" si="472"/>
        <v> </v>
      </c>
      <c r="H229" s="293" t="str">
        <f t="shared" ref="H229:I229" si="473">TEXT(IF($B229=0," ",$B229+H$6),"hh:mm am/pm")</f>
        <v> </v>
      </c>
      <c r="I229" s="293" t="str">
        <f t="shared" si="473"/>
        <v> </v>
      </c>
      <c r="J229" s="344"/>
      <c r="K229" s="367"/>
      <c r="L229" s="367"/>
      <c r="M229" s="368"/>
      <c r="N229" s="369"/>
      <c r="O229" s="370"/>
      <c r="P229" s="370"/>
      <c r="Q229" s="369"/>
      <c r="R229" s="369"/>
      <c r="S229" s="369"/>
      <c r="T229" s="371"/>
      <c r="U229" s="369"/>
      <c r="V229" s="369"/>
      <c r="W229" s="369"/>
      <c r="X229" s="372"/>
      <c r="Y229" s="367"/>
      <c r="Z229" s="369"/>
      <c r="AA229" s="372"/>
      <c r="AB229" s="372"/>
      <c r="AC229" s="371"/>
      <c r="AD229" s="371"/>
      <c r="AE229" s="367"/>
      <c r="AF229" s="372"/>
      <c r="AG229" s="367"/>
      <c r="AH229" s="367"/>
      <c r="AI229" s="367"/>
      <c r="AJ229" s="367"/>
      <c r="AK229" s="373"/>
      <c r="AL229" s="373"/>
      <c r="AM229" s="373"/>
      <c r="AN229" s="373"/>
      <c r="AO229" s="314" t="str">
        <f t="shared" si="453"/>
        <v> </v>
      </c>
      <c r="AP229" s="374">
        <f t="shared" si="454"/>
        <v>0</v>
      </c>
      <c r="AQ229" s="316" t="str">
        <f t="shared" si="455"/>
        <v> </v>
      </c>
    </row>
    <row r="230" ht="29.25" customHeight="1" outlineLevel="1" spans="1:43">
      <c r="B230" s="317">
        <v>0.895844907407407</v>
      </c>
      <c r="C230" s="293" t="str">
        <f t="shared" ref="C230:G230" si="474">TEXT(IF($B230=0," ",$B230-C$6),"hh:mm am/pm")</f>
        <v>19:30 001/p1</v>
      </c>
      <c r="D230" s="293" t="str">
        <f t="shared" si="474"/>
        <v>17:30 001/p1</v>
      </c>
      <c r="E230" s="293" t="str">
        <f t="shared" si="474"/>
        <v>18:30 001/p1</v>
      </c>
      <c r="F230" s="293" t="str">
        <f t="shared" si="474"/>
        <v>19:30 001/p1</v>
      </c>
      <c r="G230" s="293" t="str">
        <f t="shared" si="474"/>
        <v>20:30 001/p1</v>
      </c>
      <c r="H230" s="293" t="str">
        <f t="shared" ref="H230:I230" si="475">TEXT(IF($B230=0," ",$B230+H$6),"hh:mm am/pm")</f>
        <v>03:30 001/p1</v>
      </c>
      <c r="I230" s="293" t="str">
        <f t="shared" si="475"/>
        <v>08:30 001/p1</v>
      </c>
      <c r="J230" s="405" t="str">
        <f>L191</f>
        <v>#AS Sonic+SPS</v>
      </c>
      <c r="K230" s="406"/>
      <c r="L230" s="407" t="s">
        <v>290</v>
      </c>
      <c r="M230" s="408" t="s">
        <v>196</v>
      </c>
      <c r="N230" s="409" t="s">
        <v>57</v>
      </c>
      <c r="O230" s="410" t="s">
        <v>74</v>
      </c>
      <c r="P230" s="411" t="s">
        <v>59</v>
      </c>
      <c r="Q230" s="412">
        <f>30*2</f>
        <v>60</v>
      </c>
      <c r="R230" s="414" t="s">
        <v>60</v>
      </c>
      <c r="S230" s="413"/>
      <c r="T230" s="414">
        <v>0.1</v>
      </c>
      <c r="U230" s="409" t="s">
        <v>62</v>
      </c>
      <c r="V230" s="409">
        <v>1.6</v>
      </c>
      <c r="W230" s="409">
        <v>1.6</v>
      </c>
      <c r="X230" s="415"/>
      <c r="Y230" s="416" t="s">
        <v>79</v>
      </c>
      <c r="Z230" s="409">
        <v>1.6</v>
      </c>
      <c r="AA230" s="417">
        <v>20000</v>
      </c>
      <c r="AB230" s="417" t="s">
        <v>65</v>
      </c>
      <c r="AC230" s="414">
        <v>0.05</v>
      </c>
      <c r="AD230" s="414">
        <v>0</v>
      </c>
      <c r="AE230" s="418" t="s">
        <v>88</v>
      </c>
      <c r="AF230" s="419">
        <v>10000</v>
      </c>
      <c r="AG230" s="420">
        <v>4</v>
      </c>
      <c r="AH230" s="420">
        <v>4</v>
      </c>
      <c r="AI230" s="420">
        <v>4</v>
      </c>
      <c r="AJ230" s="418">
        <v>9</v>
      </c>
      <c r="AK230" s="421" t="s">
        <v>67</v>
      </c>
      <c r="AL230" s="428" t="s">
        <v>68</v>
      </c>
      <c r="AM230" s="422" t="s">
        <v>197</v>
      </c>
      <c r="AN230" s="403" t="s">
        <v>198</v>
      </c>
      <c r="AO230" s="314">
        <f t="shared" si="453"/>
        <v>0.920844907407407</v>
      </c>
      <c r="AP230" s="315">
        <f t="shared" si="454"/>
        <v>40</v>
      </c>
      <c r="AQ230" s="316" t="str">
        <f t="shared" si="455"/>
        <v>MICRO</v>
      </c>
    </row>
    <row r="231" ht="29.25" customHeight="1" outlineLevel="1" spans="1:43">
      <c r="B231" s="486"/>
      <c r="C231" s="293" t="str">
        <f t="shared" ref="C231:G231" si="476">TEXT(IF($B231=0," ",$B231-C$6),"hh:mm am/pm")</f>
        <v> </v>
      </c>
      <c r="D231" s="293" t="str">
        <f t="shared" si="476"/>
        <v> </v>
      </c>
      <c r="E231" s="293" t="str">
        <f t="shared" si="476"/>
        <v> </v>
      </c>
      <c r="F231" s="293" t="str">
        <f t="shared" si="476"/>
        <v> </v>
      </c>
      <c r="G231" s="293" t="str">
        <f t="shared" si="476"/>
        <v> </v>
      </c>
      <c r="H231" s="293" t="str">
        <f t="shared" ref="H231:I231" si="477">TEXT(IF($B231=0," ",$B231+H$6),"hh:mm am/pm")</f>
        <v> </v>
      </c>
      <c r="I231" s="293" t="str">
        <f t="shared" si="477"/>
        <v> </v>
      </c>
      <c r="J231" s="344"/>
      <c r="K231" s="367"/>
      <c r="L231" s="367"/>
      <c r="M231" s="435"/>
      <c r="N231" s="436"/>
      <c r="O231" s="437"/>
      <c r="P231" s="437"/>
      <c r="Q231" s="436"/>
      <c r="R231" s="436"/>
      <c r="S231" s="436"/>
      <c r="T231" s="438"/>
      <c r="U231" s="436"/>
      <c r="V231" s="436"/>
      <c r="W231" s="436"/>
      <c r="X231" s="436"/>
      <c r="Y231" s="366"/>
      <c r="Z231" s="439"/>
      <c r="AA231" s="439"/>
      <c r="AB231" s="439"/>
      <c r="AC231" s="438"/>
      <c r="AD231" s="438"/>
      <c r="AE231" s="366"/>
      <c r="AF231" s="439"/>
      <c r="AG231" s="366"/>
      <c r="AH231" s="366"/>
      <c r="AI231" s="366"/>
      <c r="AJ231" s="366"/>
      <c r="AK231" s="440"/>
      <c r="AL231" s="440"/>
      <c r="AM231" s="440"/>
      <c r="AN231" s="440"/>
      <c r="AO231" s="314" t="str">
        <f t="shared" si="453"/>
        <v> </v>
      </c>
      <c r="AP231" s="374">
        <f t="shared" si="454"/>
        <v>0</v>
      </c>
      <c r="AQ231" s="316" t="str">
        <f t="shared" si="455"/>
        <v> </v>
      </c>
    </row>
    <row r="232" ht="29.25" customHeight="1" outlineLevel="1" spans="1:43">
      <c r="A232" s="363" t="s">
        <v>224</v>
      </c>
      <c r="B232" s="292">
        <v>0.458344907407407</v>
      </c>
      <c r="C232" s="293" t="str">
        <f t="shared" ref="C232:G232" si="478">TEXT(IF($B232=0," ",$B232-C$6),"hh:mm am/pm")</f>
        <v>09:00 001/p1</v>
      </c>
      <c r="D232" s="293" t="str">
        <f t="shared" si="478"/>
        <v>07:00 001/p1</v>
      </c>
      <c r="E232" s="293" t="str">
        <f t="shared" si="478"/>
        <v>08:00 001/p1</v>
      </c>
      <c r="F232" s="293" t="str">
        <f t="shared" si="478"/>
        <v>09:00 001/p1</v>
      </c>
      <c r="G232" s="293" t="str">
        <f t="shared" si="478"/>
        <v>10:00 001/p1</v>
      </c>
      <c r="H232" s="293" t="str">
        <f t="shared" ref="H232:I232" si="479">TEXT(IF($B232=0," ",$B232+H$6),"hh:mm am/pm")</f>
        <v>17:00 001/p1</v>
      </c>
      <c r="I232" s="293" t="str">
        <f t="shared" si="479"/>
        <v>22:00 001/p1</v>
      </c>
      <c r="J232" s="423" t="s">
        <v>219</v>
      </c>
      <c r="K232" s="424"/>
      <c r="L232" s="425" t="s">
        <v>223</v>
      </c>
      <c r="M232" s="387" t="s">
        <v>196</v>
      </c>
      <c r="N232" s="442" t="s">
        <v>57</v>
      </c>
      <c r="O232" s="443" t="s">
        <v>74</v>
      </c>
      <c r="P232" s="444" t="s">
        <v>59</v>
      </c>
      <c r="Q232" s="445">
        <f t="shared" ref="Q232:Q235" si="480">50*5</f>
        <v>250</v>
      </c>
      <c r="R232" s="446" t="s">
        <v>60</v>
      </c>
      <c r="S232" s="447"/>
      <c r="T232" s="446">
        <v>0.1</v>
      </c>
      <c r="U232" s="442" t="s">
        <v>62</v>
      </c>
      <c r="V232" s="442">
        <v>3</v>
      </c>
      <c r="W232" s="442">
        <v>3</v>
      </c>
      <c r="X232" s="448">
        <v>25000</v>
      </c>
      <c r="Y232" s="449" t="s">
        <v>79</v>
      </c>
      <c r="Z232" s="442">
        <v>4</v>
      </c>
      <c r="AA232" s="450">
        <v>60000</v>
      </c>
      <c r="AB232" s="450" t="s">
        <v>65</v>
      </c>
      <c r="AC232" s="446">
        <v>0.05</v>
      </c>
      <c r="AD232" s="446">
        <v>0</v>
      </c>
      <c r="AE232" s="451" t="s">
        <v>66</v>
      </c>
      <c r="AF232" s="448">
        <v>20000</v>
      </c>
      <c r="AG232" s="452">
        <v>7</v>
      </c>
      <c r="AH232" s="452">
        <v>6</v>
      </c>
      <c r="AI232" s="452">
        <v>6</v>
      </c>
      <c r="AJ232" s="451">
        <v>13</v>
      </c>
      <c r="AK232" s="453" t="s">
        <v>67</v>
      </c>
      <c r="AL232" s="454" t="s">
        <v>68</v>
      </c>
      <c r="AM232" s="455" t="s">
        <v>197</v>
      </c>
      <c r="AN232" s="455" t="s">
        <v>170</v>
      </c>
      <c r="AO232" s="314">
        <f t="shared" si="453"/>
        <v>0.525011574074074</v>
      </c>
      <c r="AP232" s="315">
        <f t="shared" si="454"/>
        <v>88</v>
      </c>
      <c r="AQ232" s="316" t="str">
        <f t="shared" si="455"/>
        <v>MICRO</v>
      </c>
    </row>
    <row r="233" ht="29.25" customHeight="1" outlineLevel="1" spans="1:43">
      <c r="B233" s="292">
        <v>0.541678240740741</v>
      </c>
      <c r="C233" s="293" t="str">
        <f t="shared" ref="C233:G233" si="481">TEXT(IF($B233=0," ",$B233-C$6),"hh:mm am/pm")</f>
        <v>11:00 001/p1</v>
      </c>
      <c r="D233" s="293" t="str">
        <f t="shared" si="481"/>
        <v>09:00 001/p1</v>
      </c>
      <c r="E233" s="293" t="str">
        <f t="shared" si="481"/>
        <v>10:00 001/p1</v>
      </c>
      <c r="F233" s="293" t="str">
        <f t="shared" si="481"/>
        <v>11:00 001/p1</v>
      </c>
      <c r="G233" s="293" t="str">
        <f t="shared" si="481"/>
        <v>12:00 001/p1</v>
      </c>
      <c r="H233" s="293" t="str">
        <f t="shared" ref="H233:I233" si="482">TEXT(IF($B233=0," ",$B233+H$6),"hh:mm am/pm")</f>
        <v>19:00 001/p1</v>
      </c>
      <c r="I233" s="293" t="str">
        <f t="shared" si="482"/>
        <v>00:00 001/p1</v>
      </c>
      <c r="J233" s="29"/>
      <c r="K233" s="431"/>
      <c r="L233" s="432" t="s">
        <v>223</v>
      </c>
      <c r="M233" s="387" t="s">
        <v>196</v>
      </c>
      <c r="N233" s="442" t="s">
        <v>57</v>
      </c>
      <c r="O233" s="443" t="s">
        <v>74</v>
      </c>
      <c r="P233" s="444" t="s">
        <v>59</v>
      </c>
      <c r="Q233" s="445">
        <f t="shared" si="480"/>
        <v>250</v>
      </c>
      <c r="R233" s="446" t="s">
        <v>60</v>
      </c>
      <c r="S233" s="447"/>
      <c r="T233" s="446">
        <v>0.1</v>
      </c>
      <c r="U233" s="442" t="s">
        <v>62</v>
      </c>
      <c r="V233" s="442">
        <v>3</v>
      </c>
      <c r="W233" s="442">
        <v>3</v>
      </c>
      <c r="X233" s="448">
        <v>25000</v>
      </c>
      <c r="Y233" s="449" t="s">
        <v>79</v>
      </c>
      <c r="Z233" s="442">
        <v>4</v>
      </c>
      <c r="AA233" s="450">
        <v>40000</v>
      </c>
      <c r="AB233" s="450" t="s">
        <v>65</v>
      </c>
      <c r="AC233" s="446">
        <v>0.05</v>
      </c>
      <c r="AD233" s="446">
        <v>0</v>
      </c>
      <c r="AE233" s="451" t="s">
        <v>66</v>
      </c>
      <c r="AF233" s="448">
        <v>20000</v>
      </c>
      <c r="AG233" s="452">
        <v>6</v>
      </c>
      <c r="AH233" s="452">
        <v>5</v>
      </c>
      <c r="AI233" s="452">
        <v>5</v>
      </c>
      <c r="AJ233" s="451">
        <v>11</v>
      </c>
      <c r="AK233" s="453" t="s">
        <v>67</v>
      </c>
      <c r="AL233" s="454" t="s">
        <v>68</v>
      </c>
      <c r="AM233" s="455" t="s">
        <v>197</v>
      </c>
      <c r="AN233" s="455" t="s">
        <v>170</v>
      </c>
      <c r="AO233" s="314">
        <f t="shared" si="453"/>
        <v>0.590983796296296</v>
      </c>
      <c r="AP233" s="315">
        <f t="shared" si="454"/>
        <v>88</v>
      </c>
      <c r="AQ233" s="316" t="str">
        <f t="shared" si="455"/>
        <v>MICRO</v>
      </c>
    </row>
    <row r="234" ht="29.25" customHeight="1" outlineLevel="1" spans="1:43">
      <c r="B234" s="292">
        <v>0.604178240740741</v>
      </c>
      <c r="C234" s="293" t="str">
        <f t="shared" ref="C234:G234" si="483">TEXT(IF($B234=0," ",$B234-C$6),"hh:mm am/pm")</f>
        <v>12:30 001/p1</v>
      </c>
      <c r="D234" s="293" t="str">
        <f t="shared" si="483"/>
        <v>10:30 001/p1</v>
      </c>
      <c r="E234" s="293" t="str">
        <f t="shared" si="483"/>
        <v>11:30 001/p1</v>
      </c>
      <c r="F234" s="293" t="str">
        <f t="shared" si="483"/>
        <v>12:30 001/p1</v>
      </c>
      <c r="G234" s="293" t="str">
        <f t="shared" si="483"/>
        <v>13:30 001/p1</v>
      </c>
      <c r="H234" s="293" t="str">
        <f t="shared" ref="H234:I234" si="484">TEXT(IF($B234=0," ",$B234+H$6),"hh:mm am/pm")</f>
        <v>20:30 001/p1</v>
      </c>
      <c r="I234" s="293" t="str">
        <f t="shared" si="484"/>
        <v>01:30 001/p1</v>
      </c>
      <c r="J234" s="29"/>
      <c r="K234" s="431"/>
      <c r="L234" s="432" t="s">
        <v>223</v>
      </c>
      <c r="M234" s="387" t="s">
        <v>196</v>
      </c>
      <c r="N234" s="442" t="s">
        <v>57</v>
      </c>
      <c r="O234" s="443" t="s">
        <v>74</v>
      </c>
      <c r="P234" s="444" t="s">
        <v>59</v>
      </c>
      <c r="Q234" s="445">
        <f t="shared" si="480"/>
        <v>250</v>
      </c>
      <c r="R234" s="446" t="s">
        <v>60</v>
      </c>
      <c r="S234" s="447"/>
      <c r="T234" s="446">
        <v>0.1</v>
      </c>
      <c r="U234" s="442" t="s">
        <v>62</v>
      </c>
      <c r="V234" s="442">
        <v>3</v>
      </c>
      <c r="W234" s="442">
        <v>3</v>
      </c>
      <c r="X234" s="448">
        <v>25000</v>
      </c>
      <c r="Y234" s="449" t="s">
        <v>79</v>
      </c>
      <c r="Z234" s="442">
        <v>4</v>
      </c>
      <c r="AA234" s="450">
        <v>40000</v>
      </c>
      <c r="AB234" s="450" t="s">
        <v>65</v>
      </c>
      <c r="AC234" s="446">
        <v>0.05</v>
      </c>
      <c r="AD234" s="446">
        <v>0</v>
      </c>
      <c r="AE234" s="451" t="s">
        <v>66</v>
      </c>
      <c r="AF234" s="448">
        <v>20000</v>
      </c>
      <c r="AG234" s="452">
        <v>6</v>
      </c>
      <c r="AH234" s="452">
        <v>5</v>
      </c>
      <c r="AI234" s="452">
        <v>5</v>
      </c>
      <c r="AJ234" s="451">
        <v>11</v>
      </c>
      <c r="AK234" s="453" t="s">
        <v>67</v>
      </c>
      <c r="AL234" s="454" t="s">
        <v>68</v>
      </c>
      <c r="AM234" s="455" t="s">
        <v>197</v>
      </c>
      <c r="AN234" s="455" t="s">
        <v>170</v>
      </c>
      <c r="AO234" s="314">
        <f t="shared" si="453"/>
        <v>0.653483796296296</v>
      </c>
      <c r="AP234" s="315">
        <f t="shared" si="454"/>
        <v>88</v>
      </c>
      <c r="AQ234" s="316" t="str">
        <f t="shared" si="455"/>
        <v>MICRO</v>
      </c>
    </row>
    <row r="235" ht="29.25" customHeight="1" outlineLevel="1" spans="1:43">
      <c r="A235" s="363" t="s">
        <v>224</v>
      </c>
      <c r="B235" s="292">
        <v>0.666678240740741</v>
      </c>
      <c r="C235" s="293" t="str">
        <f t="shared" ref="C235:G235" si="485">TEXT(IF($B235=0," ",$B235-C$6),"hh:mm am/pm")</f>
        <v>14:00 001/p1</v>
      </c>
      <c r="D235" s="293" t="str">
        <f t="shared" si="485"/>
        <v>12:00 001/p1</v>
      </c>
      <c r="E235" s="293" t="str">
        <f t="shared" si="485"/>
        <v>13:00 001/p1</v>
      </c>
      <c r="F235" s="293" t="str">
        <f t="shared" si="485"/>
        <v>14:00 001/p1</v>
      </c>
      <c r="G235" s="293" t="str">
        <f t="shared" si="485"/>
        <v>15:00 001/p1</v>
      </c>
      <c r="H235" s="293" t="str">
        <f t="shared" ref="H235:I235" si="486">TEXT(IF($B235=0," ",$B235+H$6),"hh:mm am/pm")</f>
        <v>22:00 001/p1</v>
      </c>
      <c r="I235" s="293" t="str">
        <f t="shared" si="486"/>
        <v>03:00 001/p1</v>
      </c>
      <c r="J235" s="29"/>
      <c r="K235" s="431"/>
      <c r="L235" s="432" t="s">
        <v>223</v>
      </c>
      <c r="M235" s="387" t="s">
        <v>196</v>
      </c>
      <c r="N235" s="442" t="s">
        <v>57</v>
      </c>
      <c r="O235" s="443" t="s">
        <v>74</v>
      </c>
      <c r="P235" s="444" t="s">
        <v>59</v>
      </c>
      <c r="Q235" s="445">
        <f t="shared" si="480"/>
        <v>250</v>
      </c>
      <c r="R235" s="446" t="s">
        <v>60</v>
      </c>
      <c r="S235" s="447"/>
      <c r="T235" s="446">
        <v>0.1</v>
      </c>
      <c r="U235" s="442" t="s">
        <v>62</v>
      </c>
      <c r="V235" s="442">
        <v>3</v>
      </c>
      <c r="W235" s="442">
        <v>3</v>
      </c>
      <c r="X235" s="448">
        <v>25000</v>
      </c>
      <c r="Y235" s="449" t="s">
        <v>79</v>
      </c>
      <c r="Z235" s="442">
        <v>4</v>
      </c>
      <c r="AA235" s="450">
        <v>40000</v>
      </c>
      <c r="AB235" s="450" t="s">
        <v>65</v>
      </c>
      <c r="AC235" s="446">
        <v>0.05</v>
      </c>
      <c r="AD235" s="446">
        <v>0</v>
      </c>
      <c r="AE235" s="451" t="s">
        <v>66</v>
      </c>
      <c r="AF235" s="448">
        <v>20000</v>
      </c>
      <c r="AG235" s="452">
        <v>6</v>
      </c>
      <c r="AH235" s="452">
        <v>5</v>
      </c>
      <c r="AI235" s="452">
        <v>5</v>
      </c>
      <c r="AJ235" s="451">
        <v>11</v>
      </c>
      <c r="AK235" s="453" t="s">
        <v>67</v>
      </c>
      <c r="AL235" s="454" t="s">
        <v>68</v>
      </c>
      <c r="AM235" s="455" t="s">
        <v>197</v>
      </c>
      <c r="AN235" s="455" t="s">
        <v>170</v>
      </c>
      <c r="AO235" s="314">
        <f t="shared" si="453"/>
        <v>0.715983796296296</v>
      </c>
      <c r="AP235" s="315">
        <f t="shared" si="454"/>
        <v>88</v>
      </c>
      <c r="AQ235" s="316" t="str">
        <f t="shared" si="455"/>
        <v>MICRO</v>
      </c>
    </row>
    <row r="236" ht="29.25" customHeight="1" outlineLevel="1" spans="1:43">
      <c r="B236" s="292">
        <v>0.750011574074074</v>
      </c>
      <c r="C236" s="293" t="str">
        <f t="shared" ref="C236:G236" si="487">TEXT(IF($B236=0," ",$B236-C$6),"hh:mm am/pm")</f>
        <v>16:00 001/p1</v>
      </c>
      <c r="D236" s="293" t="str">
        <f t="shared" si="487"/>
        <v>14:00 001/p1</v>
      </c>
      <c r="E236" s="293" t="str">
        <f t="shared" si="487"/>
        <v>15:00 001/p1</v>
      </c>
      <c r="F236" s="293" t="str">
        <f t="shared" si="487"/>
        <v>16:00 001/p1</v>
      </c>
      <c r="G236" s="293" t="str">
        <f t="shared" si="487"/>
        <v>17:00 001/p1</v>
      </c>
      <c r="H236" s="293" t="str">
        <f t="shared" ref="H236:I236" si="488">TEXT(IF($B236=0," ",$B236+H$6),"hh:mm am/pm")</f>
        <v>00:00 001/p1</v>
      </c>
      <c r="I236" s="293" t="str">
        <f t="shared" si="488"/>
        <v>05:00 001/p1</v>
      </c>
      <c r="J236" s="124"/>
      <c r="K236" s="406"/>
      <c r="L236" s="407" t="s">
        <v>291</v>
      </c>
      <c r="M236" s="387" t="s">
        <v>196</v>
      </c>
      <c r="N236" s="442" t="s">
        <v>57</v>
      </c>
      <c r="O236" s="443" t="s">
        <v>74</v>
      </c>
      <c r="P236" s="444" t="s">
        <v>59</v>
      </c>
      <c r="Q236" s="445">
        <f>50*10</f>
        <v>500</v>
      </c>
      <c r="R236" s="446" t="s">
        <v>60</v>
      </c>
      <c r="S236" s="447"/>
      <c r="T236" s="446">
        <v>0.1</v>
      </c>
      <c r="U236" s="442" t="s">
        <v>62</v>
      </c>
      <c r="V236" s="442">
        <v>3</v>
      </c>
      <c r="W236" s="442">
        <v>3</v>
      </c>
      <c r="X236" s="448">
        <v>25000</v>
      </c>
      <c r="Y236" s="449" t="s">
        <v>79</v>
      </c>
      <c r="Z236" s="442">
        <v>4</v>
      </c>
      <c r="AA236" s="450">
        <v>40000</v>
      </c>
      <c r="AB236" s="450" t="s">
        <v>65</v>
      </c>
      <c r="AC236" s="446">
        <v>0.05</v>
      </c>
      <c r="AD236" s="446">
        <v>0</v>
      </c>
      <c r="AE236" s="451" t="s">
        <v>66</v>
      </c>
      <c r="AF236" s="448">
        <v>20000</v>
      </c>
      <c r="AG236" s="452">
        <v>6</v>
      </c>
      <c r="AH236" s="452">
        <v>5</v>
      </c>
      <c r="AI236" s="452">
        <v>4</v>
      </c>
      <c r="AJ236" s="451">
        <v>11</v>
      </c>
      <c r="AK236" s="453" t="s">
        <v>67</v>
      </c>
      <c r="AL236" s="454" t="s">
        <v>68</v>
      </c>
      <c r="AM236" s="455" t="s">
        <v>197</v>
      </c>
      <c r="AN236" s="455" t="s">
        <v>170</v>
      </c>
      <c r="AO236" s="314">
        <f t="shared" si="453"/>
        <v>0.79931712962963</v>
      </c>
      <c r="AP236" s="315">
        <f t="shared" si="454"/>
        <v>176</v>
      </c>
      <c r="AQ236" s="316" t="str">
        <f t="shared" si="455"/>
        <v>MICRO</v>
      </c>
    </row>
    <row r="237" ht="29.25" customHeight="1" outlineLevel="1" spans="1:43">
      <c r="B237" s="486"/>
      <c r="C237" s="434"/>
      <c r="D237" s="434"/>
      <c r="E237" s="434"/>
      <c r="F237" s="434"/>
      <c r="G237" s="434"/>
      <c r="H237" s="434"/>
      <c r="I237" s="434"/>
      <c r="J237" s="485"/>
      <c r="K237" s="366"/>
      <c r="L237" s="366"/>
      <c r="M237" s="435"/>
      <c r="N237" s="436"/>
      <c r="O237" s="437"/>
      <c r="P237" s="437"/>
      <c r="Q237" s="436"/>
      <c r="R237" s="436"/>
      <c r="S237" s="436"/>
      <c r="T237" s="438"/>
      <c r="U237" s="436"/>
      <c r="V237" s="436"/>
      <c r="W237" s="436"/>
      <c r="X237" s="436"/>
      <c r="Y237" s="366"/>
      <c r="Z237" s="439"/>
      <c r="AA237" s="439"/>
      <c r="AB237" s="439"/>
      <c r="AC237" s="438"/>
      <c r="AD237" s="438"/>
      <c r="AE237" s="366"/>
      <c r="AF237" s="439"/>
      <c r="AG237" s="366"/>
      <c r="AH237" s="366"/>
      <c r="AI237" s="366"/>
      <c r="AJ237" s="366"/>
      <c r="AK237" s="440"/>
      <c r="AL237" s="440"/>
      <c r="AM237" s="440"/>
      <c r="AN237" s="440"/>
      <c r="AO237" s="383"/>
      <c r="AP237" s="374"/>
      <c r="AQ237" s="383"/>
    </row>
    <row r="238" ht="29.25" customHeight="1" outlineLevel="1" spans="1:43">
      <c r="A238" s="363" t="s">
        <v>224</v>
      </c>
      <c r="B238" s="292">
        <v>0.875011574074074</v>
      </c>
      <c r="C238" s="293" t="str">
        <f t="shared" ref="C238:G238" si="489">TEXT(IF($B238=0," ",$B238-C$6),"hh:mm am/pm")</f>
        <v>19:00 001/p1</v>
      </c>
      <c r="D238" s="293" t="str">
        <f t="shared" si="489"/>
        <v>17:00 001/p1</v>
      </c>
      <c r="E238" s="293" t="str">
        <f t="shared" si="489"/>
        <v>18:00 001/p1</v>
      </c>
      <c r="F238" s="293" t="str">
        <f t="shared" si="489"/>
        <v>19:00 001/p1</v>
      </c>
      <c r="G238" s="293" t="str">
        <f t="shared" si="489"/>
        <v>20:00 001/p1</v>
      </c>
      <c r="H238" s="293" t="str">
        <f t="shared" ref="H238:I238" si="490">TEXT(IF($B238=0," ",$B238+H$6),"hh:mm am/pm")</f>
        <v>03:00 001/p1</v>
      </c>
      <c r="I238" s="293" t="str">
        <f t="shared" si="490"/>
        <v>08:00 001/p1</v>
      </c>
      <c r="J238" s="433" t="s">
        <v>219</v>
      </c>
      <c r="K238" s="385"/>
      <c r="L238" s="386" t="s">
        <v>292</v>
      </c>
      <c r="M238" s="441" t="s">
        <v>196</v>
      </c>
      <c r="N238" s="442" t="s">
        <v>57</v>
      </c>
      <c r="O238" s="443" t="s">
        <v>74</v>
      </c>
      <c r="P238" s="444" t="s">
        <v>59</v>
      </c>
      <c r="Q238" s="445">
        <f>1700*5</f>
        <v>8500</v>
      </c>
      <c r="R238" s="446" t="s">
        <v>60</v>
      </c>
      <c r="S238" s="447"/>
      <c r="T238" s="446">
        <v>0.1</v>
      </c>
      <c r="U238" s="442" t="s">
        <v>62</v>
      </c>
      <c r="V238" s="442">
        <v>50</v>
      </c>
      <c r="W238" s="442">
        <v>50</v>
      </c>
      <c r="X238" s="448">
        <v>50000</v>
      </c>
      <c r="Y238" s="449" t="s">
        <v>79</v>
      </c>
      <c r="Z238" s="442">
        <v>50</v>
      </c>
      <c r="AA238" s="450">
        <v>120000</v>
      </c>
      <c r="AB238" s="450" t="s">
        <v>293</v>
      </c>
      <c r="AC238" s="446">
        <v>0.05</v>
      </c>
      <c r="AD238" s="446">
        <v>0</v>
      </c>
      <c r="AE238" s="451" t="s">
        <v>66</v>
      </c>
      <c r="AF238" s="448">
        <v>40000</v>
      </c>
      <c r="AG238" s="452">
        <v>8</v>
      </c>
      <c r="AH238" s="452">
        <v>7</v>
      </c>
      <c r="AI238" s="452">
        <v>7</v>
      </c>
      <c r="AJ238" s="451">
        <v>15</v>
      </c>
      <c r="AK238" s="453" t="s">
        <v>67</v>
      </c>
      <c r="AL238" s="454" t="s">
        <v>68</v>
      </c>
      <c r="AM238" s="455" t="s">
        <v>197</v>
      </c>
      <c r="AN238" s="455" t="s">
        <v>170</v>
      </c>
      <c r="AO238" s="314">
        <f>IF(B238=0," ",TIME(,ROUNDDOWN(AG238*AJ238/60,0)*5+(AG238*AJ238),)+B238)</f>
        <v>0.965289351851852</v>
      </c>
      <c r="AP238" s="315">
        <f>IF(Q238=0,,ROUNDUP(Q238/(V238*(1-AC238-AD238)),0))</f>
        <v>179</v>
      </c>
      <c r="AQ238" s="316" t="str">
        <f>IFERROR(IF(V238=0," ",IF(V238&lt;=5,"MICRO",IF(V238&lt;=19.8,"LOW",IF(V238&lt;=99.8,"MEDIUM",IF(V238&lt;=500,"HIGH",IF(V238&gt;500,"SUPER HIGH",)))))),"")</f>
        <v>MEDIUM</v>
      </c>
    </row>
    <row r="239" ht="29.25" customHeight="1" outlineLevel="1" spans="1:43">
      <c r="B239" s="486"/>
      <c r="C239" s="293" t="str">
        <f t="shared" ref="C239:G239" si="491">TEXT(IF($B239=0," ",$B239-C$6),"hh:mm am/pm")</f>
        <v> </v>
      </c>
      <c r="D239" s="293" t="str">
        <f t="shared" si="491"/>
        <v> </v>
      </c>
      <c r="E239" s="293" t="str">
        <f t="shared" si="491"/>
        <v> </v>
      </c>
      <c r="F239" s="293" t="str">
        <f t="shared" si="491"/>
        <v> </v>
      </c>
      <c r="G239" s="293" t="str">
        <f t="shared" si="491"/>
        <v> </v>
      </c>
      <c r="H239" s="293" t="str">
        <f t="shared" ref="H239:I239" si="492">TEXT(IF($B239=0," ",$B239+H$6),"hh:mm am/pm")</f>
        <v> </v>
      </c>
      <c r="I239" s="293" t="str">
        <f t="shared" si="492"/>
        <v> </v>
      </c>
      <c r="J239" s="485"/>
      <c r="K239" s="366"/>
      <c r="L239" s="366"/>
      <c r="M239" s="435"/>
      <c r="N239" s="436"/>
      <c r="O239" s="437"/>
      <c r="P239" s="437"/>
      <c r="Q239" s="436"/>
      <c r="R239" s="436"/>
      <c r="S239" s="436"/>
      <c r="T239" s="438"/>
      <c r="U239" s="436"/>
      <c r="V239" s="436"/>
      <c r="W239" s="436"/>
      <c r="X239" s="436"/>
      <c r="Y239" s="366"/>
      <c r="Z239" s="439"/>
      <c r="AA239" s="439"/>
      <c r="AB239" s="439"/>
      <c r="AC239" s="438"/>
      <c r="AD239" s="438"/>
      <c r="AE239" s="366"/>
      <c r="AF239" s="439"/>
      <c r="AG239" s="366"/>
      <c r="AH239" s="366"/>
      <c r="AI239" s="366"/>
      <c r="AJ239" s="366"/>
      <c r="AK239" s="440"/>
      <c r="AL239" s="440"/>
      <c r="AM239" s="440"/>
      <c r="AN239" s="440"/>
      <c r="AO239" s="383"/>
      <c r="AP239" s="374"/>
      <c r="AQ239" s="383"/>
    </row>
    <row r="240" ht="29.25" customHeight="1" outlineLevel="1" spans="1:43">
      <c r="B240" s="292">
        <v>0.500011574074074</v>
      </c>
      <c r="C240" s="293" t="str">
        <f t="shared" ref="C240:G240" si="493">TEXT(IF($B240=0," ",$B240-C$6),"hh:mm am/pm")</f>
        <v>10:00 001/p1</v>
      </c>
      <c r="D240" s="293" t="str">
        <f t="shared" si="493"/>
        <v>08:00 001/p1</v>
      </c>
      <c r="E240" s="293" t="str">
        <f t="shared" si="493"/>
        <v>09:00 001/p1</v>
      </c>
      <c r="F240" s="293" t="str">
        <f t="shared" si="493"/>
        <v>10:00 001/p1</v>
      </c>
      <c r="G240" s="293" t="str">
        <f t="shared" si="493"/>
        <v>11:00 001/p1</v>
      </c>
      <c r="H240" s="293" t="str">
        <f t="shared" ref="H240:I240" si="494">TEXT(IF($B240=0," ",$B240+H$6),"hh:mm am/pm")</f>
        <v>18:00 001/p1</v>
      </c>
      <c r="I240" s="293" t="str">
        <f t="shared" si="494"/>
        <v>23:00 001/p1</v>
      </c>
      <c r="J240" s="423" t="s">
        <v>215</v>
      </c>
      <c r="K240" s="424"/>
      <c r="L240" s="425" t="s">
        <v>216</v>
      </c>
      <c r="M240" s="387" t="s">
        <v>196</v>
      </c>
      <c r="N240" s="442" t="s">
        <v>57</v>
      </c>
      <c r="O240" s="443" t="s">
        <v>74</v>
      </c>
      <c r="P240" s="444" t="s">
        <v>59</v>
      </c>
      <c r="Q240" s="445">
        <f t="shared" ref="Q240:Q245" si="495">15*4</f>
        <v>60</v>
      </c>
      <c r="R240" s="446" t="s">
        <v>60</v>
      </c>
      <c r="S240" s="447"/>
      <c r="T240" s="446">
        <v>0.1</v>
      </c>
      <c r="U240" s="442" t="s">
        <v>62</v>
      </c>
      <c r="V240" s="442">
        <v>0.6</v>
      </c>
      <c r="W240" s="442">
        <v>1</v>
      </c>
      <c r="X240" s="448">
        <v>25000</v>
      </c>
      <c r="Y240" s="449" t="s">
        <v>79</v>
      </c>
      <c r="Z240" s="442">
        <v>1</v>
      </c>
      <c r="AA240" s="450">
        <v>40000</v>
      </c>
      <c r="AB240" s="450" t="s">
        <v>65</v>
      </c>
      <c r="AC240" s="446">
        <v>0.05</v>
      </c>
      <c r="AD240" s="446">
        <v>0</v>
      </c>
      <c r="AE240" s="451" t="s">
        <v>66</v>
      </c>
      <c r="AF240" s="448">
        <v>20000</v>
      </c>
      <c r="AG240" s="452">
        <v>7</v>
      </c>
      <c r="AH240" s="452">
        <v>6</v>
      </c>
      <c r="AI240" s="452">
        <v>5</v>
      </c>
      <c r="AJ240" s="451">
        <v>13</v>
      </c>
      <c r="AK240" s="453" t="s">
        <v>67</v>
      </c>
      <c r="AL240" s="454" t="s">
        <v>68</v>
      </c>
      <c r="AM240" s="455" t="s">
        <v>197</v>
      </c>
      <c r="AN240" s="455" t="s">
        <v>198</v>
      </c>
      <c r="AO240" s="314">
        <f t="shared" ref="AO240:AO241" si="496">IF(B240=0," ",TIME(,ROUNDDOWN(AG240*AJ240/60,0)*5+(AG240*AJ240),)+B240)</f>
        <v>0.566678240740741</v>
      </c>
      <c r="AP240" s="315">
        <f t="shared" ref="AP240:AP241" si="497">IF(Q240=0,,ROUNDUP(Q240/(V240*(1-AC240-AD240)),0))</f>
        <v>106</v>
      </c>
      <c r="AQ240" s="316" t="str">
        <f t="shared" ref="AQ240:AQ241" si="498">IFERROR(IF(V240=0," ",IF(V240&lt;=5,"MICRO",IF(V240&lt;=19.8,"LOW",IF(V240&lt;=99.8,"MEDIUM",IF(V240&lt;=500,"HIGH",IF(V240&gt;500,"SUPER HIGH",)))))),"")</f>
        <v>MICRO</v>
      </c>
    </row>
    <row r="241" ht="29.25" customHeight="1" outlineLevel="1" spans="1:43">
      <c r="A241" s="363" t="s">
        <v>224</v>
      </c>
      <c r="B241" s="292">
        <v>0.583344907407407</v>
      </c>
      <c r="C241" s="293" t="str">
        <f t="shared" ref="C241:G241" si="499">TEXT(IF($B241=0," ",$B241-C$6),"hh:mm am/pm")</f>
        <v>12:00 001/p1</v>
      </c>
      <c r="D241" s="293" t="str">
        <f t="shared" si="499"/>
        <v>10:00 001/p1</v>
      </c>
      <c r="E241" s="293" t="str">
        <f t="shared" si="499"/>
        <v>11:00 001/p1</v>
      </c>
      <c r="F241" s="293" t="str">
        <f t="shared" si="499"/>
        <v>12:00 001/p1</v>
      </c>
      <c r="G241" s="293" t="str">
        <f t="shared" si="499"/>
        <v>13:00 001/p1</v>
      </c>
      <c r="H241" s="293" t="str">
        <f t="shared" ref="H241:I241" si="500">TEXT(IF($B241=0," ",$B241+H$6),"hh:mm am/pm")</f>
        <v>20:00 001/p1</v>
      </c>
      <c r="I241" s="293" t="str">
        <f t="shared" si="500"/>
        <v>01:00 001/p1</v>
      </c>
      <c r="J241" s="29"/>
      <c r="K241" s="431"/>
      <c r="L241" s="432" t="s">
        <v>216</v>
      </c>
      <c r="M241" s="387" t="s">
        <v>196</v>
      </c>
      <c r="N241" s="442" t="s">
        <v>57</v>
      </c>
      <c r="O241" s="443" t="s">
        <v>74</v>
      </c>
      <c r="P241" s="444" t="s">
        <v>59</v>
      </c>
      <c r="Q241" s="445">
        <f t="shared" si="495"/>
        <v>60</v>
      </c>
      <c r="R241" s="446" t="s">
        <v>60</v>
      </c>
      <c r="S241" s="447"/>
      <c r="T241" s="446">
        <v>0.1</v>
      </c>
      <c r="U241" s="442" t="s">
        <v>62</v>
      </c>
      <c r="V241" s="442">
        <v>0.6</v>
      </c>
      <c r="W241" s="442">
        <v>1</v>
      </c>
      <c r="X241" s="448">
        <v>25000</v>
      </c>
      <c r="Y241" s="449" t="s">
        <v>79</v>
      </c>
      <c r="Z241" s="442">
        <v>1</v>
      </c>
      <c r="AA241" s="450">
        <v>40000</v>
      </c>
      <c r="AB241" s="450" t="s">
        <v>65</v>
      </c>
      <c r="AC241" s="446">
        <v>0.05</v>
      </c>
      <c r="AD241" s="446">
        <v>0</v>
      </c>
      <c r="AE241" s="451" t="s">
        <v>66</v>
      </c>
      <c r="AF241" s="448">
        <v>20000</v>
      </c>
      <c r="AG241" s="452">
        <v>7</v>
      </c>
      <c r="AH241" s="452">
        <v>6</v>
      </c>
      <c r="AI241" s="452">
        <v>5</v>
      </c>
      <c r="AJ241" s="451">
        <v>13</v>
      </c>
      <c r="AK241" s="453" t="s">
        <v>67</v>
      </c>
      <c r="AL241" s="454" t="s">
        <v>68</v>
      </c>
      <c r="AM241" s="455" t="s">
        <v>197</v>
      </c>
      <c r="AN241" s="455" t="s">
        <v>198</v>
      </c>
      <c r="AO241" s="314">
        <f t="shared" si="496"/>
        <v>0.650011574074074</v>
      </c>
      <c r="AP241" s="315">
        <f t="shared" si="497"/>
        <v>106</v>
      </c>
      <c r="AQ241" s="316" t="str">
        <f t="shared" si="498"/>
        <v>MICRO</v>
      </c>
    </row>
    <row r="242" ht="29.25" customHeight="1" outlineLevel="1" spans="1:43">
      <c r="B242" s="292">
        <v>0.666678240740741</v>
      </c>
      <c r="C242" s="293" t="str">
        <f t="shared" ref="C242:G242" si="501">TEXT(IF($B242=0," ",$B242-C$6),"hh:mm am/pm")</f>
        <v>14:00 001/p1</v>
      </c>
      <c r="D242" s="293" t="str">
        <f t="shared" si="501"/>
        <v>12:00 001/p1</v>
      </c>
      <c r="E242" s="293" t="str">
        <f t="shared" si="501"/>
        <v>13:00 001/p1</v>
      </c>
      <c r="F242" s="293" t="str">
        <f t="shared" si="501"/>
        <v>14:00 001/p1</v>
      </c>
      <c r="G242" s="293" t="str">
        <f t="shared" si="501"/>
        <v>15:00 001/p1</v>
      </c>
      <c r="H242" s="293" t="str">
        <f t="shared" ref="H242:I242" si="502">TEXT(IF($B242=0," ",$B242+H$6),"hh:mm am/pm")</f>
        <v>22:00 001/p1</v>
      </c>
      <c r="I242" s="293" t="str">
        <f t="shared" si="502"/>
        <v>03:00 001/p1</v>
      </c>
      <c r="J242" s="29"/>
      <c r="K242" s="431"/>
      <c r="L242" s="432" t="s">
        <v>216</v>
      </c>
      <c r="M242" s="387" t="s">
        <v>196</v>
      </c>
      <c r="N242" s="442" t="s">
        <v>57</v>
      </c>
      <c r="O242" s="443" t="s">
        <v>74</v>
      </c>
      <c r="P242" s="444" t="s">
        <v>59</v>
      </c>
      <c r="Q242" s="445">
        <f t="shared" si="495"/>
        <v>60</v>
      </c>
      <c r="R242" s="446" t="s">
        <v>60</v>
      </c>
      <c r="S242" s="447"/>
      <c r="T242" s="446">
        <v>0.1</v>
      </c>
      <c r="U242" s="442" t="s">
        <v>62</v>
      </c>
      <c r="V242" s="442">
        <v>0.6</v>
      </c>
      <c r="W242" s="442">
        <v>1</v>
      </c>
      <c r="X242" s="448">
        <v>25000</v>
      </c>
      <c r="Y242" s="449" t="s">
        <v>79</v>
      </c>
      <c r="Z242" s="442">
        <v>1</v>
      </c>
      <c r="AA242" s="450">
        <v>40000</v>
      </c>
      <c r="AB242" s="450" t="s">
        <v>65</v>
      </c>
      <c r="AC242" s="446">
        <v>0.05</v>
      </c>
      <c r="AD242" s="446">
        <v>0</v>
      </c>
      <c r="AE242" s="451" t="s">
        <v>66</v>
      </c>
      <c r="AF242" s="448">
        <v>20000</v>
      </c>
      <c r="AG242" s="452">
        <v>7</v>
      </c>
      <c r="AH242" s="452">
        <v>6</v>
      </c>
      <c r="AI242" s="452">
        <v>5</v>
      </c>
      <c r="AJ242" s="451">
        <v>13</v>
      </c>
      <c r="AK242" s="453" t="s">
        <v>67</v>
      </c>
      <c r="AL242" s="454" t="s">
        <v>68</v>
      </c>
      <c r="AM242" s="455" t="s">
        <v>197</v>
      </c>
      <c r="AN242" s="455" t="s">
        <v>198</v>
      </c>
      <c r="AO242" s="314"/>
      <c r="AP242" s="315"/>
      <c r="AQ242" s="316"/>
    </row>
    <row r="243" ht="29.25" customHeight="1" outlineLevel="1" spans="1:43">
      <c r="B243" s="292">
        <v>0.750011574074074</v>
      </c>
      <c r="C243" s="293" t="str">
        <f t="shared" ref="C243:G243" si="503">TEXT(IF($B243=0," ",$B243-C$6),"hh:mm am/pm")</f>
        <v>16:00 001/p1</v>
      </c>
      <c r="D243" s="293" t="str">
        <f t="shared" si="503"/>
        <v>14:00 001/p1</v>
      </c>
      <c r="E243" s="293" t="str">
        <f t="shared" si="503"/>
        <v>15:00 001/p1</v>
      </c>
      <c r="F243" s="293" t="str">
        <f t="shared" si="503"/>
        <v>16:00 001/p1</v>
      </c>
      <c r="G243" s="293" t="str">
        <f t="shared" si="503"/>
        <v>17:00 001/p1</v>
      </c>
      <c r="H243" s="293" t="str">
        <f t="shared" ref="H243:I243" si="504">TEXT(IF($B243=0," ",$B243+H$6),"hh:mm am/pm")</f>
        <v>00:00 001/p1</v>
      </c>
      <c r="I243" s="293" t="str">
        <f t="shared" si="504"/>
        <v>05:00 001/p1</v>
      </c>
      <c r="J243" s="29"/>
      <c r="K243" s="431"/>
      <c r="L243" s="432" t="s">
        <v>216</v>
      </c>
      <c r="M243" s="387" t="s">
        <v>196</v>
      </c>
      <c r="N243" s="442" t="s">
        <v>57</v>
      </c>
      <c r="O243" s="443" t="s">
        <v>74</v>
      </c>
      <c r="P243" s="444" t="s">
        <v>59</v>
      </c>
      <c r="Q243" s="445">
        <f t="shared" si="495"/>
        <v>60</v>
      </c>
      <c r="R243" s="446" t="s">
        <v>60</v>
      </c>
      <c r="S243" s="447"/>
      <c r="T243" s="446">
        <v>0.1</v>
      </c>
      <c r="U243" s="442" t="s">
        <v>62</v>
      </c>
      <c r="V243" s="442">
        <v>0.6</v>
      </c>
      <c r="W243" s="442">
        <v>1</v>
      </c>
      <c r="X243" s="448">
        <v>25000</v>
      </c>
      <c r="Y243" s="449" t="s">
        <v>79</v>
      </c>
      <c r="Z243" s="442">
        <v>1</v>
      </c>
      <c r="AA243" s="450">
        <v>40000</v>
      </c>
      <c r="AB243" s="450" t="s">
        <v>65</v>
      </c>
      <c r="AC243" s="446">
        <v>0.05</v>
      </c>
      <c r="AD243" s="446">
        <v>0</v>
      </c>
      <c r="AE243" s="451" t="s">
        <v>66</v>
      </c>
      <c r="AF243" s="448">
        <v>20000</v>
      </c>
      <c r="AG243" s="452">
        <v>7</v>
      </c>
      <c r="AH243" s="452">
        <v>6</v>
      </c>
      <c r="AI243" s="452">
        <v>5</v>
      </c>
      <c r="AJ243" s="451">
        <v>13</v>
      </c>
      <c r="AK243" s="453" t="s">
        <v>67</v>
      </c>
      <c r="AL243" s="454" t="s">
        <v>68</v>
      </c>
      <c r="AM243" s="455" t="s">
        <v>197</v>
      </c>
      <c r="AN243" s="455" t="s">
        <v>198</v>
      </c>
      <c r="AO243" s="314">
        <f t="shared" ref="AO243:AO245" si="505">IF(B243=0," ",TIME(,ROUNDDOWN(AG243*AJ243/60,0)*5+(AG243*AJ243),)+B243)</f>
        <v>0.816678240740741</v>
      </c>
      <c r="AP243" s="315">
        <f t="shared" ref="AP243:AP245" si="506">IF(Q243=0,,ROUNDUP(Q243/(V243*(1-AC243-AD243)),0))</f>
        <v>106</v>
      </c>
      <c r="AQ243" s="316" t="str">
        <f t="shared" ref="AQ243:AQ245" si="507">IFERROR(IF(V243=0," ",IF(V243&lt;=5,"MICRO",IF(V243&lt;=19.8,"LOW",IF(V243&lt;=99.8,"MEDIUM",IF(V243&lt;=500,"HIGH",IF(V243&gt;500,"SUPER HIGH",)))))),"")</f>
        <v>MICRO</v>
      </c>
    </row>
    <row r="244" ht="29.25" customHeight="1" outlineLevel="1" spans="1:43">
      <c r="B244" s="292">
        <v>0.833344907407407</v>
      </c>
      <c r="C244" s="293" t="str">
        <f t="shared" ref="C244:G244" si="508">TEXT(IF($B244=0," ",$B244-C$6),"hh:mm am/pm")</f>
        <v>18:00 001/p1</v>
      </c>
      <c r="D244" s="293" t="str">
        <f t="shared" si="508"/>
        <v>16:00 001/p1</v>
      </c>
      <c r="E244" s="293" t="str">
        <f t="shared" si="508"/>
        <v>17:00 001/p1</v>
      </c>
      <c r="F244" s="293" t="str">
        <f t="shared" si="508"/>
        <v>18:00 001/p1</v>
      </c>
      <c r="G244" s="293" t="str">
        <f t="shared" si="508"/>
        <v>19:00 001/p1</v>
      </c>
      <c r="H244" s="293" t="str">
        <f t="shared" ref="H244:I244" si="509">TEXT(IF($B244=0," ",$B244+H$6),"hh:mm am/pm")</f>
        <v>02:00 001/p1</v>
      </c>
      <c r="I244" s="293" t="str">
        <f t="shared" si="509"/>
        <v>07:00 001/p1</v>
      </c>
      <c r="J244" s="29"/>
      <c r="K244" s="431"/>
      <c r="L244" s="432" t="s">
        <v>216</v>
      </c>
      <c r="M244" s="387" t="s">
        <v>196</v>
      </c>
      <c r="N244" s="442" t="s">
        <v>57</v>
      </c>
      <c r="O244" s="443" t="s">
        <v>74</v>
      </c>
      <c r="P244" s="444" t="s">
        <v>59</v>
      </c>
      <c r="Q244" s="445">
        <f t="shared" si="495"/>
        <v>60</v>
      </c>
      <c r="R244" s="446" t="s">
        <v>60</v>
      </c>
      <c r="S244" s="447"/>
      <c r="T244" s="446">
        <v>0.1</v>
      </c>
      <c r="U244" s="442" t="s">
        <v>62</v>
      </c>
      <c r="V244" s="442">
        <v>0.6</v>
      </c>
      <c r="W244" s="442">
        <v>1</v>
      </c>
      <c r="X244" s="448">
        <v>25000</v>
      </c>
      <c r="Y244" s="449" t="s">
        <v>79</v>
      </c>
      <c r="Z244" s="442">
        <v>1</v>
      </c>
      <c r="AA244" s="450">
        <v>40000</v>
      </c>
      <c r="AB244" s="450" t="s">
        <v>65</v>
      </c>
      <c r="AC244" s="446">
        <v>0.05</v>
      </c>
      <c r="AD244" s="446">
        <v>0</v>
      </c>
      <c r="AE244" s="451" t="s">
        <v>66</v>
      </c>
      <c r="AF244" s="448">
        <v>20000</v>
      </c>
      <c r="AG244" s="452">
        <v>7</v>
      </c>
      <c r="AH244" s="452">
        <v>6</v>
      </c>
      <c r="AI244" s="452">
        <v>5</v>
      </c>
      <c r="AJ244" s="451">
        <v>13</v>
      </c>
      <c r="AK244" s="453" t="s">
        <v>67</v>
      </c>
      <c r="AL244" s="454" t="s">
        <v>68</v>
      </c>
      <c r="AM244" s="455" t="s">
        <v>197</v>
      </c>
      <c r="AN244" s="455" t="s">
        <v>198</v>
      </c>
      <c r="AO244" s="314">
        <f t="shared" si="505"/>
        <v>0.900011574074074</v>
      </c>
      <c r="AP244" s="315">
        <f t="shared" si="506"/>
        <v>106</v>
      </c>
      <c r="AQ244" s="316" t="str">
        <f t="shared" si="507"/>
        <v>MICRO</v>
      </c>
    </row>
    <row r="245" ht="29.25" customHeight="1" outlineLevel="1" spans="1:43">
      <c r="A245" s="363"/>
      <c r="B245" s="292">
        <v>0.916678240740741</v>
      </c>
      <c r="C245" s="293" t="str">
        <f t="shared" ref="C245:G245" si="510">TEXT(IF($B245=0," ",$B245-C$6),"hh:mm am/pm")</f>
        <v>20:00 001/p1</v>
      </c>
      <c r="D245" s="293" t="str">
        <f t="shared" si="510"/>
        <v>18:00 001/p1</v>
      </c>
      <c r="E245" s="293" t="str">
        <f t="shared" si="510"/>
        <v>19:00 001/p1</v>
      </c>
      <c r="F245" s="293" t="str">
        <f t="shared" si="510"/>
        <v>20:00 001/p1</v>
      </c>
      <c r="G245" s="293" t="str">
        <f t="shared" si="510"/>
        <v>21:00 001/p1</v>
      </c>
      <c r="H245" s="293" t="str">
        <f t="shared" ref="H245:I245" si="511">TEXT(IF($B245=0," ",$B245+H$6),"hh:mm am/pm")</f>
        <v>04:00 001/p1</v>
      </c>
      <c r="I245" s="293" t="str">
        <f t="shared" si="511"/>
        <v>09:00 001/p1</v>
      </c>
      <c r="J245" s="124"/>
      <c r="K245" s="406"/>
      <c r="L245" s="407" t="s">
        <v>216</v>
      </c>
      <c r="M245" s="387" t="s">
        <v>196</v>
      </c>
      <c r="N245" s="442" t="s">
        <v>57</v>
      </c>
      <c r="O245" s="443" t="s">
        <v>74</v>
      </c>
      <c r="P245" s="444" t="s">
        <v>59</v>
      </c>
      <c r="Q245" s="445">
        <f t="shared" si="495"/>
        <v>60</v>
      </c>
      <c r="R245" s="446" t="s">
        <v>60</v>
      </c>
      <c r="S245" s="447"/>
      <c r="T245" s="446">
        <v>0.1</v>
      </c>
      <c r="U245" s="442" t="s">
        <v>62</v>
      </c>
      <c r="V245" s="442">
        <v>0.6</v>
      </c>
      <c r="W245" s="442">
        <v>1</v>
      </c>
      <c r="X245" s="448">
        <v>25000</v>
      </c>
      <c r="Y245" s="449" t="s">
        <v>79</v>
      </c>
      <c r="Z245" s="442">
        <v>1</v>
      </c>
      <c r="AA245" s="450">
        <v>40000</v>
      </c>
      <c r="AB245" s="450" t="s">
        <v>65</v>
      </c>
      <c r="AC245" s="446">
        <v>0.05</v>
      </c>
      <c r="AD245" s="446">
        <v>0</v>
      </c>
      <c r="AE245" s="451" t="s">
        <v>66</v>
      </c>
      <c r="AF245" s="448">
        <v>20000</v>
      </c>
      <c r="AG245" s="452">
        <v>7</v>
      </c>
      <c r="AH245" s="452">
        <v>6</v>
      </c>
      <c r="AI245" s="452">
        <v>5</v>
      </c>
      <c r="AJ245" s="451">
        <v>13</v>
      </c>
      <c r="AK245" s="453" t="s">
        <v>67</v>
      </c>
      <c r="AL245" s="454" t="s">
        <v>68</v>
      </c>
      <c r="AM245" s="455" t="s">
        <v>197</v>
      </c>
      <c r="AN245" s="455" t="s">
        <v>198</v>
      </c>
      <c r="AO245" s="314">
        <f t="shared" si="505"/>
        <v>0.983344907407407</v>
      </c>
      <c r="AP245" s="315">
        <f t="shared" si="506"/>
        <v>106</v>
      </c>
      <c r="AQ245" s="316" t="str">
        <f t="shared" si="507"/>
        <v>MICRO</v>
      </c>
    </row>
    <row r="246" ht="29.25" customHeight="1" outlineLevel="1" spans="1:43">
      <c r="A246" s="363"/>
      <c r="B246" s="383"/>
      <c r="C246" s="487"/>
      <c r="D246" s="487"/>
      <c r="E246" s="487"/>
      <c r="F246" s="487"/>
      <c r="G246" s="487"/>
      <c r="H246" s="293" t="str">
        <f t="shared" ref="H246:I246" si="512">TEXT(IF($B246=0," ",$B246+H$6),"hh:mm am/pm")</f>
        <v> </v>
      </c>
      <c r="I246" s="293" t="str">
        <f t="shared" si="512"/>
        <v> </v>
      </c>
      <c r="J246" s="485"/>
      <c r="K246" s="381"/>
      <c r="L246" s="366"/>
      <c r="M246" s="435"/>
      <c r="N246" s="436"/>
      <c r="O246" s="437"/>
      <c r="P246" s="437"/>
      <c r="Q246" s="436"/>
      <c r="R246" s="436"/>
      <c r="S246" s="436"/>
      <c r="T246" s="438"/>
      <c r="U246" s="436"/>
      <c r="V246" s="436"/>
      <c r="W246" s="436"/>
      <c r="X246" s="436"/>
      <c r="Y246" s="366"/>
      <c r="Z246" s="439"/>
      <c r="AA246" s="439"/>
      <c r="AB246" s="439"/>
      <c r="AC246" s="438"/>
      <c r="AD246" s="438"/>
      <c r="AE246" s="366"/>
      <c r="AF246" s="439"/>
      <c r="AG246" s="366"/>
      <c r="AH246" s="366"/>
      <c r="AI246" s="366"/>
      <c r="AJ246" s="366"/>
      <c r="AK246" s="440"/>
      <c r="AL246" s="440"/>
      <c r="AM246" s="440"/>
      <c r="AN246" s="440"/>
      <c r="AO246" s="383"/>
      <c r="AP246" s="374"/>
      <c r="AQ246" s="383"/>
    </row>
    <row r="247" ht="24" customHeight="1" spans="1:43">
      <c r="A247" s="363"/>
      <c r="B247" s="458"/>
      <c r="C247" s="459"/>
      <c r="D247" s="459"/>
      <c r="E247" s="459"/>
      <c r="F247" s="459"/>
      <c r="G247" s="459"/>
      <c r="H247" s="459"/>
      <c r="I247" s="460"/>
      <c r="J247" s="380" t="s">
        <v>294</v>
      </c>
      <c r="K247" s="380"/>
      <c r="L247" s="380" t="s">
        <v>294</v>
      </c>
      <c r="O247" s="380"/>
      <c r="Q247" s="380" t="s">
        <v>294</v>
      </c>
      <c r="V247" s="380" t="s">
        <v>294</v>
      </c>
      <c r="AB247" s="380" t="s">
        <v>294</v>
      </c>
      <c r="AE247" s="380" t="s">
        <v>294</v>
      </c>
      <c r="AF247" s="380"/>
      <c r="AG247" s="380"/>
      <c r="AH247" s="380"/>
      <c r="AI247" s="380"/>
      <c r="AJ247" s="380" t="s">
        <v>294</v>
      </c>
      <c r="AM247" s="314"/>
      <c r="AN247" s="314"/>
      <c r="AO247" s="314"/>
      <c r="AP247" s="314"/>
      <c r="AQ247" s="464"/>
    </row>
    <row r="248" ht="29.25" customHeight="1" outlineLevel="1" spans="1:43">
      <c r="A248" s="291" t="s">
        <v>294</v>
      </c>
      <c r="B248" s="292">
        <v>0.583344907407407</v>
      </c>
      <c r="C248" s="293" t="str">
        <f t="shared" ref="C248:G248" si="513">TEXT(IF($B248=0," ",$B248-C$6),"hh:mm am/pm")</f>
        <v>12:00 001/p1</v>
      </c>
      <c r="D248" s="293" t="str">
        <f t="shared" si="513"/>
        <v>10:00 001/p1</v>
      </c>
      <c r="E248" s="293" t="str">
        <f t="shared" si="513"/>
        <v>11:00 001/p1</v>
      </c>
      <c r="F248" s="293" t="str">
        <f t="shared" si="513"/>
        <v>12:00 001/p1</v>
      </c>
      <c r="G248" s="293" t="str">
        <f t="shared" si="513"/>
        <v>13:00 001/p1</v>
      </c>
      <c r="H248" s="293" t="str">
        <f t="shared" ref="H248:I248" si="514">TEXT(IF($B248=0," ",$B248+H$6),"hh:mm am/pm")</f>
        <v>20:00 001/p1</v>
      </c>
      <c r="I248" s="293" t="str">
        <f t="shared" si="514"/>
        <v>01:00 001/p1</v>
      </c>
      <c r="J248" s="318" t="s">
        <v>295</v>
      </c>
      <c r="K248" s="295"/>
      <c r="L248" s="296" t="s">
        <v>296</v>
      </c>
      <c r="M248" s="297" t="s">
        <v>56</v>
      </c>
      <c r="N248" s="298" t="s">
        <v>57</v>
      </c>
      <c r="O248" s="299" t="s">
        <v>58</v>
      </c>
      <c r="P248" s="300" t="s">
        <v>59</v>
      </c>
      <c r="Q248" s="301">
        <v>10200</v>
      </c>
      <c r="R248" s="325" t="s">
        <v>76</v>
      </c>
      <c r="S248" s="303"/>
      <c r="T248" s="304" t="s">
        <v>92</v>
      </c>
      <c r="U248" s="298" t="s">
        <v>62</v>
      </c>
      <c r="V248" s="298">
        <v>30</v>
      </c>
      <c r="W248" s="298">
        <v>30</v>
      </c>
      <c r="X248" s="305"/>
      <c r="Y248" s="306" t="s">
        <v>63</v>
      </c>
      <c r="Z248" s="303"/>
      <c r="AA248" s="307" t="s">
        <v>64</v>
      </c>
      <c r="AB248" s="307" t="s">
        <v>65</v>
      </c>
      <c r="AC248" s="308">
        <v>0.1</v>
      </c>
      <c r="AD248" s="308">
        <v>0.02</v>
      </c>
      <c r="AE248" s="307" t="s">
        <v>66</v>
      </c>
      <c r="AF248" s="309">
        <v>50000</v>
      </c>
      <c r="AG248" s="310">
        <v>12</v>
      </c>
      <c r="AH248" s="310">
        <v>12</v>
      </c>
      <c r="AI248" s="310">
        <v>12</v>
      </c>
      <c r="AJ248" s="304">
        <v>15</v>
      </c>
      <c r="AK248" s="311" t="s">
        <v>67</v>
      </c>
      <c r="AL248" s="312" t="s">
        <v>68</v>
      </c>
      <c r="AM248" s="313" t="s">
        <v>69</v>
      </c>
      <c r="AN248" s="313" t="s">
        <v>70</v>
      </c>
      <c r="AO248" s="314">
        <f t="shared" ref="AO248:AO334" si="515">IF(B248=0," ",TIME(,ROUNDDOWN(AG248*AJ248/60,0)*5+(AG248*AJ248),)+B248)</f>
        <v>0.718761574074074</v>
      </c>
      <c r="AP248" s="315">
        <f t="shared" ref="AP248:AP334" si="516">IF(Q248=0,,ROUNDUP(Q248/(V248*(1-AC248-AD248)),0))</f>
        <v>387</v>
      </c>
      <c r="AQ248" s="316" t="str">
        <f t="shared" ref="AQ248:AQ334" si="517">IFERROR(IF(V248=0," ",IF(V248&lt;=5,"MICRO",IF(V248&lt;=19.8,"LOW",IF(V248&lt;=99.8,"MEDIUM",IF(V248&lt;=500,"HIGH",IF(V248&gt;500,"SUPER HIGH",)))))),"")</f>
        <v>MEDIUM</v>
      </c>
    </row>
    <row r="249" ht="29.25" customHeight="1" outlineLevel="1" spans="1:43">
      <c r="A249" s="291" t="s">
        <v>71</v>
      </c>
      <c r="B249" s="317">
        <v>0.708344907407407</v>
      </c>
      <c r="C249" s="293" t="str">
        <f t="shared" ref="C249:G249" si="518">TEXT(IF($B249=0," ",$B249-C$6),"hh:mm am/pm")</f>
        <v>15:00 001/p1</v>
      </c>
      <c r="D249" s="293" t="str">
        <f t="shared" si="518"/>
        <v>13:00 001/p1</v>
      </c>
      <c r="E249" s="293" t="str">
        <f t="shared" si="518"/>
        <v>14:00 001/p1</v>
      </c>
      <c r="F249" s="293" t="str">
        <f t="shared" si="518"/>
        <v>15:00 001/p1</v>
      </c>
      <c r="G249" s="293" t="str">
        <f t="shared" si="518"/>
        <v>16:00 001/p1</v>
      </c>
      <c r="H249" s="293" t="str">
        <f t="shared" ref="H249:I249" si="519">TEXT(IF($B249=0," ",$B249+H$6),"hh:mm am/pm")</f>
        <v>23:00 001/p1</v>
      </c>
      <c r="I249" s="293" t="str">
        <f t="shared" si="519"/>
        <v>04:00 001/p1</v>
      </c>
      <c r="J249" s="318" t="s">
        <v>297</v>
      </c>
      <c r="K249" s="295"/>
      <c r="L249" s="466" t="s">
        <v>91</v>
      </c>
      <c r="M249" s="467" t="s">
        <v>56</v>
      </c>
      <c r="N249" s="468" t="s">
        <v>57</v>
      </c>
      <c r="O249" s="469" t="s">
        <v>82</v>
      </c>
      <c r="P249" s="470" t="s">
        <v>75</v>
      </c>
      <c r="Q249" s="471">
        <v>10200</v>
      </c>
      <c r="R249" s="325" t="s">
        <v>76</v>
      </c>
      <c r="S249" s="473"/>
      <c r="T249" s="360" t="s">
        <v>77</v>
      </c>
      <c r="U249" s="468" t="s">
        <v>62</v>
      </c>
      <c r="V249" s="468">
        <v>11</v>
      </c>
      <c r="W249" s="468">
        <v>11</v>
      </c>
      <c r="X249" s="355"/>
      <c r="Y249" s="474" t="s">
        <v>63</v>
      </c>
      <c r="Z249" s="473"/>
      <c r="AA249" s="356" t="s">
        <v>64</v>
      </c>
      <c r="AB249" s="356" t="s">
        <v>65</v>
      </c>
      <c r="AC249" s="357">
        <v>0.1</v>
      </c>
      <c r="AD249" s="357">
        <v>0.02</v>
      </c>
      <c r="AE249" s="360" t="s">
        <v>66</v>
      </c>
      <c r="AF249" s="358">
        <v>50000</v>
      </c>
      <c r="AG249" s="359">
        <v>12</v>
      </c>
      <c r="AH249" s="359">
        <v>10</v>
      </c>
      <c r="AI249" s="359">
        <v>10</v>
      </c>
      <c r="AJ249" s="360">
        <v>15</v>
      </c>
      <c r="AK249" s="475" t="s">
        <v>67</v>
      </c>
      <c r="AL249" s="476" t="s">
        <v>68</v>
      </c>
      <c r="AM249" s="376" t="s">
        <v>69</v>
      </c>
      <c r="AN249" s="376" t="s">
        <v>70</v>
      </c>
      <c r="AO249" s="314">
        <f t="shared" si="515"/>
        <v>0.843761574074074</v>
      </c>
      <c r="AP249" s="315">
        <f t="shared" si="516"/>
        <v>1054</v>
      </c>
      <c r="AQ249" s="316" t="str">
        <f t="shared" si="517"/>
        <v>LOW</v>
      </c>
    </row>
    <row r="250" ht="29.25" customHeight="1" outlineLevel="1" spans="1:43">
      <c r="A250" s="291">
        <f>COUNTIF(M248:M334,"Side event")</f>
        <v>77</v>
      </c>
      <c r="B250" s="317">
        <v>0.750011574074074</v>
      </c>
      <c r="C250" s="293" t="str">
        <f t="shared" ref="C250:G250" si="520">TEXT(IF($B250=0," ",$B250-C$6),"hh:mm am/pm")</f>
        <v>16:00 001/p1</v>
      </c>
      <c r="D250" s="293" t="str">
        <f t="shared" si="520"/>
        <v>14:00 001/p1</v>
      </c>
      <c r="E250" s="293" t="str">
        <f t="shared" si="520"/>
        <v>15:00 001/p1</v>
      </c>
      <c r="F250" s="293" t="str">
        <f t="shared" si="520"/>
        <v>16:00 001/p1</v>
      </c>
      <c r="G250" s="293" t="str">
        <f t="shared" si="520"/>
        <v>17:00 001/p1</v>
      </c>
      <c r="H250" s="293" t="str">
        <f t="shared" ref="H250:I250" si="521">TEXT(IF($B250=0," ",$B250+H$6),"hh:mm am/pm")</f>
        <v>00:00 001/p1</v>
      </c>
      <c r="I250" s="293" t="str">
        <f t="shared" si="521"/>
        <v>05:00 001/p1</v>
      </c>
      <c r="J250" s="294" t="s">
        <v>298</v>
      </c>
      <c r="K250" s="295"/>
      <c r="L250" s="296" t="s">
        <v>229</v>
      </c>
      <c r="M250" s="297" t="s">
        <v>56</v>
      </c>
      <c r="N250" s="298" t="s">
        <v>57</v>
      </c>
      <c r="O250" s="299" t="s">
        <v>74</v>
      </c>
      <c r="P250" s="300" t="s">
        <v>59</v>
      </c>
      <c r="Q250" s="301">
        <v>51700</v>
      </c>
      <c r="R250" s="302" t="s">
        <v>87</v>
      </c>
      <c r="S250" s="303"/>
      <c r="T250" s="304" t="s">
        <v>77</v>
      </c>
      <c r="U250" s="298" t="s">
        <v>78</v>
      </c>
      <c r="V250" s="298">
        <v>10</v>
      </c>
      <c r="W250" s="298">
        <v>10</v>
      </c>
      <c r="X250" s="305"/>
      <c r="Y250" s="306" t="s">
        <v>79</v>
      </c>
      <c r="Z250" s="298">
        <v>15</v>
      </c>
      <c r="AA250" s="307">
        <v>250000</v>
      </c>
      <c r="AB250" s="307" t="s">
        <v>65</v>
      </c>
      <c r="AC250" s="308">
        <v>0.1</v>
      </c>
      <c r="AD250" s="308">
        <v>0.02</v>
      </c>
      <c r="AE250" s="304" t="s">
        <v>88</v>
      </c>
      <c r="AF250" s="309">
        <v>50000</v>
      </c>
      <c r="AG250" s="310">
        <v>12</v>
      </c>
      <c r="AH250" s="310">
        <v>10</v>
      </c>
      <c r="AI250" s="310">
        <v>10</v>
      </c>
      <c r="AJ250" s="304">
        <v>15</v>
      </c>
      <c r="AK250" s="311" t="s">
        <v>67</v>
      </c>
      <c r="AL250" s="312" t="s">
        <v>68</v>
      </c>
      <c r="AM250" s="313" t="s">
        <v>69</v>
      </c>
      <c r="AN250" s="313" t="s">
        <v>70</v>
      </c>
      <c r="AO250" s="314">
        <f t="shared" si="515"/>
        <v>0.885428240740741</v>
      </c>
      <c r="AP250" s="315">
        <f t="shared" si="516"/>
        <v>5875</v>
      </c>
      <c r="AQ250" s="316" t="str">
        <f t="shared" si="517"/>
        <v>LOW</v>
      </c>
    </row>
    <row r="251" ht="29.25" customHeight="1" outlineLevel="1" spans="1:43">
      <c r="A251" s="291" t="s">
        <v>56</v>
      </c>
      <c r="B251" s="317">
        <v>0.750011574074074</v>
      </c>
      <c r="C251" s="293" t="str">
        <f t="shared" ref="C251:G251" si="522">TEXT(IF($B251=0," ",$B251-C$6),"hh:mm am/pm")</f>
        <v>16:00 001/p1</v>
      </c>
      <c r="D251" s="293" t="str">
        <f t="shared" si="522"/>
        <v>14:00 001/p1</v>
      </c>
      <c r="E251" s="293" t="str">
        <f t="shared" si="522"/>
        <v>15:00 001/p1</v>
      </c>
      <c r="F251" s="293" t="str">
        <f t="shared" si="522"/>
        <v>16:00 001/p1</v>
      </c>
      <c r="G251" s="293" t="str">
        <f t="shared" si="522"/>
        <v>17:00 001/p1</v>
      </c>
      <c r="H251" s="293" t="str">
        <f t="shared" ref="H251:I251" si="523">TEXT(IF($B251=0," ",$B251+H$6),"hh:mm am/pm")</f>
        <v>00:00 001/p1</v>
      </c>
      <c r="I251" s="293" t="str">
        <f t="shared" si="523"/>
        <v>05:00 001/p1</v>
      </c>
      <c r="J251" s="294" t="s">
        <v>299</v>
      </c>
      <c r="K251" s="295"/>
      <c r="L251" s="466" t="s">
        <v>300</v>
      </c>
      <c r="M251" s="467" t="s">
        <v>56</v>
      </c>
      <c r="N251" s="468" t="s">
        <v>57</v>
      </c>
      <c r="O251" s="469" t="s">
        <v>74</v>
      </c>
      <c r="P251" s="470" t="s">
        <v>59</v>
      </c>
      <c r="Q251" s="471">
        <v>10000</v>
      </c>
      <c r="R251" s="472" t="s">
        <v>60</v>
      </c>
      <c r="S251" s="473"/>
      <c r="T251" s="360" t="s">
        <v>61</v>
      </c>
      <c r="U251" s="468" t="s">
        <v>62</v>
      </c>
      <c r="V251" s="468">
        <v>30</v>
      </c>
      <c r="W251" s="473"/>
      <c r="X251" s="355"/>
      <c r="Y251" s="474" t="s">
        <v>161</v>
      </c>
      <c r="Z251" s="473"/>
      <c r="AA251" s="356" t="s">
        <v>162</v>
      </c>
      <c r="AB251" s="356" t="s">
        <v>65</v>
      </c>
      <c r="AC251" s="357">
        <v>0.1</v>
      </c>
      <c r="AD251" s="357">
        <v>0.02</v>
      </c>
      <c r="AE251" s="360" t="s">
        <v>66</v>
      </c>
      <c r="AF251" s="358">
        <v>50000</v>
      </c>
      <c r="AG251" s="359">
        <v>10</v>
      </c>
      <c r="AH251" s="359">
        <v>10</v>
      </c>
      <c r="AI251" s="359">
        <v>10</v>
      </c>
      <c r="AJ251" s="360">
        <v>15</v>
      </c>
      <c r="AK251" s="475" t="s">
        <v>67</v>
      </c>
      <c r="AL251" s="476" t="s">
        <v>68</v>
      </c>
      <c r="AM251" s="376" t="s">
        <v>69</v>
      </c>
      <c r="AN251" s="376" t="s">
        <v>70</v>
      </c>
      <c r="AO251" s="314">
        <f t="shared" si="515"/>
        <v>0.861122685185185</v>
      </c>
      <c r="AP251" s="315">
        <f t="shared" si="516"/>
        <v>379</v>
      </c>
      <c r="AQ251" s="316" t="str">
        <f t="shared" si="517"/>
        <v>MEDIUM</v>
      </c>
    </row>
    <row r="252" ht="29.25" customHeight="1" outlineLevel="1" spans="1:43">
      <c r="A252" s="291">
        <f>COUNTIF(M248:M334,"Main Event")</f>
        <v>9</v>
      </c>
      <c r="B252" s="317">
        <v>0.791678240740741</v>
      </c>
      <c r="C252" s="293" t="str">
        <f t="shared" ref="C252:G252" si="524">TEXT(IF($B252=0," ",$B252-C$6),"hh:mm am/pm")</f>
        <v>17:00 001/p1</v>
      </c>
      <c r="D252" s="293" t="str">
        <f t="shared" si="524"/>
        <v>15:00 001/p1</v>
      </c>
      <c r="E252" s="293" t="str">
        <f t="shared" si="524"/>
        <v>16:00 001/p1</v>
      </c>
      <c r="F252" s="293" t="str">
        <f t="shared" si="524"/>
        <v>17:00 001/p1</v>
      </c>
      <c r="G252" s="293" t="str">
        <f t="shared" si="524"/>
        <v>18:00 001/p1</v>
      </c>
      <c r="H252" s="293" t="str">
        <f t="shared" ref="H252:I252" si="525">TEXT(IF($B252=0," ",$B252+H$6),"hh:mm am/pm")</f>
        <v>01:00 001/p1</v>
      </c>
      <c r="I252" s="293" t="str">
        <f t="shared" si="525"/>
        <v>06:00 001/p1</v>
      </c>
      <c r="J252" s="294" t="s">
        <v>301</v>
      </c>
      <c r="K252" s="295"/>
      <c r="L252" s="296" t="s">
        <v>302</v>
      </c>
      <c r="M252" s="297" t="s">
        <v>56</v>
      </c>
      <c r="N252" s="298" t="s">
        <v>57</v>
      </c>
      <c r="O252" s="299" t="s">
        <v>82</v>
      </c>
      <c r="P252" s="300" t="s">
        <v>59</v>
      </c>
      <c r="Q252" s="301">
        <v>101700</v>
      </c>
      <c r="R252" s="302" t="s">
        <v>87</v>
      </c>
      <c r="S252" s="303"/>
      <c r="T252" s="304" t="s">
        <v>92</v>
      </c>
      <c r="U252" s="298" t="s">
        <v>62</v>
      </c>
      <c r="V252" s="298">
        <v>110</v>
      </c>
      <c r="W252" s="298">
        <v>110</v>
      </c>
      <c r="X252" s="309">
        <v>60000</v>
      </c>
      <c r="Y252" s="306" t="s">
        <v>63</v>
      </c>
      <c r="Z252" s="303"/>
      <c r="AA252" s="307" t="s">
        <v>64</v>
      </c>
      <c r="AB252" s="307" t="s">
        <v>65</v>
      </c>
      <c r="AC252" s="308">
        <v>0.1</v>
      </c>
      <c r="AD252" s="308">
        <v>0.02</v>
      </c>
      <c r="AE252" s="304" t="s">
        <v>66</v>
      </c>
      <c r="AF252" s="309">
        <v>50000</v>
      </c>
      <c r="AG252" s="310">
        <v>12</v>
      </c>
      <c r="AH252" s="310">
        <v>12</v>
      </c>
      <c r="AI252" s="310">
        <v>12</v>
      </c>
      <c r="AJ252" s="304">
        <v>15</v>
      </c>
      <c r="AK252" s="311" t="s">
        <v>67</v>
      </c>
      <c r="AL252" s="312" t="s">
        <v>68</v>
      </c>
      <c r="AM252" s="313" t="s">
        <v>69</v>
      </c>
      <c r="AN252" s="313" t="s">
        <v>70</v>
      </c>
      <c r="AO252" s="314">
        <f t="shared" si="515"/>
        <v>0.927094907407407</v>
      </c>
      <c r="AP252" s="315">
        <f t="shared" si="516"/>
        <v>1051</v>
      </c>
      <c r="AQ252" s="316" t="str">
        <f t="shared" si="517"/>
        <v>HIGH</v>
      </c>
    </row>
    <row r="253" ht="29.25" customHeight="1" outlineLevel="1" spans="1:43">
      <c r="A253" s="291" t="s">
        <v>89</v>
      </c>
      <c r="B253" s="317">
        <v>0.791678240740741</v>
      </c>
      <c r="C253" s="293" t="str">
        <f t="shared" ref="C253:G253" si="526">TEXT(IF($B253=0," ",$B253-C$6),"hh:mm am/pm")</f>
        <v>17:00 001/p1</v>
      </c>
      <c r="D253" s="293" t="str">
        <f t="shared" si="526"/>
        <v>15:00 001/p1</v>
      </c>
      <c r="E253" s="293" t="str">
        <f t="shared" si="526"/>
        <v>16:00 001/p1</v>
      </c>
      <c r="F253" s="293" t="str">
        <f t="shared" si="526"/>
        <v>17:00 001/p1</v>
      </c>
      <c r="G253" s="293" t="str">
        <f t="shared" si="526"/>
        <v>18:00 001/p1</v>
      </c>
      <c r="H253" s="293" t="str">
        <f t="shared" ref="H253:I253" si="527">TEXT(IF($B253=0," ",$B253+H$6),"hh:mm am/pm")</f>
        <v>01:00 001/p1</v>
      </c>
      <c r="I253" s="293" t="str">
        <f t="shared" si="527"/>
        <v>06:00 001/p1</v>
      </c>
      <c r="J253" s="294" t="s">
        <v>303</v>
      </c>
      <c r="K253" s="295"/>
      <c r="L253" s="466" t="s">
        <v>235</v>
      </c>
      <c r="M253" s="467" t="s">
        <v>56</v>
      </c>
      <c r="N253" s="468" t="s">
        <v>57</v>
      </c>
      <c r="O253" s="469" t="s">
        <v>82</v>
      </c>
      <c r="P253" s="470" t="s">
        <v>59</v>
      </c>
      <c r="Q253" s="471">
        <v>20000</v>
      </c>
      <c r="R253" s="472" t="s">
        <v>60</v>
      </c>
      <c r="S253" s="473"/>
      <c r="T253" s="360" t="s">
        <v>92</v>
      </c>
      <c r="U253" s="468" t="s">
        <v>62</v>
      </c>
      <c r="V253" s="468">
        <v>220</v>
      </c>
      <c r="W253" s="468">
        <v>220</v>
      </c>
      <c r="X253" s="358">
        <v>60000</v>
      </c>
      <c r="Y253" s="474" t="s">
        <v>63</v>
      </c>
      <c r="Z253" s="473"/>
      <c r="AA253" s="356" t="s">
        <v>64</v>
      </c>
      <c r="AB253" s="356" t="s">
        <v>65</v>
      </c>
      <c r="AC253" s="357">
        <v>0.1</v>
      </c>
      <c r="AD253" s="357">
        <v>0</v>
      </c>
      <c r="AE253" s="356" t="s">
        <v>66</v>
      </c>
      <c r="AF253" s="358">
        <v>50000</v>
      </c>
      <c r="AG253" s="359">
        <v>12</v>
      </c>
      <c r="AH253" s="359">
        <v>12</v>
      </c>
      <c r="AI253" s="359">
        <v>12</v>
      </c>
      <c r="AJ253" s="360">
        <v>15</v>
      </c>
      <c r="AK253" s="475" t="s">
        <v>67</v>
      </c>
      <c r="AL253" s="476" t="s">
        <v>68</v>
      </c>
      <c r="AM253" s="376" t="s">
        <v>69</v>
      </c>
      <c r="AN253" s="376" t="s">
        <v>70</v>
      </c>
      <c r="AO253" s="314">
        <f t="shared" si="515"/>
        <v>0.927094907407407</v>
      </c>
      <c r="AP253" s="315">
        <f t="shared" si="516"/>
        <v>102</v>
      </c>
      <c r="AQ253" s="316" t="str">
        <f t="shared" si="517"/>
        <v>HIGH</v>
      </c>
    </row>
    <row r="254" ht="29.25" customHeight="1" outlineLevel="1" spans="1:43">
      <c r="A254" s="361">
        <f>SUM(Q248:Q334,Q336:Q392)</f>
        <v>347968</v>
      </c>
      <c r="B254" s="317">
        <v>0.833344907407407</v>
      </c>
      <c r="C254" s="293" t="str">
        <f t="shared" ref="C254:G254" si="528">TEXT(IF($B254=0," ",$B254-C$6),"hh:mm am/pm")</f>
        <v>18:00 001/p1</v>
      </c>
      <c r="D254" s="293" t="str">
        <f t="shared" si="528"/>
        <v>16:00 001/p1</v>
      </c>
      <c r="E254" s="293" t="str">
        <f t="shared" si="528"/>
        <v>17:00 001/p1</v>
      </c>
      <c r="F254" s="293" t="str">
        <f t="shared" si="528"/>
        <v>18:00 001/p1</v>
      </c>
      <c r="G254" s="293" t="str">
        <f t="shared" si="528"/>
        <v>19:00 001/p1</v>
      </c>
      <c r="H254" s="293" t="str">
        <f t="shared" ref="H254:I254" si="529">TEXT(IF($B254=0," ",$B254+H$6),"hh:mm am/pm")</f>
        <v>02:00 001/p1</v>
      </c>
      <c r="I254" s="293" t="str">
        <f t="shared" si="529"/>
        <v>07:00 001/p1</v>
      </c>
      <c r="J254" s="318" t="s">
        <v>304</v>
      </c>
      <c r="K254" s="295"/>
      <c r="L254" s="296" t="s">
        <v>305</v>
      </c>
      <c r="M254" s="297" t="s">
        <v>56</v>
      </c>
      <c r="N254" s="298" t="s">
        <v>57</v>
      </c>
      <c r="O254" s="299" t="s">
        <v>74</v>
      </c>
      <c r="P254" s="300" t="s">
        <v>75</v>
      </c>
      <c r="Q254" s="301">
        <v>7200</v>
      </c>
      <c r="R254" s="325" t="s">
        <v>76</v>
      </c>
      <c r="S254" s="303"/>
      <c r="T254" s="304" t="s">
        <v>61</v>
      </c>
      <c r="U254" s="298" t="s">
        <v>62</v>
      </c>
      <c r="V254" s="298">
        <v>15</v>
      </c>
      <c r="W254" s="303"/>
      <c r="X254" s="305"/>
      <c r="Y254" s="306" t="s">
        <v>161</v>
      </c>
      <c r="Z254" s="303"/>
      <c r="AA254" s="307" t="s">
        <v>162</v>
      </c>
      <c r="AB254" s="307" t="s">
        <v>65</v>
      </c>
      <c r="AC254" s="308">
        <v>0.1</v>
      </c>
      <c r="AD254" s="308">
        <v>0.02</v>
      </c>
      <c r="AE254" s="307" t="s">
        <v>66</v>
      </c>
      <c r="AF254" s="309">
        <v>40000</v>
      </c>
      <c r="AG254" s="310">
        <v>10</v>
      </c>
      <c r="AH254" s="310">
        <v>10</v>
      </c>
      <c r="AI254" s="310">
        <v>10</v>
      </c>
      <c r="AJ254" s="304">
        <v>14</v>
      </c>
      <c r="AK254" s="311" t="s">
        <v>67</v>
      </c>
      <c r="AL254" s="312" t="s">
        <v>68</v>
      </c>
      <c r="AM254" s="313" t="s">
        <v>69</v>
      </c>
      <c r="AN254" s="313" t="s">
        <v>70</v>
      </c>
      <c r="AO254" s="314">
        <f t="shared" si="515"/>
        <v>0.937511574074074</v>
      </c>
      <c r="AP254" s="315">
        <f t="shared" si="516"/>
        <v>546</v>
      </c>
      <c r="AQ254" s="316" t="str">
        <f t="shared" si="517"/>
        <v>LOW</v>
      </c>
    </row>
    <row r="255" ht="29.25" customHeight="1" outlineLevel="1" spans="1:43">
      <c r="A255" s="363" t="s">
        <v>294</v>
      </c>
      <c r="B255" s="317">
        <v>0.833344907407407</v>
      </c>
      <c r="C255" s="293" t="str">
        <f t="shared" ref="C255:G255" si="530">TEXT(IF($B255=0," ",$B255-C$6),"hh:mm am/pm")</f>
        <v>18:00 001/p1</v>
      </c>
      <c r="D255" s="293" t="str">
        <f t="shared" si="530"/>
        <v>16:00 001/p1</v>
      </c>
      <c r="E255" s="293" t="str">
        <f t="shared" si="530"/>
        <v>17:00 001/p1</v>
      </c>
      <c r="F255" s="293" t="str">
        <f t="shared" si="530"/>
        <v>18:00 001/p1</v>
      </c>
      <c r="G255" s="293" t="str">
        <f t="shared" si="530"/>
        <v>19:00 001/p1</v>
      </c>
      <c r="H255" s="293" t="str">
        <f t="shared" ref="H255:I255" si="531">TEXT(IF($B255=0," ",$B255+H$6),"hh:mm am/pm")</f>
        <v>02:00 001/p1</v>
      </c>
      <c r="I255" s="293" t="str">
        <f t="shared" si="531"/>
        <v>07:00 001/p1</v>
      </c>
      <c r="J255" s="294" t="s">
        <v>306</v>
      </c>
      <c r="K255" s="295"/>
      <c r="L255" s="466" t="s">
        <v>99</v>
      </c>
      <c r="M255" s="467" t="s">
        <v>56</v>
      </c>
      <c r="N255" s="468" t="s">
        <v>100</v>
      </c>
      <c r="O255" s="469" t="s">
        <v>82</v>
      </c>
      <c r="P255" s="470" t="s">
        <v>101</v>
      </c>
      <c r="Q255" s="471">
        <v>16000</v>
      </c>
      <c r="R255" s="472" t="s">
        <v>60</v>
      </c>
      <c r="S255" s="473"/>
      <c r="T255" s="360" t="s">
        <v>92</v>
      </c>
      <c r="U255" s="468" t="s">
        <v>78</v>
      </c>
      <c r="V255" s="468">
        <v>150</v>
      </c>
      <c r="W255" s="468">
        <v>150</v>
      </c>
      <c r="X255" s="358">
        <v>60000</v>
      </c>
      <c r="Y255" s="474" t="s">
        <v>63</v>
      </c>
      <c r="Z255" s="473"/>
      <c r="AA255" s="356" t="s">
        <v>64</v>
      </c>
      <c r="AB255" s="356" t="s">
        <v>65</v>
      </c>
      <c r="AC255" s="357">
        <v>0.1</v>
      </c>
      <c r="AD255" s="357">
        <v>0.02</v>
      </c>
      <c r="AE255" s="360" t="s">
        <v>66</v>
      </c>
      <c r="AF255" s="358">
        <v>50000</v>
      </c>
      <c r="AG255" s="359">
        <v>12</v>
      </c>
      <c r="AH255" s="359">
        <v>12</v>
      </c>
      <c r="AI255" s="359">
        <v>12</v>
      </c>
      <c r="AJ255" s="360">
        <v>15</v>
      </c>
      <c r="AK255" s="475" t="s">
        <v>67</v>
      </c>
      <c r="AL255" s="476" t="s">
        <v>68</v>
      </c>
      <c r="AM255" s="376" t="s">
        <v>69</v>
      </c>
      <c r="AN255" s="376" t="s">
        <v>70</v>
      </c>
      <c r="AO255" s="314">
        <f t="shared" si="515"/>
        <v>0.968761574074074</v>
      </c>
      <c r="AP255" s="315">
        <f t="shared" si="516"/>
        <v>122</v>
      </c>
      <c r="AQ255" s="316" t="str">
        <f t="shared" si="517"/>
        <v>HIGH</v>
      </c>
    </row>
    <row r="256" ht="29.25" customHeight="1" outlineLevel="1" spans="1:43">
      <c r="B256" s="317">
        <v>0.875011574074074</v>
      </c>
      <c r="C256" s="293" t="str">
        <f t="shared" ref="C256:G256" si="532">TEXT(IF($B256=0," ",$B256-C$6),"hh:mm am/pm")</f>
        <v>19:00 001/p1</v>
      </c>
      <c r="D256" s="293" t="str">
        <f t="shared" si="532"/>
        <v>17:00 001/p1</v>
      </c>
      <c r="E256" s="293" t="str">
        <f t="shared" si="532"/>
        <v>18:00 001/p1</v>
      </c>
      <c r="F256" s="293" t="str">
        <f t="shared" si="532"/>
        <v>19:00 001/p1</v>
      </c>
      <c r="G256" s="293" t="str">
        <f t="shared" si="532"/>
        <v>20:00 001/p1</v>
      </c>
      <c r="H256" s="293" t="str">
        <f t="shared" ref="H256:I256" si="533">TEXT(IF($B256=0," ",$B256+H$6),"hh:mm am/pm")</f>
        <v>03:00 001/p1</v>
      </c>
      <c r="I256" s="293" t="str">
        <f t="shared" si="533"/>
        <v>08:00 001/p1</v>
      </c>
      <c r="J256" s="318" t="s">
        <v>307</v>
      </c>
      <c r="K256" s="295"/>
      <c r="L256" s="296" t="s">
        <v>308</v>
      </c>
      <c r="M256" s="297" t="s">
        <v>56</v>
      </c>
      <c r="N256" s="298" t="s">
        <v>57</v>
      </c>
      <c r="O256" s="299" t="s">
        <v>82</v>
      </c>
      <c r="P256" s="300" t="s">
        <v>59</v>
      </c>
      <c r="Q256" s="301">
        <v>8200</v>
      </c>
      <c r="R256" s="325" t="s">
        <v>76</v>
      </c>
      <c r="S256" s="303"/>
      <c r="T256" s="304" t="s">
        <v>92</v>
      </c>
      <c r="U256" s="298" t="s">
        <v>62</v>
      </c>
      <c r="V256" s="298">
        <v>30</v>
      </c>
      <c r="W256" s="298">
        <v>30</v>
      </c>
      <c r="X256" s="305"/>
      <c r="Y256" s="306" t="s">
        <v>63</v>
      </c>
      <c r="Z256" s="303"/>
      <c r="AA256" s="307" t="s">
        <v>64</v>
      </c>
      <c r="AB256" s="307" t="s">
        <v>65</v>
      </c>
      <c r="AC256" s="308">
        <v>0.1</v>
      </c>
      <c r="AD256" s="308">
        <v>0.02</v>
      </c>
      <c r="AE256" s="304" t="s">
        <v>88</v>
      </c>
      <c r="AF256" s="309">
        <v>60000</v>
      </c>
      <c r="AG256" s="310">
        <v>10</v>
      </c>
      <c r="AH256" s="310">
        <v>10</v>
      </c>
      <c r="AI256" s="310">
        <v>10</v>
      </c>
      <c r="AJ256" s="304">
        <v>14</v>
      </c>
      <c r="AK256" s="311" t="s">
        <v>67</v>
      </c>
      <c r="AL256" s="312" t="s">
        <v>68</v>
      </c>
      <c r="AM256" s="313" t="s">
        <v>69</v>
      </c>
      <c r="AN256" s="313" t="s">
        <v>70</v>
      </c>
      <c r="AO256" s="314">
        <f t="shared" si="515"/>
        <v>0.979178240740741</v>
      </c>
      <c r="AP256" s="315">
        <f t="shared" si="516"/>
        <v>311</v>
      </c>
      <c r="AQ256" s="316" t="str">
        <f t="shared" si="517"/>
        <v>MEDIUM</v>
      </c>
    </row>
    <row r="257" ht="29.25" customHeight="1" outlineLevel="1" spans="1:43">
      <c r="B257" s="365"/>
      <c r="C257" s="293" t="str">
        <f t="shared" ref="C257:G257" si="534">TEXT(IF($B257=0," ",$B257-C$6),"hh:mm am/pm")</f>
        <v> </v>
      </c>
      <c r="D257" s="293" t="str">
        <f t="shared" si="534"/>
        <v> </v>
      </c>
      <c r="E257" s="293" t="str">
        <f t="shared" si="534"/>
        <v> </v>
      </c>
      <c r="F257" s="293" t="str">
        <f t="shared" si="534"/>
        <v> </v>
      </c>
      <c r="G257" s="293" t="str">
        <f t="shared" si="534"/>
        <v> </v>
      </c>
      <c r="H257" s="293" t="str">
        <f t="shared" ref="H257:I257" si="535">TEXT(IF($B257=0," ",$B257+H$6),"hh:mm am/pm")</f>
        <v> </v>
      </c>
      <c r="I257" s="293" t="str">
        <f t="shared" si="535"/>
        <v> </v>
      </c>
      <c r="J257" s="295"/>
      <c r="K257" s="366"/>
      <c r="L257" s="488"/>
      <c r="M257" s="489"/>
      <c r="N257" s="490"/>
      <c r="O257" s="491"/>
      <c r="P257" s="491"/>
      <c r="Q257" s="490"/>
      <c r="R257" s="490"/>
      <c r="S257" s="490"/>
      <c r="T257" s="488"/>
      <c r="U257" s="490"/>
      <c r="V257" s="490"/>
      <c r="W257" s="490"/>
      <c r="X257" s="492"/>
      <c r="Y257" s="488"/>
      <c r="Z257" s="490"/>
      <c r="AA257" s="492"/>
      <c r="AB257" s="492"/>
      <c r="AC257" s="493"/>
      <c r="AD257" s="493"/>
      <c r="AE257" s="488"/>
      <c r="AF257" s="492"/>
      <c r="AG257" s="488"/>
      <c r="AH257" s="488"/>
      <c r="AI257" s="488"/>
      <c r="AJ257" s="488"/>
      <c r="AK257" s="494"/>
      <c r="AL257" s="494"/>
      <c r="AM257" s="495"/>
      <c r="AN257" s="495"/>
      <c r="AO257" s="314" t="str">
        <f t="shared" si="515"/>
        <v> </v>
      </c>
      <c r="AP257" s="374">
        <f t="shared" si="516"/>
        <v>0</v>
      </c>
      <c r="AQ257" s="316" t="str">
        <f t="shared" si="517"/>
        <v> </v>
      </c>
    </row>
    <row r="258" ht="29.25" customHeight="1" outlineLevel="1" spans="1:43">
      <c r="A258" s="363" t="s">
        <v>294</v>
      </c>
      <c r="B258" s="317">
        <v>1.15740740740741e-5</v>
      </c>
      <c r="C258" s="293" t="e">
        <f t="shared" ref="C258:G258" si="536">TEXT(IF($B258=0," ",$B258-C$6),"hh:mm am/pm")</f>
        <v>#VALUE!</v>
      </c>
      <c r="D258" s="293" t="e">
        <f t="shared" si="536"/>
        <v>#VALUE!</v>
      </c>
      <c r="E258" s="293" t="e">
        <f t="shared" si="536"/>
        <v>#VALUE!</v>
      </c>
      <c r="F258" s="293" t="e">
        <f t="shared" si="536"/>
        <v>#VALUE!</v>
      </c>
      <c r="G258" s="293" t="e">
        <f t="shared" si="536"/>
        <v>#VALUE!</v>
      </c>
      <c r="H258" s="293" t="str">
        <f t="shared" ref="H258:I258" si="537">TEXT(IF($B258=0," ",$B258+H$6),"hh:mm am/pm")</f>
        <v>06:00 001/p1</v>
      </c>
      <c r="I258" s="293" t="str">
        <f t="shared" si="537"/>
        <v>11:00 001/p1</v>
      </c>
      <c r="J258" s="318" t="s">
        <v>309</v>
      </c>
      <c r="K258" s="295"/>
      <c r="L258" s="337" t="s">
        <v>106</v>
      </c>
      <c r="M258" s="338" t="s">
        <v>71</v>
      </c>
      <c r="N258" s="339" t="s">
        <v>57</v>
      </c>
      <c r="O258" s="340" t="s">
        <v>74</v>
      </c>
      <c r="P258" s="341" t="s">
        <v>101</v>
      </c>
      <c r="Q258" s="342">
        <v>1800</v>
      </c>
      <c r="R258" s="325" t="s">
        <v>76</v>
      </c>
      <c r="S258" s="344"/>
      <c r="T258" s="345" t="s">
        <v>61</v>
      </c>
      <c r="U258" s="339" t="s">
        <v>78</v>
      </c>
      <c r="V258" s="339">
        <v>7</v>
      </c>
      <c r="W258" s="339">
        <v>7</v>
      </c>
      <c r="X258" s="354"/>
      <c r="Y258" s="347" t="s">
        <v>79</v>
      </c>
      <c r="Z258" s="344"/>
      <c r="AA258" s="348" t="s">
        <v>64</v>
      </c>
      <c r="AB258" s="348" t="s">
        <v>65</v>
      </c>
      <c r="AC258" s="349">
        <v>0.1</v>
      </c>
      <c r="AD258" s="349">
        <v>0.02</v>
      </c>
      <c r="AE258" s="345" t="s">
        <v>88</v>
      </c>
      <c r="AF258" s="346">
        <v>50000</v>
      </c>
      <c r="AG258" s="350">
        <v>6</v>
      </c>
      <c r="AH258" s="350">
        <v>5</v>
      </c>
      <c r="AI258" s="350">
        <v>5</v>
      </c>
      <c r="AJ258" s="345">
        <v>13</v>
      </c>
      <c r="AK258" s="352" t="s">
        <v>67</v>
      </c>
      <c r="AL258" s="352" t="s">
        <v>68</v>
      </c>
      <c r="AM258" s="353" t="s">
        <v>69</v>
      </c>
      <c r="AN258" s="353" t="s">
        <v>70</v>
      </c>
      <c r="AO258" s="314">
        <f t="shared" si="515"/>
        <v>0.057650462962963</v>
      </c>
      <c r="AP258" s="315">
        <f t="shared" si="516"/>
        <v>293</v>
      </c>
      <c r="AQ258" s="316" t="str">
        <f t="shared" si="517"/>
        <v>LOW</v>
      </c>
    </row>
    <row r="259" ht="29.25" customHeight="1" outlineLevel="1" spans="1:43">
      <c r="B259" s="317">
        <v>1.15740740740741e-5</v>
      </c>
      <c r="C259" s="293" t="e">
        <f t="shared" ref="C259:G259" si="538">TEXT(IF($B259=0," ",$B259-C$6),"hh:mm am/pm")</f>
        <v>#VALUE!</v>
      </c>
      <c r="D259" s="293" t="e">
        <f t="shared" si="538"/>
        <v>#VALUE!</v>
      </c>
      <c r="E259" s="293" t="e">
        <f t="shared" si="538"/>
        <v>#VALUE!</v>
      </c>
      <c r="F259" s="293" t="e">
        <f t="shared" si="538"/>
        <v>#VALUE!</v>
      </c>
      <c r="G259" s="293" t="e">
        <f t="shared" si="538"/>
        <v>#VALUE!</v>
      </c>
      <c r="H259" s="293" t="str">
        <f t="shared" ref="H259:I259" si="539">TEXT(IF($B259=0," ",$B259+H$6),"hh:mm am/pm")</f>
        <v>06:00 001/p1</v>
      </c>
      <c r="I259" s="293" t="str">
        <f t="shared" si="539"/>
        <v>11:00 001/p1</v>
      </c>
      <c r="J259" s="294" t="s">
        <v>310</v>
      </c>
      <c r="K259" s="295"/>
      <c r="L259" s="319" t="s">
        <v>108</v>
      </c>
      <c r="M259" s="320" t="s">
        <v>71</v>
      </c>
      <c r="N259" s="321" t="s">
        <v>100</v>
      </c>
      <c r="O259" s="322" t="s">
        <v>109</v>
      </c>
      <c r="P259" s="323" t="s">
        <v>101</v>
      </c>
      <c r="Q259" s="324">
        <v>300</v>
      </c>
      <c r="R259" s="375" t="s">
        <v>60</v>
      </c>
      <c r="S259" s="326"/>
      <c r="T259" s="327" t="s">
        <v>61</v>
      </c>
      <c r="U259" s="321" t="s">
        <v>62</v>
      </c>
      <c r="V259" s="321">
        <v>2</v>
      </c>
      <c r="W259" s="321">
        <v>2</v>
      </c>
      <c r="X259" s="328"/>
      <c r="Y259" s="329" t="s">
        <v>63</v>
      </c>
      <c r="Z259" s="326"/>
      <c r="AA259" s="330" t="s">
        <v>64</v>
      </c>
      <c r="AB259" s="330" t="s">
        <v>65</v>
      </c>
      <c r="AC259" s="331">
        <v>0.1</v>
      </c>
      <c r="AD259" s="331">
        <v>0</v>
      </c>
      <c r="AE259" s="327" t="s">
        <v>88</v>
      </c>
      <c r="AF259" s="332">
        <v>60000</v>
      </c>
      <c r="AG259" s="333">
        <v>6</v>
      </c>
      <c r="AH259" s="333">
        <v>5</v>
      </c>
      <c r="AI259" s="333">
        <v>5</v>
      </c>
      <c r="AJ259" s="327">
        <v>12</v>
      </c>
      <c r="AK259" s="334" t="s">
        <v>67</v>
      </c>
      <c r="AL259" s="335" t="s">
        <v>68</v>
      </c>
      <c r="AM259" s="336" t="s">
        <v>69</v>
      </c>
      <c r="AN259" s="336" t="s">
        <v>70</v>
      </c>
      <c r="AO259" s="314">
        <f t="shared" si="515"/>
        <v>0.0534837962962963</v>
      </c>
      <c r="AP259" s="315">
        <f t="shared" si="516"/>
        <v>167</v>
      </c>
      <c r="AQ259" s="316" t="str">
        <f t="shared" si="517"/>
        <v>MICRO</v>
      </c>
    </row>
    <row r="260" ht="29.25" customHeight="1" outlineLevel="1" spans="1:43">
      <c r="B260" s="317">
        <v>0.013900462962963</v>
      </c>
      <c r="C260" s="293" t="e">
        <f t="shared" ref="C260:G260" si="540">TEXT(IF($B260=0," ",$B260-C$6),"hh:mm am/pm")</f>
        <v>#VALUE!</v>
      </c>
      <c r="D260" s="293" t="e">
        <f t="shared" si="540"/>
        <v>#VALUE!</v>
      </c>
      <c r="E260" s="293" t="e">
        <f t="shared" si="540"/>
        <v>#VALUE!</v>
      </c>
      <c r="F260" s="293" t="e">
        <f t="shared" si="540"/>
        <v>#VALUE!</v>
      </c>
      <c r="G260" s="293" t="e">
        <f t="shared" si="540"/>
        <v>#VALUE!</v>
      </c>
      <c r="H260" s="293" t="str">
        <f t="shared" ref="H260:I260" si="541">TEXT(IF($B260=0," ",$B260+H$6),"hh:mm am/pm")</f>
        <v>06:20 001/p1</v>
      </c>
      <c r="I260" s="293" t="str">
        <f t="shared" si="541"/>
        <v>11:20 001/p1</v>
      </c>
      <c r="J260" s="294" t="s">
        <v>110</v>
      </c>
      <c r="K260" s="295"/>
      <c r="L260" s="337" t="s">
        <v>111</v>
      </c>
      <c r="M260" s="338" t="s">
        <v>71</v>
      </c>
      <c r="N260" s="339" t="s">
        <v>57</v>
      </c>
      <c r="O260" s="340" t="s">
        <v>109</v>
      </c>
      <c r="P260" s="341" t="s">
        <v>75</v>
      </c>
      <c r="Q260" s="342">
        <v>120</v>
      </c>
      <c r="R260" s="343" t="s">
        <v>60</v>
      </c>
      <c r="S260" s="344"/>
      <c r="T260" s="345" t="s">
        <v>61</v>
      </c>
      <c r="U260" s="339" t="s">
        <v>62</v>
      </c>
      <c r="V260" s="339">
        <v>1</v>
      </c>
      <c r="W260" s="339">
        <v>1</v>
      </c>
      <c r="X260" s="354"/>
      <c r="Y260" s="347" t="s">
        <v>63</v>
      </c>
      <c r="Z260" s="344"/>
      <c r="AA260" s="348" t="s">
        <v>64</v>
      </c>
      <c r="AB260" s="348" t="s">
        <v>65</v>
      </c>
      <c r="AC260" s="349">
        <v>0.1</v>
      </c>
      <c r="AD260" s="349">
        <v>0</v>
      </c>
      <c r="AE260" s="345" t="s">
        <v>112</v>
      </c>
      <c r="AF260" s="346">
        <v>15000</v>
      </c>
      <c r="AG260" s="350">
        <v>6</v>
      </c>
      <c r="AH260" s="350">
        <v>5</v>
      </c>
      <c r="AI260" s="350">
        <v>5</v>
      </c>
      <c r="AJ260" s="345">
        <v>13</v>
      </c>
      <c r="AK260" s="351" t="s">
        <v>67</v>
      </c>
      <c r="AL260" s="352" t="s">
        <v>68</v>
      </c>
      <c r="AM260" s="353" t="s">
        <v>69</v>
      </c>
      <c r="AN260" s="353" t="s">
        <v>70</v>
      </c>
      <c r="AO260" s="314">
        <f t="shared" si="515"/>
        <v>0.0715393518518519</v>
      </c>
      <c r="AP260" s="315">
        <f t="shared" si="516"/>
        <v>134</v>
      </c>
      <c r="AQ260" s="316" t="str">
        <f t="shared" si="517"/>
        <v>MICRO</v>
      </c>
    </row>
    <row r="261" ht="29.25" customHeight="1" outlineLevel="1" spans="1:43">
      <c r="A261" s="363" t="s">
        <v>294</v>
      </c>
      <c r="B261" s="317">
        <v>0.0208449074074074</v>
      </c>
      <c r="C261" s="293" t="e">
        <f t="shared" ref="C261:G261" si="542">TEXT(IF($B261=0," ",$B261-C$6),"hh:mm am/pm")</f>
        <v>#VALUE!</v>
      </c>
      <c r="D261" s="293" t="e">
        <f t="shared" si="542"/>
        <v>#VALUE!</v>
      </c>
      <c r="E261" s="293" t="e">
        <f t="shared" si="542"/>
        <v>#VALUE!</v>
      </c>
      <c r="F261" s="293" t="e">
        <f t="shared" si="542"/>
        <v>#VALUE!</v>
      </c>
      <c r="G261" s="293" t="e">
        <f t="shared" si="542"/>
        <v>#VALUE!</v>
      </c>
      <c r="H261" s="293" t="str">
        <f t="shared" ref="H261:I261" si="543">TEXT(IF($B261=0," ",$B261+H$6),"hh:mm am/pm")</f>
        <v>06:30 001/p1</v>
      </c>
      <c r="I261" s="293" t="str">
        <f t="shared" si="543"/>
        <v>11:30 001/p1</v>
      </c>
      <c r="J261" s="294" t="s">
        <v>311</v>
      </c>
      <c r="K261" s="295"/>
      <c r="L261" s="319" t="s">
        <v>259</v>
      </c>
      <c r="M261" s="320" t="s">
        <v>71</v>
      </c>
      <c r="N261" s="321" t="s">
        <v>57</v>
      </c>
      <c r="O261" s="322" t="s">
        <v>74</v>
      </c>
      <c r="P261" s="323" t="s">
        <v>75</v>
      </c>
      <c r="Q261" s="324">
        <v>700</v>
      </c>
      <c r="R261" s="375" t="s">
        <v>60</v>
      </c>
      <c r="S261" s="326"/>
      <c r="T261" s="327" t="s">
        <v>77</v>
      </c>
      <c r="U261" s="321" t="s">
        <v>78</v>
      </c>
      <c r="V261" s="321">
        <v>1.2</v>
      </c>
      <c r="W261" s="321">
        <v>1.2</v>
      </c>
      <c r="X261" s="328"/>
      <c r="Y261" s="329" t="s">
        <v>79</v>
      </c>
      <c r="Z261" s="321">
        <v>1.2</v>
      </c>
      <c r="AA261" s="330">
        <v>70000</v>
      </c>
      <c r="AB261" s="330" t="s">
        <v>65</v>
      </c>
      <c r="AC261" s="331">
        <v>0.1</v>
      </c>
      <c r="AD261" s="331">
        <v>0.02</v>
      </c>
      <c r="AE261" s="330" t="s">
        <v>66</v>
      </c>
      <c r="AF261" s="332">
        <v>30000</v>
      </c>
      <c r="AG261" s="333">
        <v>5</v>
      </c>
      <c r="AH261" s="333">
        <v>5</v>
      </c>
      <c r="AI261" s="333">
        <v>5</v>
      </c>
      <c r="AJ261" s="327">
        <v>13</v>
      </c>
      <c r="AK261" s="334" t="s">
        <v>67</v>
      </c>
      <c r="AL261" s="335" t="s">
        <v>68</v>
      </c>
      <c r="AM261" s="336" t="s">
        <v>69</v>
      </c>
      <c r="AN261" s="336" t="s">
        <v>70</v>
      </c>
      <c r="AO261" s="314">
        <f t="shared" si="515"/>
        <v>0.0694560185185185</v>
      </c>
      <c r="AP261" s="315">
        <f t="shared" si="516"/>
        <v>663</v>
      </c>
      <c r="AQ261" s="316" t="str">
        <f t="shared" si="517"/>
        <v>MICRO</v>
      </c>
    </row>
    <row r="262" ht="29.25" customHeight="1" outlineLevel="1" spans="1:43">
      <c r="B262" s="317">
        <v>0.0208449074074074</v>
      </c>
      <c r="C262" s="293" t="e">
        <f t="shared" ref="C262:G262" si="544">TEXT(IF($B262=0," ",$B262-C$6),"hh:mm am/pm")</f>
        <v>#VALUE!</v>
      </c>
      <c r="D262" s="293" t="e">
        <f t="shared" si="544"/>
        <v>#VALUE!</v>
      </c>
      <c r="E262" s="293" t="e">
        <f t="shared" si="544"/>
        <v>#VALUE!</v>
      </c>
      <c r="F262" s="293" t="e">
        <f t="shared" si="544"/>
        <v>#VALUE!</v>
      </c>
      <c r="G262" s="293" t="e">
        <f t="shared" si="544"/>
        <v>#VALUE!</v>
      </c>
      <c r="H262" s="293" t="str">
        <f t="shared" ref="H262:I262" si="545">TEXT(IF($B262=0," ",$B262+H$6),"hh:mm am/pm")</f>
        <v>06:30 001/p1</v>
      </c>
      <c r="I262" s="293" t="str">
        <f t="shared" si="545"/>
        <v>11:30 001/p1</v>
      </c>
      <c r="J262" s="294" t="s">
        <v>312</v>
      </c>
      <c r="K262" s="295"/>
      <c r="L262" s="337" t="s">
        <v>117</v>
      </c>
      <c r="M262" s="338" t="s">
        <v>71</v>
      </c>
      <c r="N262" s="339" t="s">
        <v>100</v>
      </c>
      <c r="O262" s="340" t="s">
        <v>74</v>
      </c>
      <c r="P262" s="341" t="s">
        <v>101</v>
      </c>
      <c r="Q262" s="342">
        <v>200</v>
      </c>
      <c r="R262" s="343" t="s">
        <v>60</v>
      </c>
      <c r="S262" s="344"/>
      <c r="T262" s="345" t="s">
        <v>61</v>
      </c>
      <c r="U262" s="339" t="s">
        <v>62</v>
      </c>
      <c r="V262" s="339">
        <v>1</v>
      </c>
      <c r="W262" s="339">
        <v>1</v>
      </c>
      <c r="X262" s="354"/>
      <c r="Y262" s="347" t="s">
        <v>79</v>
      </c>
      <c r="Z262" s="339">
        <v>1</v>
      </c>
      <c r="AA262" s="348">
        <v>80000</v>
      </c>
      <c r="AB262" s="348" t="s">
        <v>65</v>
      </c>
      <c r="AC262" s="349">
        <v>0.1</v>
      </c>
      <c r="AD262" s="349">
        <v>0.02</v>
      </c>
      <c r="AE262" s="348" t="s">
        <v>88</v>
      </c>
      <c r="AF262" s="346">
        <v>30000</v>
      </c>
      <c r="AG262" s="350">
        <v>6</v>
      </c>
      <c r="AH262" s="350">
        <v>6</v>
      </c>
      <c r="AI262" s="350">
        <v>6</v>
      </c>
      <c r="AJ262" s="345">
        <v>12</v>
      </c>
      <c r="AK262" s="351" t="s">
        <v>67</v>
      </c>
      <c r="AL262" s="352" t="s">
        <v>68</v>
      </c>
      <c r="AM262" s="353" t="s">
        <v>69</v>
      </c>
      <c r="AN262" s="353" t="s">
        <v>70</v>
      </c>
      <c r="AO262" s="314">
        <f t="shared" si="515"/>
        <v>0.0743171296296296</v>
      </c>
      <c r="AP262" s="315">
        <f t="shared" si="516"/>
        <v>228</v>
      </c>
      <c r="AQ262" s="316" t="str">
        <f t="shared" si="517"/>
        <v>MICRO</v>
      </c>
    </row>
    <row r="263" ht="29.25" customHeight="1" outlineLevel="1" spans="1:43">
      <c r="B263" s="317">
        <v>0.0416782407407407</v>
      </c>
      <c r="C263" s="293" t="e">
        <f t="shared" ref="C263:G263" si="546">TEXT(IF($B263=0," ",$B263-C$6),"hh:mm am/pm")</f>
        <v>#VALUE!</v>
      </c>
      <c r="D263" s="293" t="e">
        <f t="shared" si="546"/>
        <v>#VALUE!</v>
      </c>
      <c r="E263" s="293" t="e">
        <f t="shared" si="546"/>
        <v>#VALUE!</v>
      </c>
      <c r="F263" s="293" t="e">
        <f t="shared" si="546"/>
        <v>#VALUE!</v>
      </c>
      <c r="G263" s="293" t="str">
        <f t="shared" si="546"/>
        <v>00:00 001/p1</v>
      </c>
      <c r="H263" s="293" t="str">
        <f t="shared" ref="H263:I263" si="547">TEXT(IF($B263=0," ",$B263+H$6),"hh:mm am/pm")</f>
        <v>07:00 001/p1</v>
      </c>
      <c r="I263" s="293" t="str">
        <f t="shared" si="547"/>
        <v>12:00 001/p1</v>
      </c>
      <c r="J263" s="294" t="s">
        <v>313</v>
      </c>
      <c r="K263" s="295"/>
      <c r="L263" s="319" t="s">
        <v>119</v>
      </c>
      <c r="M263" s="320" t="s">
        <v>71</v>
      </c>
      <c r="N263" s="321" t="s">
        <v>57</v>
      </c>
      <c r="O263" s="322" t="s">
        <v>74</v>
      </c>
      <c r="P263" s="323" t="s">
        <v>101</v>
      </c>
      <c r="Q263" s="324">
        <v>1700</v>
      </c>
      <c r="R263" s="375" t="s">
        <v>60</v>
      </c>
      <c r="S263" s="326"/>
      <c r="T263" s="327" t="s">
        <v>77</v>
      </c>
      <c r="U263" s="321" t="s">
        <v>78</v>
      </c>
      <c r="V263" s="321">
        <v>3</v>
      </c>
      <c r="W263" s="321">
        <v>3</v>
      </c>
      <c r="X263" s="328"/>
      <c r="Y263" s="329" t="s">
        <v>79</v>
      </c>
      <c r="Z263" s="321">
        <v>3</v>
      </c>
      <c r="AA263" s="330">
        <v>120000</v>
      </c>
      <c r="AB263" s="330" t="s">
        <v>65</v>
      </c>
      <c r="AC263" s="331">
        <v>0.1</v>
      </c>
      <c r="AD263" s="331">
        <v>0.02</v>
      </c>
      <c r="AE263" s="330" t="s">
        <v>88</v>
      </c>
      <c r="AF263" s="332">
        <v>40000</v>
      </c>
      <c r="AG263" s="333">
        <v>6</v>
      </c>
      <c r="AH263" s="333">
        <v>5</v>
      </c>
      <c r="AI263" s="333">
        <v>5</v>
      </c>
      <c r="AJ263" s="327">
        <v>13</v>
      </c>
      <c r="AK263" s="334" t="s">
        <v>67</v>
      </c>
      <c r="AL263" s="335" t="s">
        <v>68</v>
      </c>
      <c r="AM263" s="336" t="s">
        <v>69</v>
      </c>
      <c r="AN263" s="336" t="s">
        <v>70</v>
      </c>
      <c r="AO263" s="314">
        <f t="shared" si="515"/>
        <v>0.0993171296296296</v>
      </c>
      <c r="AP263" s="315">
        <f t="shared" si="516"/>
        <v>644</v>
      </c>
      <c r="AQ263" s="316" t="str">
        <f t="shared" si="517"/>
        <v>MICRO</v>
      </c>
    </row>
    <row r="264" ht="29.25" customHeight="1" outlineLevel="1" spans="1:43">
      <c r="A264" s="363" t="s">
        <v>294</v>
      </c>
      <c r="B264" s="317">
        <v>0.0416782407407407</v>
      </c>
      <c r="C264" s="293" t="e">
        <f t="shared" ref="C264:G264" si="548">TEXT(IF($B264=0," ",$B264-C$6),"hh:mm am/pm")</f>
        <v>#VALUE!</v>
      </c>
      <c r="D264" s="293" t="e">
        <f t="shared" si="548"/>
        <v>#VALUE!</v>
      </c>
      <c r="E264" s="293" t="e">
        <f t="shared" si="548"/>
        <v>#VALUE!</v>
      </c>
      <c r="F264" s="293" t="e">
        <f t="shared" si="548"/>
        <v>#VALUE!</v>
      </c>
      <c r="G264" s="293" t="str">
        <f t="shared" si="548"/>
        <v>00:00 001/p1</v>
      </c>
      <c r="H264" s="293" t="str">
        <f t="shared" ref="H264:I264" si="549">TEXT(IF($B264=0," ",$B264+H$6),"hh:mm am/pm")</f>
        <v>07:00 001/p1</v>
      </c>
      <c r="I264" s="293" t="str">
        <f t="shared" si="549"/>
        <v>12:00 001/p1</v>
      </c>
      <c r="J264" s="294" t="s">
        <v>252</v>
      </c>
      <c r="K264" s="295"/>
      <c r="L264" s="337" t="s">
        <v>121</v>
      </c>
      <c r="M264" s="338" t="s">
        <v>71</v>
      </c>
      <c r="N264" s="339" t="s">
        <v>122</v>
      </c>
      <c r="O264" s="340" t="s">
        <v>109</v>
      </c>
      <c r="P264" s="341" t="s">
        <v>101</v>
      </c>
      <c r="Q264" s="342">
        <v>400</v>
      </c>
      <c r="R264" s="343" t="s">
        <v>60</v>
      </c>
      <c r="S264" s="344"/>
      <c r="T264" s="345" t="s">
        <v>61</v>
      </c>
      <c r="U264" s="339" t="s">
        <v>62</v>
      </c>
      <c r="V264" s="339">
        <v>10</v>
      </c>
      <c r="W264" s="339">
        <v>10</v>
      </c>
      <c r="X264" s="354"/>
      <c r="Y264" s="347" t="s">
        <v>63</v>
      </c>
      <c r="Z264" s="344"/>
      <c r="AA264" s="348" t="s">
        <v>64</v>
      </c>
      <c r="AB264" s="348" t="s">
        <v>65</v>
      </c>
      <c r="AC264" s="349">
        <v>0.1</v>
      </c>
      <c r="AD264" s="349">
        <v>0.02</v>
      </c>
      <c r="AE264" s="348" t="s">
        <v>66</v>
      </c>
      <c r="AF264" s="346">
        <v>50000</v>
      </c>
      <c r="AG264" s="350">
        <v>6</v>
      </c>
      <c r="AH264" s="350">
        <v>6</v>
      </c>
      <c r="AI264" s="350">
        <v>6</v>
      </c>
      <c r="AJ264" s="345">
        <v>15</v>
      </c>
      <c r="AK264" s="351" t="s">
        <v>67</v>
      </c>
      <c r="AL264" s="352" t="s">
        <v>68</v>
      </c>
      <c r="AM264" s="353" t="s">
        <v>69</v>
      </c>
      <c r="AN264" s="353" t="s">
        <v>70</v>
      </c>
      <c r="AO264" s="314">
        <f t="shared" si="515"/>
        <v>0.107650462962963</v>
      </c>
      <c r="AP264" s="315">
        <f t="shared" si="516"/>
        <v>46</v>
      </c>
      <c r="AQ264" s="316" t="str">
        <f t="shared" si="517"/>
        <v>LOW</v>
      </c>
    </row>
    <row r="265" ht="29.25" customHeight="1" outlineLevel="1" spans="1:43">
      <c r="B265" s="317">
        <v>0.0625115740740741</v>
      </c>
      <c r="C265" s="293" t="e">
        <f t="shared" ref="C265:G265" si="550">TEXT(IF($B265=0," ",$B265-C$6),"hh:mm am/pm")</f>
        <v>#VALUE!</v>
      </c>
      <c r="D265" s="293" t="e">
        <f t="shared" si="550"/>
        <v>#VALUE!</v>
      </c>
      <c r="E265" s="293" t="e">
        <f t="shared" si="550"/>
        <v>#VALUE!</v>
      </c>
      <c r="F265" s="293" t="e">
        <f t="shared" si="550"/>
        <v>#VALUE!</v>
      </c>
      <c r="G265" s="293" t="str">
        <f t="shared" si="550"/>
        <v>00:30 001/p1</v>
      </c>
      <c r="H265" s="293" t="str">
        <f t="shared" ref="H265:I265" si="551">TEXT(IF($B265=0," ",$B265+H$6),"hh:mm am/pm")</f>
        <v>07:30 001/p1</v>
      </c>
      <c r="I265" s="293" t="str">
        <f t="shared" si="551"/>
        <v>12:30 001/p1</v>
      </c>
      <c r="J265" s="294" t="s">
        <v>123</v>
      </c>
      <c r="K265" s="295"/>
      <c r="L265" s="319" t="s">
        <v>124</v>
      </c>
      <c r="M265" s="320" t="s">
        <v>71</v>
      </c>
      <c r="N265" s="321" t="s">
        <v>100</v>
      </c>
      <c r="O265" s="322" t="s">
        <v>82</v>
      </c>
      <c r="P265" s="323" t="s">
        <v>101</v>
      </c>
      <c r="Q265" s="324">
        <v>100</v>
      </c>
      <c r="R265" s="375" t="s">
        <v>60</v>
      </c>
      <c r="S265" s="326"/>
      <c r="T265" s="327" t="s">
        <v>61</v>
      </c>
      <c r="U265" s="321" t="s">
        <v>62</v>
      </c>
      <c r="V265" s="321">
        <v>0.6</v>
      </c>
      <c r="W265" s="321">
        <v>0.6</v>
      </c>
      <c r="X265" s="328"/>
      <c r="Y265" s="329" t="s">
        <v>63</v>
      </c>
      <c r="Z265" s="326"/>
      <c r="AA265" s="330" t="s">
        <v>64</v>
      </c>
      <c r="AB265" s="330" t="s">
        <v>65</v>
      </c>
      <c r="AC265" s="331">
        <v>0.1</v>
      </c>
      <c r="AD265" s="331">
        <v>0</v>
      </c>
      <c r="AE265" s="330" t="s">
        <v>66</v>
      </c>
      <c r="AF265" s="332">
        <v>30000</v>
      </c>
      <c r="AG265" s="333">
        <v>5</v>
      </c>
      <c r="AH265" s="333">
        <v>5</v>
      </c>
      <c r="AI265" s="333">
        <v>5</v>
      </c>
      <c r="AJ265" s="327">
        <v>13</v>
      </c>
      <c r="AK265" s="334" t="s">
        <v>67</v>
      </c>
      <c r="AL265" s="335" t="s">
        <v>68</v>
      </c>
      <c r="AM265" s="336" t="s">
        <v>69</v>
      </c>
      <c r="AN265" s="336" t="s">
        <v>70</v>
      </c>
      <c r="AO265" s="314">
        <f t="shared" si="515"/>
        <v>0.111122685185185</v>
      </c>
      <c r="AP265" s="315">
        <f t="shared" si="516"/>
        <v>186</v>
      </c>
      <c r="AQ265" s="316" t="str">
        <f t="shared" si="517"/>
        <v>MICRO</v>
      </c>
    </row>
    <row r="266" ht="29.25" customHeight="1" outlineLevel="1" spans="1:43">
      <c r="B266" s="317">
        <v>0.0833449074074074</v>
      </c>
      <c r="C266" s="293" t="str">
        <f t="shared" ref="C266:G266" si="552">TEXT(IF($B266=0," ",$B266-C$6),"hh:mm am/pm")</f>
        <v>00:00 001/p1</v>
      </c>
      <c r="D266" s="293" t="e">
        <f t="shared" si="552"/>
        <v>#VALUE!</v>
      </c>
      <c r="E266" s="293" t="e">
        <f t="shared" si="552"/>
        <v>#VALUE!</v>
      </c>
      <c r="F266" s="293" t="str">
        <f t="shared" si="552"/>
        <v>00:00 001/p1</v>
      </c>
      <c r="G266" s="293" t="str">
        <f t="shared" si="552"/>
        <v>01:00 001/p1</v>
      </c>
      <c r="H266" s="293" t="str">
        <f t="shared" ref="H266:I266" si="553">TEXT(IF($B266=0," ",$B266+H$6),"hh:mm am/pm")</f>
        <v>08:00 001/p1</v>
      </c>
      <c r="I266" s="293" t="str">
        <f t="shared" si="553"/>
        <v>13:00 001/p1</v>
      </c>
      <c r="J266" s="294" t="s">
        <v>125</v>
      </c>
      <c r="K266" s="295"/>
      <c r="L266" s="337" t="s">
        <v>126</v>
      </c>
      <c r="M266" s="338" t="s">
        <v>71</v>
      </c>
      <c r="N266" s="339" t="s">
        <v>57</v>
      </c>
      <c r="O266" s="340" t="s">
        <v>82</v>
      </c>
      <c r="P266" s="341" t="s">
        <v>59</v>
      </c>
      <c r="Q266" s="342">
        <v>1000</v>
      </c>
      <c r="R266" s="343" t="s">
        <v>60</v>
      </c>
      <c r="S266" s="344"/>
      <c r="T266" s="345" t="s">
        <v>61</v>
      </c>
      <c r="U266" s="339" t="s">
        <v>62</v>
      </c>
      <c r="V266" s="339">
        <v>7</v>
      </c>
      <c r="W266" s="339">
        <v>7</v>
      </c>
      <c r="X266" s="354"/>
      <c r="Y266" s="347" t="s">
        <v>63</v>
      </c>
      <c r="Z266" s="344"/>
      <c r="AA266" s="348" t="s">
        <v>64</v>
      </c>
      <c r="AB266" s="348" t="s">
        <v>65</v>
      </c>
      <c r="AC266" s="349">
        <v>0.1</v>
      </c>
      <c r="AD266" s="349">
        <v>0.02</v>
      </c>
      <c r="AE266" s="348" t="s">
        <v>88</v>
      </c>
      <c r="AF266" s="346">
        <v>40000</v>
      </c>
      <c r="AG266" s="350">
        <v>6</v>
      </c>
      <c r="AH266" s="350">
        <v>5</v>
      </c>
      <c r="AI266" s="350">
        <v>5</v>
      </c>
      <c r="AJ266" s="345">
        <v>13</v>
      </c>
      <c r="AK266" s="351" t="s">
        <v>67</v>
      </c>
      <c r="AL266" s="352" t="s">
        <v>68</v>
      </c>
      <c r="AM266" s="353" t="s">
        <v>69</v>
      </c>
      <c r="AN266" s="353" t="s">
        <v>70</v>
      </c>
      <c r="AO266" s="314">
        <f t="shared" si="515"/>
        <v>0.140983796296296</v>
      </c>
      <c r="AP266" s="315">
        <f t="shared" si="516"/>
        <v>163</v>
      </c>
      <c r="AQ266" s="316" t="str">
        <f t="shared" si="517"/>
        <v>LOW</v>
      </c>
    </row>
    <row r="267" ht="29.25" customHeight="1" outlineLevel="1" spans="1:43">
      <c r="A267" s="363" t="s">
        <v>294</v>
      </c>
      <c r="B267" s="317">
        <v>0.104178240740741</v>
      </c>
      <c r="C267" s="293" t="str">
        <f t="shared" ref="C267:G267" si="554">TEXT(IF($B267=0," ",$B267-C$6),"hh:mm am/pm")</f>
        <v>00:30 001/p1</v>
      </c>
      <c r="D267" s="293" t="e">
        <f t="shared" si="554"/>
        <v>#VALUE!</v>
      </c>
      <c r="E267" s="293" t="e">
        <f t="shared" si="554"/>
        <v>#VALUE!</v>
      </c>
      <c r="F267" s="293" t="str">
        <f t="shared" si="554"/>
        <v>00:30 001/p1</v>
      </c>
      <c r="G267" s="293" t="str">
        <f t="shared" si="554"/>
        <v>01:30 001/p1</v>
      </c>
      <c r="H267" s="293" t="str">
        <f t="shared" ref="H267:I267" si="555">TEXT(IF($B267=0," ",$B267+H$6),"hh:mm am/pm")</f>
        <v>08:30 001/p1</v>
      </c>
      <c r="I267" s="293" t="str">
        <f t="shared" si="555"/>
        <v>13:30 001/p1</v>
      </c>
      <c r="J267" s="318" t="s">
        <v>314</v>
      </c>
      <c r="K267" s="295"/>
      <c r="L267" s="319" t="s">
        <v>315</v>
      </c>
      <c r="M267" s="320" t="s">
        <v>71</v>
      </c>
      <c r="N267" s="321" t="s">
        <v>57</v>
      </c>
      <c r="O267" s="322" t="s">
        <v>74</v>
      </c>
      <c r="P267" s="323" t="s">
        <v>101</v>
      </c>
      <c r="Q267" s="324">
        <v>330</v>
      </c>
      <c r="R267" s="377" t="s">
        <v>181</v>
      </c>
      <c r="S267" s="326"/>
      <c r="T267" s="327" t="s">
        <v>115</v>
      </c>
      <c r="U267" s="321" t="s">
        <v>62</v>
      </c>
      <c r="V267" s="321">
        <v>0.6</v>
      </c>
      <c r="W267" s="321">
        <v>0.6</v>
      </c>
      <c r="X267" s="328"/>
      <c r="Y267" s="329" t="s">
        <v>79</v>
      </c>
      <c r="Z267" s="321">
        <v>0.8</v>
      </c>
      <c r="AA267" s="330">
        <v>100000</v>
      </c>
      <c r="AB267" s="330" t="s">
        <v>65</v>
      </c>
      <c r="AC267" s="331">
        <v>0.1</v>
      </c>
      <c r="AD267" s="331">
        <v>0</v>
      </c>
      <c r="AE267" s="330" t="s">
        <v>88</v>
      </c>
      <c r="AF267" s="332">
        <v>50000</v>
      </c>
      <c r="AG267" s="333">
        <v>5</v>
      </c>
      <c r="AH267" s="333">
        <v>5</v>
      </c>
      <c r="AI267" s="333">
        <v>5</v>
      </c>
      <c r="AJ267" s="327">
        <v>13</v>
      </c>
      <c r="AK267" s="334" t="s">
        <v>67</v>
      </c>
      <c r="AL267" s="335" t="s">
        <v>68</v>
      </c>
      <c r="AM267" s="336" t="s">
        <v>69</v>
      </c>
      <c r="AN267" s="336" t="s">
        <v>70</v>
      </c>
      <c r="AO267" s="314">
        <f t="shared" si="515"/>
        <v>0.152789351851852</v>
      </c>
      <c r="AP267" s="315">
        <f t="shared" si="516"/>
        <v>612</v>
      </c>
      <c r="AQ267" s="316" t="str">
        <f t="shared" si="517"/>
        <v>MICRO</v>
      </c>
    </row>
    <row r="268" ht="29.25" customHeight="1" outlineLevel="1" spans="1:43">
      <c r="B268" s="364">
        <v>0.131956018518519</v>
      </c>
      <c r="C268" s="293" t="str">
        <f t="shared" ref="C268:G268" si="556">TEXT(IF($B268=0," ",$B268-C$6),"hh:mm am/pm")</f>
        <v>01:10 001/p1</v>
      </c>
      <c r="D268" s="293" t="e">
        <f t="shared" si="556"/>
        <v>#VALUE!</v>
      </c>
      <c r="E268" s="293" t="str">
        <f t="shared" si="556"/>
        <v>00:10 001/p1</v>
      </c>
      <c r="F268" s="293" t="str">
        <f t="shared" si="556"/>
        <v>01:10 001/p1</v>
      </c>
      <c r="G268" s="293" t="str">
        <f t="shared" si="556"/>
        <v>02:10 001/p1</v>
      </c>
      <c r="H268" s="293" t="str">
        <f t="shared" ref="H268:I268" si="557">TEXT(IF($B268=0," ",$B268+H$6),"hh:mm am/pm")</f>
        <v>09:10 001/p1</v>
      </c>
      <c r="I268" s="293" t="str">
        <f t="shared" si="557"/>
        <v>14:10 001/p1</v>
      </c>
      <c r="J268" s="294" t="s">
        <v>128</v>
      </c>
      <c r="K268" s="295"/>
      <c r="L268" s="337" t="s">
        <v>129</v>
      </c>
      <c r="M268" s="338" t="s">
        <v>71</v>
      </c>
      <c r="N268" s="339" t="s">
        <v>100</v>
      </c>
      <c r="O268" s="340" t="s">
        <v>74</v>
      </c>
      <c r="P268" s="341" t="s">
        <v>101</v>
      </c>
      <c r="Q268" s="342">
        <v>160</v>
      </c>
      <c r="R268" s="343" t="s">
        <v>60</v>
      </c>
      <c r="S268" s="344"/>
      <c r="T268" s="345" t="s">
        <v>61</v>
      </c>
      <c r="U268" s="339" t="s">
        <v>62</v>
      </c>
      <c r="V268" s="339">
        <v>2</v>
      </c>
      <c r="W268" s="339">
        <v>2</v>
      </c>
      <c r="X268" s="354"/>
      <c r="Y268" s="347" t="s">
        <v>79</v>
      </c>
      <c r="Z268" s="339">
        <v>2</v>
      </c>
      <c r="AA268" s="348">
        <v>90000</v>
      </c>
      <c r="AB268" s="348" t="s">
        <v>65</v>
      </c>
      <c r="AC268" s="349">
        <v>0.1</v>
      </c>
      <c r="AD268" s="349">
        <v>0</v>
      </c>
      <c r="AE268" s="348" t="s">
        <v>88</v>
      </c>
      <c r="AF268" s="346">
        <v>30000</v>
      </c>
      <c r="AG268" s="350">
        <v>5</v>
      </c>
      <c r="AH268" s="350">
        <v>5</v>
      </c>
      <c r="AI268" s="350">
        <v>5</v>
      </c>
      <c r="AJ268" s="345">
        <v>12</v>
      </c>
      <c r="AK268" s="351" t="s">
        <v>67</v>
      </c>
      <c r="AL268" s="352" t="s">
        <v>68</v>
      </c>
      <c r="AM268" s="353" t="s">
        <v>69</v>
      </c>
      <c r="AN268" s="353" t="s">
        <v>70</v>
      </c>
      <c r="AO268" s="314">
        <f t="shared" si="515"/>
        <v>0.177094907407407</v>
      </c>
      <c r="AP268" s="315">
        <f t="shared" si="516"/>
        <v>89</v>
      </c>
      <c r="AQ268" s="316" t="str">
        <f t="shared" si="517"/>
        <v>MICRO</v>
      </c>
    </row>
    <row r="269" ht="29.25" customHeight="1" outlineLevel="1" spans="1:43">
      <c r="B269" s="317">
        <v>0.131956018518519</v>
      </c>
      <c r="C269" s="293" t="str">
        <f t="shared" ref="C269:G269" si="558">TEXT(IF($B269=0," ",$B269-C$6),"hh:mm am/pm")</f>
        <v>01:10 001/p1</v>
      </c>
      <c r="D269" s="293" t="e">
        <f t="shared" si="558"/>
        <v>#VALUE!</v>
      </c>
      <c r="E269" s="293" t="str">
        <f t="shared" si="558"/>
        <v>00:10 001/p1</v>
      </c>
      <c r="F269" s="293" t="str">
        <f t="shared" si="558"/>
        <v>01:10 001/p1</v>
      </c>
      <c r="G269" s="293" t="str">
        <f t="shared" si="558"/>
        <v>02:10 001/p1</v>
      </c>
      <c r="H269" s="293" t="str">
        <f t="shared" ref="H269:I269" si="559">TEXT(IF($B269=0," ",$B269+H$6),"hh:mm am/pm")</f>
        <v>09:10 001/p1</v>
      </c>
      <c r="I269" s="293" t="str">
        <f t="shared" si="559"/>
        <v>14:10 001/p1</v>
      </c>
      <c r="J269" s="294" t="s">
        <v>316</v>
      </c>
      <c r="K269" s="295"/>
      <c r="L269" s="319" t="s">
        <v>126</v>
      </c>
      <c r="M269" s="320" t="s">
        <v>71</v>
      </c>
      <c r="N269" s="321" t="s">
        <v>57</v>
      </c>
      <c r="O269" s="322" t="s">
        <v>82</v>
      </c>
      <c r="P269" s="323" t="s">
        <v>59</v>
      </c>
      <c r="Q269" s="324">
        <v>300</v>
      </c>
      <c r="R269" s="375" t="s">
        <v>60</v>
      </c>
      <c r="S269" s="326"/>
      <c r="T269" s="327" t="s">
        <v>61</v>
      </c>
      <c r="U269" s="321" t="s">
        <v>62</v>
      </c>
      <c r="V269" s="321">
        <v>5</v>
      </c>
      <c r="W269" s="321">
        <v>5</v>
      </c>
      <c r="X269" s="328"/>
      <c r="Y269" s="329" t="s">
        <v>63</v>
      </c>
      <c r="Z269" s="326"/>
      <c r="AA269" s="330" t="s">
        <v>64</v>
      </c>
      <c r="AB269" s="330" t="s">
        <v>65</v>
      </c>
      <c r="AC269" s="331">
        <v>0.1</v>
      </c>
      <c r="AD269" s="331">
        <v>0.02</v>
      </c>
      <c r="AE269" s="330" t="s">
        <v>88</v>
      </c>
      <c r="AF269" s="332">
        <v>30000</v>
      </c>
      <c r="AG269" s="333">
        <v>5</v>
      </c>
      <c r="AH269" s="333">
        <v>5</v>
      </c>
      <c r="AI269" s="333">
        <v>5</v>
      </c>
      <c r="AJ269" s="327">
        <v>12</v>
      </c>
      <c r="AK269" s="334" t="s">
        <v>67</v>
      </c>
      <c r="AL269" s="335" t="s">
        <v>68</v>
      </c>
      <c r="AM269" s="336" t="s">
        <v>69</v>
      </c>
      <c r="AN269" s="336" t="s">
        <v>70</v>
      </c>
      <c r="AO269" s="314">
        <f t="shared" si="515"/>
        <v>0.177094907407407</v>
      </c>
      <c r="AP269" s="315">
        <f t="shared" si="516"/>
        <v>69</v>
      </c>
      <c r="AQ269" s="316" t="str">
        <f t="shared" si="517"/>
        <v>MICRO</v>
      </c>
    </row>
    <row r="270" ht="29.25" customHeight="1" outlineLevel="1" spans="1:43">
      <c r="A270" s="363" t="s">
        <v>294</v>
      </c>
      <c r="B270" s="317">
        <v>0.173622685185185</v>
      </c>
      <c r="C270" s="293" t="str">
        <f t="shared" ref="C270:G270" si="560">TEXT(IF($B270=0," ",$B270-C$6),"hh:mm am/pm")</f>
        <v>02:10 001/p1</v>
      </c>
      <c r="D270" s="293" t="str">
        <f t="shared" si="560"/>
        <v>00:10 001/p1</v>
      </c>
      <c r="E270" s="293" t="str">
        <f t="shared" si="560"/>
        <v>01:10 001/p1</v>
      </c>
      <c r="F270" s="293" t="str">
        <f t="shared" si="560"/>
        <v>02:10 001/p1</v>
      </c>
      <c r="G270" s="293" t="str">
        <f t="shared" si="560"/>
        <v>03:10 001/p1</v>
      </c>
      <c r="H270" s="293" t="str">
        <f t="shared" ref="H270:I270" si="561">TEXT(IF($B270=0," ",$B270+H$6),"hh:mm am/pm")</f>
        <v>10:10 001/p1</v>
      </c>
      <c r="I270" s="293" t="str">
        <f t="shared" si="561"/>
        <v>15:10 001/p1</v>
      </c>
      <c r="J270" s="294" t="s">
        <v>317</v>
      </c>
      <c r="K270" s="295"/>
      <c r="L270" s="337" t="s">
        <v>119</v>
      </c>
      <c r="M270" s="338" t="s">
        <v>71</v>
      </c>
      <c r="N270" s="339" t="s">
        <v>57</v>
      </c>
      <c r="O270" s="340" t="s">
        <v>74</v>
      </c>
      <c r="P270" s="341" t="s">
        <v>59</v>
      </c>
      <c r="Q270" s="342">
        <v>300</v>
      </c>
      <c r="R270" s="343" t="s">
        <v>60</v>
      </c>
      <c r="S270" s="344"/>
      <c r="T270" s="345" t="s">
        <v>115</v>
      </c>
      <c r="U270" s="339" t="s">
        <v>62</v>
      </c>
      <c r="V270" s="339">
        <v>2</v>
      </c>
      <c r="W270" s="339">
        <v>2</v>
      </c>
      <c r="X270" s="354"/>
      <c r="Y270" s="347" t="s">
        <v>79</v>
      </c>
      <c r="Z270" s="339">
        <v>2</v>
      </c>
      <c r="AA270" s="348">
        <v>90000</v>
      </c>
      <c r="AB270" s="348" t="s">
        <v>65</v>
      </c>
      <c r="AC270" s="349">
        <v>0.1</v>
      </c>
      <c r="AD270" s="349">
        <v>0.02</v>
      </c>
      <c r="AE270" s="348" t="s">
        <v>88</v>
      </c>
      <c r="AF270" s="346">
        <v>30000</v>
      </c>
      <c r="AG270" s="350">
        <v>5</v>
      </c>
      <c r="AH270" s="350">
        <v>5</v>
      </c>
      <c r="AI270" s="350">
        <v>5</v>
      </c>
      <c r="AJ270" s="345">
        <v>12</v>
      </c>
      <c r="AK270" s="351" t="s">
        <v>67</v>
      </c>
      <c r="AL270" s="352" t="s">
        <v>68</v>
      </c>
      <c r="AM270" s="353" t="s">
        <v>69</v>
      </c>
      <c r="AN270" s="353" t="s">
        <v>70</v>
      </c>
      <c r="AO270" s="314">
        <f t="shared" si="515"/>
        <v>0.218761574074074</v>
      </c>
      <c r="AP270" s="315">
        <f t="shared" si="516"/>
        <v>171</v>
      </c>
      <c r="AQ270" s="316" t="str">
        <f t="shared" si="517"/>
        <v>MICRO</v>
      </c>
    </row>
    <row r="271" ht="29.25" customHeight="1" outlineLevel="1" spans="1:43">
      <c r="B271" s="317">
        <v>0.208344907407407</v>
      </c>
      <c r="C271" s="293" t="str">
        <f t="shared" ref="C271:G271" si="562">TEXT(IF($B271=0," ",$B271-C$6),"hh:mm am/pm")</f>
        <v>03:00 001/p1</v>
      </c>
      <c r="D271" s="293" t="str">
        <f t="shared" si="562"/>
        <v>01:00 001/p1</v>
      </c>
      <c r="E271" s="293" t="str">
        <f t="shared" si="562"/>
        <v>02:00 001/p1</v>
      </c>
      <c r="F271" s="293" t="str">
        <f t="shared" si="562"/>
        <v>03:00 001/p1</v>
      </c>
      <c r="G271" s="293" t="str">
        <f t="shared" si="562"/>
        <v>04:00 001/p1</v>
      </c>
      <c r="H271" s="293" t="str">
        <f t="shared" ref="H271:I271" si="563">TEXT(IF($B271=0," ",$B271+H$6),"hh:mm am/pm")</f>
        <v>11:00 001/p1</v>
      </c>
      <c r="I271" s="293" t="str">
        <f t="shared" si="563"/>
        <v>16:00 001/p1</v>
      </c>
      <c r="J271" s="294" t="s">
        <v>132</v>
      </c>
      <c r="K271" s="295"/>
      <c r="L271" s="319" t="s">
        <v>133</v>
      </c>
      <c r="M271" s="320" t="s">
        <v>71</v>
      </c>
      <c r="N271" s="321" t="s">
        <v>57</v>
      </c>
      <c r="O271" s="322" t="s">
        <v>58</v>
      </c>
      <c r="P271" s="323" t="s">
        <v>59</v>
      </c>
      <c r="Q271" s="324">
        <v>100</v>
      </c>
      <c r="R271" s="375" t="s">
        <v>60</v>
      </c>
      <c r="S271" s="326"/>
      <c r="T271" s="327" t="s">
        <v>61</v>
      </c>
      <c r="U271" s="321" t="s">
        <v>62</v>
      </c>
      <c r="V271" s="321">
        <v>1.6</v>
      </c>
      <c r="W271" s="321">
        <v>1.6</v>
      </c>
      <c r="X271" s="328"/>
      <c r="Y271" s="329" t="s">
        <v>63</v>
      </c>
      <c r="Z271" s="326"/>
      <c r="AA271" s="330" t="s">
        <v>64</v>
      </c>
      <c r="AB271" s="330" t="s">
        <v>65</v>
      </c>
      <c r="AC271" s="331">
        <v>0.1</v>
      </c>
      <c r="AD271" s="331">
        <v>0</v>
      </c>
      <c r="AE271" s="330" t="s">
        <v>66</v>
      </c>
      <c r="AF271" s="332">
        <v>30000</v>
      </c>
      <c r="AG271" s="333">
        <v>8</v>
      </c>
      <c r="AH271" s="333">
        <v>7</v>
      </c>
      <c r="AI271" s="333">
        <v>7</v>
      </c>
      <c r="AJ271" s="327">
        <v>13</v>
      </c>
      <c r="AK271" s="334" t="s">
        <v>67</v>
      </c>
      <c r="AL271" s="335" t="s">
        <v>68</v>
      </c>
      <c r="AM271" s="336" t="s">
        <v>69</v>
      </c>
      <c r="AN271" s="336" t="s">
        <v>70</v>
      </c>
      <c r="AO271" s="314">
        <f t="shared" si="515"/>
        <v>0.284039351851852</v>
      </c>
      <c r="AP271" s="315">
        <f t="shared" si="516"/>
        <v>70</v>
      </c>
      <c r="AQ271" s="316" t="str">
        <f t="shared" si="517"/>
        <v>MICRO</v>
      </c>
    </row>
    <row r="272" ht="29.25" customHeight="1" outlineLevel="1" spans="1:43">
      <c r="B272" s="317">
        <v>0.215289351851852</v>
      </c>
      <c r="C272" s="293" t="str">
        <f t="shared" ref="C272:G272" si="564">TEXT(IF($B272=0," ",$B272-C$6),"hh:mm am/pm")</f>
        <v>03:10 001/p1</v>
      </c>
      <c r="D272" s="293" t="str">
        <f t="shared" si="564"/>
        <v>01:10 001/p1</v>
      </c>
      <c r="E272" s="293" t="str">
        <f t="shared" si="564"/>
        <v>02:10 001/p1</v>
      </c>
      <c r="F272" s="293" t="str">
        <f t="shared" si="564"/>
        <v>03:10 001/p1</v>
      </c>
      <c r="G272" s="293" t="str">
        <f t="shared" si="564"/>
        <v>04:10 001/p1</v>
      </c>
      <c r="H272" s="293" t="str">
        <f t="shared" ref="H272:I272" si="565">TEXT(IF($B272=0," ",$B272+H$6),"hh:mm am/pm")</f>
        <v>11:10 001/p1</v>
      </c>
      <c r="I272" s="293" t="str">
        <f t="shared" si="565"/>
        <v>16:10 001/p1</v>
      </c>
      <c r="J272" s="294" t="s">
        <v>134</v>
      </c>
      <c r="K272" s="295"/>
      <c r="L272" s="337" t="s">
        <v>114</v>
      </c>
      <c r="M272" s="338" t="s">
        <v>71</v>
      </c>
      <c r="N272" s="339" t="s">
        <v>57</v>
      </c>
      <c r="O272" s="340" t="s">
        <v>74</v>
      </c>
      <c r="P272" s="341" t="s">
        <v>59</v>
      </c>
      <c r="Q272" s="342">
        <v>200</v>
      </c>
      <c r="R272" s="343" t="s">
        <v>60</v>
      </c>
      <c r="S272" s="344"/>
      <c r="T272" s="345" t="s">
        <v>115</v>
      </c>
      <c r="U272" s="339" t="s">
        <v>62</v>
      </c>
      <c r="V272" s="339">
        <v>2</v>
      </c>
      <c r="W272" s="339">
        <v>2</v>
      </c>
      <c r="X272" s="354"/>
      <c r="Y272" s="347" t="s">
        <v>79</v>
      </c>
      <c r="Z272" s="339">
        <v>2</v>
      </c>
      <c r="AA272" s="348">
        <v>100000</v>
      </c>
      <c r="AB272" s="348" t="s">
        <v>65</v>
      </c>
      <c r="AC272" s="349">
        <v>0.1</v>
      </c>
      <c r="AD272" s="349">
        <v>0</v>
      </c>
      <c r="AE272" s="348" t="s">
        <v>88</v>
      </c>
      <c r="AF272" s="346">
        <v>40000</v>
      </c>
      <c r="AG272" s="350">
        <v>6</v>
      </c>
      <c r="AH272" s="350">
        <v>6</v>
      </c>
      <c r="AI272" s="350">
        <v>6</v>
      </c>
      <c r="AJ272" s="345">
        <v>13</v>
      </c>
      <c r="AK272" s="351" t="s">
        <v>67</v>
      </c>
      <c r="AL272" s="352" t="s">
        <v>68</v>
      </c>
      <c r="AM272" s="353" t="s">
        <v>69</v>
      </c>
      <c r="AN272" s="353" t="s">
        <v>70</v>
      </c>
      <c r="AO272" s="314">
        <f t="shared" si="515"/>
        <v>0.272928240740741</v>
      </c>
      <c r="AP272" s="315">
        <f t="shared" si="516"/>
        <v>112</v>
      </c>
      <c r="AQ272" s="316" t="str">
        <f t="shared" si="517"/>
        <v>MICRO</v>
      </c>
    </row>
    <row r="273" ht="29.25" customHeight="1" outlineLevel="1" spans="1:43">
      <c r="B273" s="317">
        <v>0.229178240740741</v>
      </c>
      <c r="C273" s="293" t="str">
        <f t="shared" ref="C273:G273" si="566">TEXT(IF($B273=0," ",$B273-C$6),"hh:mm am/pm")</f>
        <v>03:30 001/p1</v>
      </c>
      <c r="D273" s="293" t="str">
        <f t="shared" si="566"/>
        <v>01:30 001/p1</v>
      </c>
      <c r="E273" s="293" t="str">
        <f t="shared" si="566"/>
        <v>02:30 001/p1</v>
      </c>
      <c r="F273" s="293" t="str">
        <f t="shared" si="566"/>
        <v>03:30 001/p1</v>
      </c>
      <c r="G273" s="293" t="str">
        <f t="shared" si="566"/>
        <v>04:30 001/p1</v>
      </c>
      <c r="H273" s="293" t="str">
        <f t="shared" ref="H273:I273" si="567">TEXT(IF($B273=0," ",$B273+H$6),"hh:mm am/pm")</f>
        <v>11:30 001/p1</v>
      </c>
      <c r="I273" s="293" t="str">
        <f t="shared" si="567"/>
        <v>16:30 001/p1</v>
      </c>
      <c r="J273" s="294" t="s">
        <v>246</v>
      </c>
      <c r="K273" s="295"/>
      <c r="L273" s="319" t="s">
        <v>124</v>
      </c>
      <c r="M273" s="320" t="s">
        <v>71</v>
      </c>
      <c r="N273" s="321" t="s">
        <v>122</v>
      </c>
      <c r="O273" s="322" t="s">
        <v>82</v>
      </c>
      <c r="P273" s="323" t="s">
        <v>59</v>
      </c>
      <c r="Q273" s="324">
        <v>80</v>
      </c>
      <c r="R273" s="375" t="s">
        <v>60</v>
      </c>
      <c r="S273" s="326"/>
      <c r="T273" s="327" t="s">
        <v>61</v>
      </c>
      <c r="U273" s="321" t="s">
        <v>62</v>
      </c>
      <c r="V273" s="321">
        <v>1</v>
      </c>
      <c r="W273" s="321">
        <v>1</v>
      </c>
      <c r="X273" s="328"/>
      <c r="Y273" s="329" t="s">
        <v>63</v>
      </c>
      <c r="Z273" s="326"/>
      <c r="AA273" s="330" t="s">
        <v>64</v>
      </c>
      <c r="AB273" s="330" t="s">
        <v>65</v>
      </c>
      <c r="AC273" s="331">
        <v>0.1</v>
      </c>
      <c r="AD273" s="331">
        <v>0</v>
      </c>
      <c r="AE273" s="330" t="s">
        <v>66</v>
      </c>
      <c r="AF273" s="332">
        <v>50000</v>
      </c>
      <c r="AG273" s="333">
        <v>7</v>
      </c>
      <c r="AH273" s="333">
        <v>6</v>
      </c>
      <c r="AI273" s="333">
        <v>6</v>
      </c>
      <c r="AJ273" s="327">
        <v>15</v>
      </c>
      <c r="AK273" s="334" t="s">
        <v>67</v>
      </c>
      <c r="AL273" s="335" t="s">
        <v>68</v>
      </c>
      <c r="AM273" s="336" t="s">
        <v>69</v>
      </c>
      <c r="AN273" s="336" t="s">
        <v>70</v>
      </c>
      <c r="AO273" s="314">
        <f t="shared" si="515"/>
        <v>0.30556712962963</v>
      </c>
      <c r="AP273" s="315">
        <f t="shared" si="516"/>
        <v>89</v>
      </c>
      <c r="AQ273" s="316" t="str">
        <f t="shared" si="517"/>
        <v>MICRO</v>
      </c>
    </row>
    <row r="274" ht="29.25" customHeight="1" outlineLevel="1" spans="1:43">
      <c r="A274" s="363" t="s">
        <v>294</v>
      </c>
      <c r="B274" s="317">
        <v>0.256956018518519</v>
      </c>
      <c r="C274" s="293" t="str">
        <f t="shared" ref="C274:G274" si="568">TEXT(IF($B274=0," ",$B274-C$6),"hh:mm am/pm")</f>
        <v>04:10 001/p1</v>
      </c>
      <c r="D274" s="293" t="str">
        <f t="shared" si="568"/>
        <v>02:10 001/p1</v>
      </c>
      <c r="E274" s="293" t="str">
        <f t="shared" si="568"/>
        <v>03:10 001/p1</v>
      </c>
      <c r="F274" s="293" t="str">
        <f t="shared" si="568"/>
        <v>04:10 001/p1</v>
      </c>
      <c r="G274" s="293" t="str">
        <f t="shared" si="568"/>
        <v>05:10 001/p1</v>
      </c>
      <c r="H274" s="293" t="str">
        <f t="shared" ref="H274:I274" si="569">TEXT(IF($B274=0," ",$B274+H$6),"hh:mm am/pm")</f>
        <v>12:10 001/p1</v>
      </c>
      <c r="I274" s="293" t="str">
        <f t="shared" si="569"/>
        <v>17:10 001/p1</v>
      </c>
      <c r="J274" s="294" t="s">
        <v>318</v>
      </c>
      <c r="K274" s="295"/>
      <c r="L274" s="337" t="s">
        <v>114</v>
      </c>
      <c r="M274" s="338" t="s">
        <v>71</v>
      </c>
      <c r="N274" s="339" t="s">
        <v>57</v>
      </c>
      <c r="O274" s="340" t="s">
        <v>74</v>
      </c>
      <c r="P274" s="341" t="s">
        <v>75</v>
      </c>
      <c r="Q274" s="342">
        <v>120</v>
      </c>
      <c r="R274" s="343" t="s">
        <v>60</v>
      </c>
      <c r="S274" s="344"/>
      <c r="T274" s="345" t="s">
        <v>115</v>
      </c>
      <c r="U274" s="339" t="s">
        <v>62</v>
      </c>
      <c r="V274" s="339">
        <v>1</v>
      </c>
      <c r="W274" s="339">
        <v>1</v>
      </c>
      <c r="X274" s="354"/>
      <c r="Y274" s="347" t="s">
        <v>79</v>
      </c>
      <c r="Z274" s="339">
        <v>1</v>
      </c>
      <c r="AA274" s="348">
        <v>100000</v>
      </c>
      <c r="AB274" s="348" t="s">
        <v>65</v>
      </c>
      <c r="AC274" s="349">
        <v>0.1</v>
      </c>
      <c r="AD274" s="349">
        <v>0</v>
      </c>
      <c r="AE274" s="348" t="s">
        <v>88</v>
      </c>
      <c r="AF274" s="346">
        <v>40000</v>
      </c>
      <c r="AG274" s="350">
        <v>6</v>
      </c>
      <c r="AH274" s="350">
        <v>6</v>
      </c>
      <c r="AI274" s="350">
        <v>6</v>
      </c>
      <c r="AJ274" s="345">
        <v>13</v>
      </c>
      <c r="AK274" s="351" t="s">
        <v>67</v>
      </c>
      <c r="AL274" s="352" t="s">
        <v>68</v>
      </c>
      <c r="AM274" s="353" t="s">
        <v>69</v>
      </c>
      <c r="AN274" s="353" t="s">
        <v>70</v>
      </c>
      <c r="AO274" s="314">
        <f t="shared" si="515"/>
        <v>0.314594907407407</v>
      </c>
      <c r="AP274" s="315">
        <f t="shared" si="516"/>
        <v>134</v>
      </c>
      <c r="AQ274" s="316" t="str">
        <f t="shared" si="517"/>
        <v>MICRO</v>
      </c>
    </row>
    <row r="275" ht="29.25" customHeight="1" outlineLevel="1" spans="1:43">
      <c r="B275" s="317">
        <v>0.298622685185185</v>
      </c>
      <c r="C275" s="293" t="str">
        <f t="shared" ref="C275:G275" si="570">TEXT(IF($B275=0," ",$B275-C$6),"hh:mm am/pm")</f>
        <v>05:10 001/p1</v>
      </c>
      <c r="D275" s="293" t="str">
        <f t="shared" si="570"/>
        <v>03:10 001/p1</v>
      </c>
      <c r="E275" s="293" t="str">
        <f t="shared" si="570"/>
        <v>04:10 001/p1</v>
      </c>
      <c r="F275" s="293" t="str">
        <f t="shared" si="570"/>
        <v>05:10 001/p1</v>
      </c>
      <c r="G275" s="293" t="str">
        <f t="shared" si="570"/>
        <v>06:10 001/p1</v>
      </c>
      <c r="H275" s="293" t="str">
        <f t="shared" ref="H275:I275" si="571">TEXT(IF($B275=0," ",$B275+H$6),"hh:mm am/pm")</f>
        <v>13:10 001/p1</v>
      </c>
      <c r="I275" s="293" t="str">
        <f t="shared" si="571"/>
        <v>18:10 001/p1</v>
      </c>
      <c r="J275" s="294" t="s">
        <v>137</v>
      </c>
      <c r="K275" s="295"/>
      <c r="L275" s="319" t="s">
        <v>129</v>
      </c>
      <c r="M275" s="320" t="s">
        <v>71</v>
      </c>
      <c r="N275" s="321" t="s">
        <v>100</v>
      </c>
      <c r="O275" s="322" t="s">
        <v>74</v>
      </c>
      <c r="P275" s="323" t="s">
        <v>101</v>
      </c>
      <c r="Q275" s="324">
        <v>100</v>
      </c>
      <c r="R275" s="375" t="s">
        <v>60</v>
      </c>
      <c r="S275" s="326"/>
      <c r="T275" s="327" t="s">
        <v>61</v>
      </c>
      <c r="U275" s="321" t="s">
        <v>62</v>
      </c>
      <c r="V275" s="321">
        <v>1</v>
      </c>
      <c r="W275" s="321">
        <v>1</v>
      </c>
      <c r="X275" s="328"/>
      <c r="Y275" s="329" t="s">
        <v>79</v>
      </c>
      <c r="Z275" s="321">
        <v>1</v>
      </c>
      <c r="AA275" s="330">
        <v>90000</v>
      </c>
      <c r="AB275" s="330" t="s">
        <v>65</v>
      </c>
      <c r="AC275" s="331">
        <v>0.1</v>
      </c>
      <c r="AD275" s="331">
        <v>0</v>
      </c>
      <c r="AE275" s="330" t="s">
        <v>88</v>
      </c>
      <c r="AF275" s="332">
        <v>30000</v>
      </c>
      <c r="AG275" s="333">
        <v>5</v>
      </c>
      <c r="AH275" s="333">
        <v>5</v>
      </c>
      <c r="AI275" s="333">
        <v>5</v>
      </c>
      <c r="AJ275" s="327">
        <v>12</v>
      </c>
      <c r="AK275" s="334" t="s">
        <v>67</v>
      </c>
      <c r="AL275" s="335" t="s">
        <v>68</v>
      </c>
      <c r="AM275" s="336" t="s">
        <v>69</v>
      </c>
      <c r="AN275" s="336" t="s">
        <v>70</v>
      </c>
      <c r="AO275" s="314">
        <f t="shared" si="515"/>
        <v>0.343761574074074</v>
      </c>
      <c r="AP275" s="315">
        <f t="shared" si="516"/>
        <v>112</v>
      </c>
      <c r="AQ275" s="316" t="str">
        <f t="shared" si="517"/>
        <v>MICRO</v>
      </c>
    </row>
    <row r="276" ht="29.25" customHeight="1" outlineLevel="1" spans="1:43">
      <c r="B276" s="317">
        <v>0.312511574074074</v>
      </c>
      <c r="C276" s="293" t="str">
        <f t="shared" ref="C276:G276" si="572">TEXT(IF($B276=0," ",$B276-C$6),"hh:mm am/pm")</f>
        <v>05:30 001/p1</v>
      </c>
      <c r="D276" s="293" t="str">
        <f t="shared" si="572"/>
        <v>03:30 001/p1</v>
      </c>
      <c r="E276" s="293" t="str">
        <f t="shared" si="572"/>
        <v>04:30 001/p1</v>
      </c>
      <c r="F276" s="293" t="str">
        <f t="shared" si="572"/>
        <v>05:30 001/p1</v>
      </c>
      <c r="G276" s="293" t="str">
        <f t="shared" si="572"/>
        <v>06:30 001/p1</v>
      </c>
      <c r="H276" s="293" t="str">
        <f t="shared" ref="H276:I276" si="573">TEXT(IF($B276=0," ",$B276+H$6),"hh:mm am/pm")</f>
        <v>13:30 001/p1</v>
      </c>
      <c r="I276" s="293" t="str">
        <f t="shared" si="573"/>
        <v>18:30 001/p1</v>
      </c>
      <c r="J276" s="294" t="s">
        <v>319</v>
      </c>
      <c r="K276" s="295"/>
      <c r="L276" s="337" t="s">
        <v>240</v>
      </c>
      <c r="M276" s="338" t="s">
        <v>71</v>
      </c>
      <c r="N276" s="339" t="s">
        <v>57</v>
      </c>
      <c r="O276" s="340" t="s">
        <v>109</v>
      </c>
      <c r="P276" s="341" t="s">
        <v>59</v>
      </c>
      <c r="Q276" s="342">
        <v>80</v>
      </c>
      <c r="R276" s="343" t="s">
        <v>60</v>
      </c>
      <c r="S276" s="344"/>
      <c r="T276" s="345" t="s">
        <v>61</v>
      </c>
      <c r="U276" s="339" t="s">
        <v>62</v>
      </c>
      <c r="V276" s="339">
        <v>1</v>
      </c>
      <c r="W276" s="339">
        <v>1</v>
      </c>
      <c r="X276" s="354"/>
      <c r="Y276" s="347" t="s">
        <v>63</v>
      </c>
      <c r="Z276" s="344"/>
      <c r="AA276" s="348" t="s">
        <v>64</v>
      </c>
      <c r="AB276" s="348" t="s">
        <v>65</v>
      </c>
      <c r="AC276" s="349">
        <v>0.1</v>
      </c>
      <c r="AD276" s="349">
        <v>0</v>
      </c>
      <c r="AE276" s="348" t="s">
        <v>66</v>
      </c>
      <c r="AF276" s="346">
        <v>50000</v>
      </c>
      <c r="AG276" s="350">
        <v>8</v>
      </c>
      <c r="AH276" s="350">
        <v>7</v>
      </c>
      <c r="AI276" s="350">
        <v>7</v>
      </c>
      <c r="AJ276" s="345">
        <v>15</v>
      </c>
      <c r="AK276" s="351" t="s">
        <v>67</v>
      </c>
      <c r="AL276" s="352" t="s">
        <v>68</v>
      </c>
      <c r="AM276" s="353" t="s">
        <v>69</v>
      </c>
      <c r="AN276" s="353" t="s">
        <v>70</v>
      </c>
      <c r="AO276" s="314">
        <f t="shared" si="515"/>
        <v>0.402789351851852</v>
      </c>
      <c r="AP276" s="315">
        <f t="shared" si="516"/>
        <v>89</v>
      </c>
      <c r="AQ276" s="316" t="str">
        <f t="shared" si="517"/>
        <v>MICRO</v>
      </c>
    </row>
    <row r="277" ht="29.25" customHeight="1" outlineLevel="1" spans="1:43">
      <c r="A277" s="363" t="s">
        <v>294</v>
      </c>
      <c r="B277" s="317">
        <v>0.322928240740741</v>
      </c>
      <c r="C277" s="293" t="str">
        <f t="shared" ref="C277:G277" si="574">TEXT(IF($B277=0," ",$B277-C$6),"hh:mm am/pm")</f>
        <v>05:45 001/p1</v>
      </c>
      <c r="D277" s="293" t="str">
        <f t="shared" si="574"/>
        <v>03:45 001/p1</v>
      </c>
      <c r="E277" s="293" t="str">
        <f t="shared" si="574"/>
        <v>04:45 001/p1</v>
      </c>
      <c r="F277" s="293" t="str">
        <f t="shared" si="574"/>
        <v>05:45 001/p1</v>
      </c>
      <c r="G277" s="293" t="str">
        <f t="shared" si="574"/>
        <v>06:45 001/p1</v>
      </c>
      <c r="H277" s="293" t="str">
        <f t="shared" ref="H277:I277" si="575">TEXT(IF($B277=0," ",$B277+H$6),"hh:mm am/pm")</f>
        <v>13:45 001/p1</v>
      </c>
      <c r="I277" s="293" t="str">
        <f t="shared" si="575"/>
        <v>18:45 001/p1</v>
      </c>
      <c r="J277" s="294" t="s">
        <v>138</v>
      </c>
      <c r="K277" s="295"/>
      <c r="L277" s="319" t="s">
        <v>139</v>
      </c>
      <c r="M277" s="320" t="s">
        <v>71</v>
      </c>
      <c r="N277" s="321" t="s">
        <v>122</v>
      </c>
      <c r="O277" s="322" t="s">
        <v>82</v>
      </c>
      <c r="P277" s="323" t="s">
        <v>101</v>
      </c>
      <c r="Q277" s="324">
        <v>300</v>
      </c>
      <c r="R277" s="375" t="s">
        <v>60</v>
      </c>
      <c r="S277" s="326"/>
      <c r="T277" s="327" t="s">
        <v>61</v>
      </c>
      <c r="U277" s="321" t="s">
        <v>62</v>
      </c>
      <c r="V277" s="321">
        <v>3</v>
      </c>
      <c r="W277" s="321">
        <v>3</v>
      </c>
      <c r="X277" s="328"/>
      <c r="Y277" s="329" t="s">
        <v>63</v>
      </c>
      <c r="Z277" s="326"/>
      <c r="AA277" s="330" t="s">
        <v>64</v>
      </c>
      <c r="AB277" s="330" t="s">
        <v>65</v>
      </c>
      <c r="AC277" s="331">
        <v>0.1</v>
      </c>
      <c r="AD277" s="331">
        <v>0.02</v>
      </c>
      <c r="AE277" s="330" t="s">
        <v>66</v>
      </c>
      <c r="AF277" s="332">
        <v>40000</v>
      </c>
      <c r="AG277" s="333">
        <v>10</v>
      </c>
      <c r="AH277" s="333">
        <v>8</v>
      </c>
      <c r="AI277" s="333">
        <v>8</v>
      </c>
      <c r="AJ277" s="327">
        <v>14</v>
      </c>
      <c r="AK277" s="334" t="s">
        <v>67</v>
      </c>
      <c r="AL277" s="335" t="s">
        <v>68</v>
      </c>
      <c r="AM277" s="336" t="s">
        <v>69</v>
      </c>
      <c r="AN277" s="336" t="s">
        <v>70</v>
      </c>
      <c r="AO277" s="314">
        <f t="shared" si="515"/>
        <v>0.427094907407407</v>
      </c>
      <c r="AP277" s="315">
        <f t="shared" si="516"/>
        <v>114</v>
      </c>
      <c r="AQ277" s="316" t="str">
        <f t="shared" si="517"/>
        <v>MICRO</v>
      </c>
    </row>
    <row r="278" ht="29.25" customHeight="1" outlineLevel="1" spans="1:43">
      <c r="B278" s="317">
        <v>0.333344907407407</v>
      </c>
      <c r="C278" s="293" t="str">
        <f t="shared" ref="C278:G278" si="576">TEXT(IF($B278=0," ",$B278-C$6),"hh:mm am/pm")</f>
        <v>06:00 001/p1</v>
      </c>
      <c r="D278" s="293" t="str">
        <f t="shared" si="576"/>
        <v>04:00 001/p1</v>
      </c>
      <c r="E278" s="293" t="str">
        <f t="shared" si="576"/>
        <v>05:00 001/p1</v>
      </c>
      <c r="F278" s="293" t="str">
        <f t="shared" si="576"/>
        <v>06:00 001/p1</v>
      </c>
      <c r="G278" s="293" t="str">
        <f t="shared" si="576"/>
        <v>07:00 001/p1</v>
      </c>
      <c r="H278" s="293" t="str">
        <f t="shared" ref="H278:I278" si="577">TEXT(IF($B278=0," ",$B278+H$6),"hh:mm am/pm")</f>
        <v>14:00 001/p1</v>
      </c>
      <c r="I278" s="293" t="str">
        <f t="shared" si="577"/>
        <v>19:00 001/p1</v>
      </c>
      <c r="J278" s="294" t="s">
        <v>140</v>
      </c>
      <c r="K278" s="295"/>
      <c r="L278" s="337" t="s">
        <v>119</v>
      </c>
      <c r="M278" s="338" t="s">
        <v>71</v>
      </c>
      <c r="N278" s="339" t="s">
        <v>57</v>
      </c>
      <c r="O278" s="340" t="s">
        <v>74</v>
      </c>
      <c r="P278" s="341" t="s">
        <v>75</v>
      </c>
      <c r="Q278" s="342">
        <v>500</v>
      </c>
      <c r="R278" s="343" t="s">
        <v>60</v>
      </c>
      <c r="S278" s="344"/>
      <c r="T278" s="345" t="s">
        <v>115</v>
      </c>
      <c r="U278" s="339" t="s">
        <v>62</v>
      </c>
      <c r="V278" s="339">
        <v>1</v>
      </c>
      <c r="W278" s="339">
        <v>1</v>
      </c>
      <c r="X278" s="354"/>
      <c r="Y278" s="347" t="s">
        <v>79</v>
      </c>
      <c r="Z278" s="339">
        <v>1</v>
      </c>
      <c r="AA278" s="348">
        <v>120000</v>
      </c>
      <c r="AB278" s="348" t="s">
        <v>65</v>
      </c>
      <c r="AC278" s="349">
        <v>0.1</v>
      </c>
      <c r="AD278" s="349">
        <v>0.02</v>
      </c>
      <c r="AE278" s="348" t="s">
        <v>66</v>
      </c>
      <c r="AF278" s="346">
        <v>40000</v>
      </c>
      <c r="AG278" s="350">
        <v>8</v>
      </c>
      <c r="AH278" s="350">
        <v>7</v>
      </c>
      <c r="AI278" s="350">
        <v>7</v>
      </c>
      <c r="AJ278" s="345">
        <v>15</v>
      </c>
      <c r="AK278" s="351" t="s">
        <v>67</v>
      </c>
      <c r="AL278" s="352" t="s">
        <v>68</v>
      </c>
      <c r="AM278" s="353" t="s">
        <v>69</v>
      </c>
      <c r="AN278" s="353" t="s">
        <v>70</v>
      </c>
      <c r="AO278" s="314">
        <f t="shared" si="515"/>
        <v>0.423622685185185</v>
      </c>
      <c r="AP278" s="315">
        <f t="shared" si="516"/>
        <v>569</v>
      </c>
      <c r="AQ278" s="316" t="str">
        <f t="shared" si="517"/>
        <v>MICRO</v>
      </c>
    </row>
    <row r="279" ht="29.25" customHeight="1" outlineLevel="1" spans="1:43">
      <c r="A279" s="363" t="s">
        <v>294</v>
      </c>
      <c r="B279" s="317">
        <v>0.375011574074074</v>
      </c>
      <c r="C279" s="293" t="str">
        <f t="shared" ref="C279:G279" si="578">TEXT(IF($B279=0," ",$B279-C$6),"hh:mm am/pm")</f>
        <v>07:00 001/p1</v>
      </c>
      <c r="D279" s="293" t="str">
        <f t="shared" si="578"/>
        <v>05:00 001/p1</v>
      </c>
      <c r="E279" s="293" t="str">
        <f t="shared" si="578"/>
        <v>06:00 001/p1</v>
      </c>
      <c r="F279" s="293" t="str">
        <f t="shared" si="578"/>
        <v>07:00 001/p1</v>
      </c>
      <c r="G279" s="293" t="str">
        <f t="shared" si="578"/>
        <v>08:00 001/p1</v>
      </c>
      <c r="H279" s="293" t="str">
        <f t="shared" ref="H279:I279" si="579">TEXT(IF($B279=0," ",$B279+H$6),"hh:mm am/pm")</f>
        <v>15:00 001/p1</v>
      </c>
      <c r="I279" s="293" t="str">
        <f t="shared" si="579"/>
        <v>20:00 001/p1</v>
      </c>
      <c r="J279" s="294" t="s">
        <v>142</v>
      </c>
      <c r="K279" s="295"/>
      <c r="L279" s="319" t="s">
        <v>133</v>
      </c>
      <c r="M279" s="320" t="s">
        <v>71</v>
      </c>
      <c r="N279" s="321" t="s">
        <v>57</v>
      </c>
      <c r="O279" s="322" t="s">
        <v>58</v>
      </c>
      <c r="P279" s="323" t="s">
        <v>59</v>
      </c>
      <c r="Q279" s="324">
        <v>150</v>
      </c>
      <c r="R279" s="375" t="s">
        <v>60</v>
      </c>
      <c r="S279" s="326"/>
      <c r="T279" s="327" t="s">
        <v>61</v>
      </c>
      <c r="U279" s="321" t="s">
        <v>62</v>
      </c>
      <c r="V279" s="321">
        <v>1.5</v>
      </c>
      <c r="W279" s="321">
        <v>1.5</v>
      </c>
      <c r="X279" s="332">
        <v>60000</v>
      </c>
      <c r="Y279" s="329" t="s">
        <v>63</v>
      </c>
      <c r="Z279" s="326"/>
      <c r="AA279" s="330" t="s">
        <v>64</v>
      </c>
      <c r="AB279" s="330" t="s">
        <v>65</v>
      </c>
      <c r="AC279" s="331">
        <v>0.1</v>
      </c>
      <c r="AD279" s="331">
        <v>0</v>
      </c>
      <c r="AE279" s="330" t="s">
        <v>66</v>
      </c>
      <c r="AF279" s="332">
        <v>50000</v>
      </c>
      <c r="AG279" s="333">
        <v>8</v>
      </c>
      <c r="AH279" s="333">
        <v>8</v>
      </c>
      <c r="AI279" s="333">
        <v>8</v>
      </c>
      <c r="AJ279" s="327">
        <v>15</v>
      </c>
      <c r="AK279" s="334" t="s">
        <v>67</v>
      </c>
      <c r="AL279" s="335" t="s">
        <v>68</v>
      </c>
      <c r="AM279" s="336" t="s">
        <v>69</v>
      </c>
      <c r="AN279" s="336" t="s">
        <v>70</v>
      </c>
      <c r="AO279" s="314">
        <f t="shared" si="515"/>
        <v>0.465289351851852</v>
      </c>
      <c r="AP279" s="315">
        <f t="shared" si="516"/>
        <v>112</v>
      </c>
      <c r="AQ279" s="316" t="str">
        <f t="shared" si="517"/>
        <v>MICRO</v>
      </c>
    </row>
    <row r="280" ht="29.25" customHeight="1" outlineLevel="1" spans="1:43">
      <c r="B280" s="317">
        <v>0.375011574074074</v>
      </c>
      <c r="C280" s="293" t="str">
        <f t="shared" ref="C280:G280" si="580">TEXT(IF($B280=0," ",$B280-C$6),"hh:mm am/pm")</f>
        <v>07:00 001/p1</v>
      </c>
      <c r="D280" s="293" t="str">
        <f t="shared" si="580"/>
        <v>05:00 001/p1</v>
      </c>
      <c r="E280" s="293" t="str">
        <f t="shared" si="580"/>
        <v>06:00 001/p1</v>
      </c>
      <c r="F280" s="293" t="str">
        <f t="shared" si="580"/>
        <v>07:00 001/p1</v>
      </c>
      <c r="G280" s="293" t="str">
        <f t="shared" si="580"/>
        <v>08:00 001/p1</v>
      </c>
      <c r="H280" s="293" t="str">
        <f t="shared" ref="H280:I280" si="581">TEXT(IF($B280=0," ",$B280+H$6),"hh:mm am/pm")</f>
        <v>15:00 001/p1</v>
      </c>
      <c r="I280" s="293" t="str">
        <f t="shared" si="581"/>
        <v>20:00 001/p1</v>
      </c>
      <c r="J280" s="294" t="s">
        <v>137</v>
      </c>
      <c r="K280" s="295"/>
      <c r="L280" s="337" t="s">
        <v>129</v>
      </c>
      <c r="M280" s="338" t="s">
        <v>71</v>
      </c>
      <c r="N280" s="339" t="s">
        <v>122</v>
      </c>
      <c r="O280" s="340" t="s">
        <v>74</v>
      </c>
      <c r="P280" s="341" t="s">
        <v>101</v>
      </c>
      <c r="Q280" s="342">
        <v>100</v>
      </c>
      <c r="R280" s="343" t="s">
        <v>60</v>
      </c>
      <c r="S280" s="344"/>
      <c r="T280" s="345" t="s">
        <v>61</v>
      </c>
      <c r="U280" s="339" t="s">
        <v>62</v>
      </c>
      <c r="V280" s="339">
        <v>1</v>
      </c>
      <c r="W280" s="339">
        <v>1</v>
      </c>
      <c r="X280" s="354"/>
      <c r="Y280" s="347" t="s">
        <v>79</v>
      </c>
      <c r="Z280" s="339">
        <v>1</v>
      </c>
      <c r="AA280" s="348">
        <v>100000</v>
      </c>
      <c r="AB280" s="348" t="s">
        <v>65</v>
      </c>
      <c r="AC280" s="349">
        <v>0.1</v>
      </c>
      <c r="AD280" s="349">
        <v>0</v>
      </c>
      <c r="AE280" s="348" t="s">
        <v>88</v>
      </c>
      <c r="AF280" s="346">
        <v>40000</v>
      </c>
      <c r="AG280" s="350">
        <v>7</v>
      </c>
      <c r="AH280" s="350">
        <v>6</v>
      </c>
      <c r="AI280" s="350">
        <v>6</v>
      </c>
      <c r="AJ280" s="345">
        <v>13</v>
      </c>
      <c r="AK280" s="351" t="s">
        <v>67</v>
      </c>
      <c r="AL280" s="352" t="s">
        <v>68</v>
      </c>
      <c r="AM280" s="353" t="s">
        <v>69</v>
      </c>
      <c r="AN280" s="353" t="s">
        <v>70</v>
      </c>
      <c r="AO280" s="314">
        <f t="shared" si="515"/>
        <v>0.441678240740741</v>
      </c>
      <c r="AP280" s="315">
        <f t="shared" si="516"/>
        <v>112</v>
      </c>
      <c r="AQ280" s="316" t="str">
        <f t="shared" si="517"/>
        <v>MICRO</v>
      </c>
    </row>
    <row r="281" ht="29.25" customHeight="1" outlineLevel="1" spans="1:43">
      <c r="B281" s="317">
        <v>0.416678240740741</v>
      </c>
      <c r="C281" s="293" t="str">
        <f t="shared" ref="C281:G281" si="582">TEXT(IF($B281=0," ",$B281-C$6),"hh:mm am/pm")</f>
        <v>08:00 001/p1</v>
      </c>
      <c r="D281" s="293" t="str">
        <f t="shared" si="582"/>
        <v>06:00 001/p1</v>
      </c>
      <c r="E281" s="293" t="str">
        <f t="shared" si="582"/>
        <v>07:00 001/p1</v>
      </c>
      <c r="F281" s="293" t="str">
        <f t="shared" si="582"/>
        <v>08:00 001/p1</v>
      </c>
      <c r="G281" s="293" t="str">
        <f t="shared" si="582"/>
        <v>09:00 001/p1</v>
      </c>
      <c r="H281" s="293" t="str">
        <f t="shared" ref="H281:I281" si="583">TEXT(IF($B281=0," ",$B281+H$6),"hh:mm am/pm")</f>
        <v>16:00 001/p1</v>
      </c>
      <c r="I281" s="293" t="str">
        <f t="shared" si="583"/>
        <v>21:00 001/p1</v>
      </c>
      <c r="J281" s="294" t="s">
        <v>143</v>
      </c>
      <c r="K281" s="295"/>
      <c r="L281" s="319" t="s">
        <v>126</v>
      </c>
      <c r="M281" s="320" t="s">
        <v>71</v>
      </c>
      <c r="N281" s="321" t="s">
        <v>57</v>
      </c>
      <c r="O281" s="322" t="s">
        <v>144</v>
      </c>
      <c r="P281" s="323" t="s">
        <v>59</v>
      </c>
      <c r="Q281" s="324">
        <v>800</v>
      </c>
      <c r="R281" s="375" t="s">
        <v>60</v>
      </c>
      <c r="S281" s="326"/>
      <c r="T281" s="327" t="s">
        <v>61</v>
      </c>
      <c r="U281" s="321" t="s">
        <v>62</v>
      </c>
      <c r="V281" s="321">
        <v>6</v>
      </c>
      <c r="W281" s="321">
        <v>6</v>
      </c>
      <c r="X281" s="328"/>
      <c r="Y281" s="329" t="s">
        <v>63</v>
      </c>
      <c r="Z281" s="326"/>
      <c r="AA281" s="330" t="s">
        <v>64</v>
      </c>
      <c r="AB281" s="330" t="s">
        <v>65</v>
      </c>
      <c r="AC281" s="331">
        <v>0.1</v>
      </c>
      <c r="AD281" s="331">
        <v>0.02</v>
      </c>
      <c r="AE281" s="330" t="s">
        <v>66</v>
      </c>
      <c r="AF281" s="332">
        <v>40000</v>
      </c>
      <c r="AG281" s="333">
        <v>10</v>
      </c>
      <c r="AH281" s="333">
        <v>8</v>
      </c>
      <c r="AI281" s="333">
        <v>8</v>
      </c>
      <c r="AJ281" s="327">
        <v>14</v>
      </c>
      <c r="AK281" s="334" t="s">
        <v>67</v>
      </c>
      <c r="AL281" s="335" t="s">
        <v>68</v>
      </c>
      <c r="AM281" s="336" t="s">
        <v>69</v>
      </c>
      <c r="AN281" s="336" t="s">
        <v>70</v>
      </c>
      <c r="AO281" s="314">
        <f t="shared" si="515"/>
        <v>0.520844907407407</v>
      </c>
      <c r="AP281" s="315">
        <f t="shared" si="516"/>
        <v>152</v>
      </c>
      <c r="AQ281" s="316" t="str">
        <f t="shared" si="517"/>
        <v>LOW</v>
      </c>
    </row>
    <row r="282" ht="29.25" customHeight="1" outlineLevel="1" spans="1:43">
      <c r="A282" s="363" t="s">
        <v>294</v>
      </c>
      <c r="B282" s="317">
        <v>0.416678240740741</v>
      </c>
      <c r="C282" s="293" t="str">
        <f t="shared" ref="C282:G282" si="584">TEXT(IF($B282=0," ",$B282-C$6),"hh:mm am/pm")</f>
        <v>08:00 001/p1</v>
      </c>
      <c r="D282" s="293" t="str">
        <f t="shared" si="584"/>
        <v>06:00 001/p1</v>
      </c>
      <c r="E282" s="293" t="str">
        <f t="shared" si="584"/>
        <v>07:00 001/p1</v>
      </c>
      <c r="F282" s="293" t="str">
        <f t="shared" si="584"/>
        <v>08:00 001/p1</v>
      </c>
      <c r="G282" s="293" t="str">
        <f t="shared" si="584"/>
        <v>09:00 001/p1</v>
      </c>
      <c r="H282" s="293" t="str">
        <f t="shared" ref="H282:I282" si="585">TEXT(IF($B282=0," ",$B282+H$6),"hh:mm am/pm")</f>
        <v>16:00 001/p1</v>
      </c>
      <c r="I282" s="293" t="str">
        <f t="shared" si="585"/>
        <v>21:00 001/p1</v>
      </c>
      <c r="J282" s="294" t="s">
        <v>134</v>
      </c>
      <c r="K282" s="295"/>
      <c r="L282" s="337" t="s">
        <v>114</v>
      </c>
      <c r="M282" s="338" t="s">
        <v>71</v>
      </c>
      <c r="N282" s="339" t="s">
        <v>57</v>
      </c>
      <c r="O282" s="340" t="s">
        <v>74</v>
      </c>
      <c r="P282" s="341" t="s">
        <v>75</v>
      </c>
      <c r="Q282" s="342">
        <v>200</v>
      </c>
      <c r="R282" s="343" t="s">
        <v>60</v>
      </c>
      <c r="S282" s="344"/>
      <c r="T282" s="345" t="s">
        <v>115</v>
      </c>
      <c r="U282" s="339" t="s">
        <v>62</v>
      </c>
      <c r="V282" s="339">
        <v>0.4</v>
      </c>
      <c r="W282" s="339">
        <v>0.4</v>
      </c>
      <c r="X282" s="354"/>
      <c r="Y282" s="347" t="s">
        <v>79</v>
      </c>
      <c r="Z282" s="339">
        <v>0.6</v>
      </c>
      <c r="AA282" s="348">
        <v>100000</v>
      </c>
      <c r="AB282" s="348" t="s">
        <v>65</v>
      </c>
      <c r="AC282" s="349">
        <v>0.1</v>
      </c>
      <c r="AD282" s="349">
        <v>0</v>
      </c>
      <c r="AE282" s="345" t="s">
        <v>66</v>
      </c>
      <c r="AF282" s="346">
        <v>40000</v>
      </c>
      <c r="AG282" s="350">
        <v>7</v>
      </c>
      <c r="AH282" s="350">
        <v>6</v>
      </c>
      <c r="AI282" s="350">
        <v>6</v>
      </c>
      <c r="AJ282" s="345">
        <v>15</v>
      </c>
      <c r="AK282" s="351" t="s">
        <v>67</v>
      </c>
      <c r="AL282" s="352" t="s">
        <v>68</v>
      </c>
      <c r="AM282" s="353" t="s">
        <v>69</v>
      </c>
      <c r="AN282" s="353" t="s">
        <v>70</v>
      </c>
      <c r="AO282" s="314">
        <f t="shared" si="515"/>
        <v>0.49306712962963</v>
      </c>
      <c r="AP282" s="315">
        <f t="shared" si="516"/>
        <v>556</v>
      </c>
      <c r="AQ282" s="316" t="str">
        <f t="shared" si="517"/>
        <v>MICRO</v>
      </c>
    </row>
    <row r="283" ht="29.25" customHeight="1" outlineLevel="1" spans="1:43">
      <c r="B283" s="317">
        <v>0.416678240740741</v>
      </c>
      <c r="C283" s="293" t="str">
        <f t="shared" ref="C283:G283" si="586">TEXT(IF($B283=0," ",$B283-C$6),"hh:mm am/pm")</f>
        <v>08:00 001/p1</v>
      </c>
      <c r="D283" s="293" t="str">
        <f t="shared" si="586"/>
        <v>06:00 001/p1</v>
      </c>
      <c r="E283" s="293" t="str">
        <f t="shared" si="586"/>
        <v>07:00 001/p1</v>
      </c>
      <c r="F283" s="293" t="str">
        <f t="shared" si="586"/>
        <v>08:00 001/p1</v>
      </c>
      <c r="G283" s="293" t="str">
        <f t="shared" si="586"/>
        <v>09:00 001/p1</v>
      </c>
      <c r="H283" s="293" t="str">
        <f t="shared" ref="H283:I283" si="587">TEXT(IF($B283=0," ",$B283+H$6),"hh:mm am/pm")</f>
        <v>16:00 001/p1</v>
      </c>
      <c r="I283" s="293" t="str">
        <f t="shared" si="587"/>
        <v>21:00 001/p1</v>
      </c>
      <c r="J283" s="294" t="s">
        <v>145</v>
      </c>
      <c r="K283" s="295"/>
      <c r="L283" s="319" t="s">
        <v>119</v>
      </c>
      <c r="M283" s="320" t="s">
        <v>71</v>
      </c>
      <c r="N283" s="321" t="s">
        <v>57</v>
      </c>
      <c r="O283" s="322" t="s">
        <v>74</v>
      </c>
      <c r="P283" s="323" t="s">
        <v>75</v>
      </c>
      <c r="Q283" s="324">
        <v>600</v>
      </c>
      <c r="R283" s="375" t="s">
        <v>60</v>
      </c>
      <c r="S283" s="326"/>
      <c r="T283" s="327" t="s">
        <v>115</v>
      </c>
      <c r="U283" s="321" t="s">
        <v>62</v>
      </c>
      <c r="V283" s="321">
        <v>1.6</v>
      </c>
      <c r="W283" s="321">
        <v>1.6</v>
      </c>
      <c r="X283" s="328"/>
      <c r="Y283" s="332" t="s">
        <v>79</v>
      </c>
      <c r="Z283" s="321">
        <v>1.6</v>
      </c>
      <c r="AA283" s="330">
        <v>160000</v>
      </c>
      <c r="AB283" s="330" t="s">
        <v>65</v>
      </c>
      <c r="AC283" s="331">
        <v>0.1</v>
      </c>
      <c r="AD283" s="331">
        <v>0.02</v>
      </c>
      <c r="AE283" s="330" t="s">
        <v>66</v>
      </c>
      <c r="AF283" s="332">
        <v>40000</v>
      </c>
      <c r="AG283" s="333">
        <v>8</v>
      </c>
      <c r="AH283" s="333">
        <v>7</v>
      </c>
      <c r="AI283" s="333">
        <v>7</v>
      </c>
      <c r="AJ283" s="327">
        <v>15</v>
      </c>
      <c r="AK283" s="334" t="s">
        <v>67</v>
      </c>
      <c r="AL283" s="335" t="s">
        <v>68</v>
      </c>
      <c r="AM283" s="336" t="s">
        <v>69</v>
      </c>
      <c r="AN283" s="336" t="s">
        <v>70</v>
      </c>
      <c r="AO283" s="314">
        <f t="shared" si="515"/>
        <v>0.506956018518518</v>
      </c>
      <c r="AP283" s="315">
        <f t="shared" si="516"/>
        <v>427</v>
      </c>
      <c r="AQ283" s="316" t="str">
        <f t="shared" si="517"/>
        <v>MICRO</v>
      </c>
    </row>
    <row r="284" ht="29.25" customHeight="1" outlineLevel="1" spans="1:43">
      <c r="B284" s="317">
        <v>0.437511574074074</v>
      </c>
      <c r="C284" s="293" t="str">
        <f t="shared" ref="C284:G284" si="588">TEXT(IF($B284=0," ",$B284-C$6),"hh:mm am/pm")</f>
        <v>08:30 001/p1</v>
      </c>
      <c r="D284" s="293" t="str">
        <f t="shared" si="588"/>
        <v>06:30 001/p1</v>
      </c>
      <c r="E284" s="293" t="str">
        <f t="shared" si="588"/>
        <v>07:30 001/p1</v>
      </c>
      <c r="F284" s="293" t="str">
        <f t="shared" si="588"/>
        <v>08:30 001/p1</v>
      </c>
      <c r="G284" s="293" t="str">
        <f t="shared" si="588"/>
        <v>09:30 001/p1</v>
      </c>
      <c r="H284" s="293" t="str">
        <f t="shared" ref="H284:I284" si="589">TEXT(IF($B284=0," ",$B284+H$6),"hh:mm am/pm")</f>
        <v>16:30 001/p1</v>
      </c>
      <c r="I284" s="293" t="str">
        <f t="shared" si="589"/>
        <v>21:30 001/p1</v>
      </c>
      <c r="J284" s="294" t="s">
        <v>146</v>
      </c>
      <c r="K284" s="295"/>
      <c r="L284" s="337" t="s">
        <v>117</v>
      </c>
      <c r="M284" s="338" t="s">
        <v>71</v>
      </c>
      <c r="N284" s="339" t="s">
        <v>100</v>
      </c>
      <c r="O284" s="340" t="s">
        <v>74</v>
      </c>
      <c r="P284" s="341" t="s">
        <v>101</v>
      </c>
      <c r="Q284" s="342">
        <v>400</v>
      </c>
      <c r="R284" s="343" t="s">
        <v>60</v>
      </c>
      <c r="S284" s="344"/>
      <c r="T284" s="345" t="s">
        <v>61</v>
      </c>
      <c r="U284" s="339" t="s">
        <v>62</v>
      </c>
      <c r="V284" s="339">
        <v>3</v>
      </c>
      <c r="W284" s="339">
        <v>3</v>
      </c>
      <c r="X284" s="354"/>
      <c r="Y284" s="346" t="s">
        <v>79</v>
      </c>
      <c r="Z284" s="339">
        <v>3</v>
      </c>
      <c r="AA284" s="348">
        <v>100000</v>
      </c>
      <c r="AB284" s="348" t="s">
        <v>65</v>
      </c>
      <c r="AC284" s="349">
        <v>0.1</v>
      </c>
      <c r="AD284" s="349">
        <v>0.02</v>
      </c>
      <c r="AE284" s="348" t="s">
        <v>88</v>
      </c>
      <c r="AF284" s="346">
        <v>40000</v>
      </c>
      <c r="AG284" s="350">
        <v>8</v>
      </c>
      <c r="AH284" s="350">
        <v>7</v>
      </c>
      <c r="AI284" s="350">
        <v>7</v>
      </c>
      <c r="AJ284" s="345">
        <v>13</v>
      </c>
      <c r="AK284" s="351" t="s">
        <v>67</v>
      </c>
      <c r="AL284" s="352" t="s">
        <v>68</v>
      </c>
      <c r="AM284" s="353" t="s">
        <v>69</v>
      </c>
      <c r="AN284" s="353" t="s">
        <v>70</v>
      </c>
      <c r="AO284" s="314">
        <f t="shared" si="515"/>
        <v>0.513206018518519</v>
      </c>
      <c r="AP284" s="315">
        <f t="shared" si="516"/>
        <v>152</v>
      </c>
      <c r="AQ284" s="316" t="str">
        <f t="shared" si="517"/>
        <v>MICRO</v>
      </c>
    </row>
    <row r="285" ht="29.25" customHeight="1" outlineLevel="1" spans="1:43">
      <c r="A285" s="363"/>
      <c r="B285" s="317">
        <v>0.458344907407407</v>
      </c>
      <c r="C285" s="293" t="str">
        <f t="shared" ref="C285:G285" si="590">TEXT(IF($B285=0," ",$B285-C$6),"hh:mm am/pm")</f>
        <v>09:00 001/p1</v>
      </c>
      <c r="D285" s="293" t="str">
        <f t="shared" si="590"/>
        <v>07:00 001/p1</v>
      </c>
      <c r="E285" s="293" t="str">
        <f t="shared" si="590"/>
        <v>08:00 001/p1</v>
      </c>
      <c r="F285" s="293" t="str">
        <f t="shared" si="590"/>
        <v>09:00 001/p1</v>
      </c>
      <c r="G285" s="293" t="str">
        <f t="shared" si="590"/>
        <v>10:00 001/p1</v>
      </c>
      <c r="H285" s="293" t="str">
        <f t="shared" ref="H285:I285" si="591">TEXT(IF($B285=0," ",$B285+H$6),"hh:mm am/pm")</f>
        <v>17:00 001/p1</v>
      </c>
      <c r="I285" s="293" t="str">
        <f t="shared" si="591"/>
        <v>22:00 001/p1</v>
      </c>
      <c r="J285" s="318" t="s">
        <v>147</v>
      </c>
      <c r="K285" s="295"/>
      <c r="L285" s="319" t="s">
        <v>73</v>
      </c>
      <c r="M285" s="320" t="s">
        <v>71</v>
      </c>
      <c r="N285" s="321" t="s">
        <v>57</v>
      </c>
      <c r="O285" s="322" t="s">
        <v>74</v>
      </c>
      <c r="P285" s="323" t="s">
        <v>75</v>
      </c>
      <c r="Q285" s="324">
        <v>3200</v>
      </c>
      <c r="R285" s="325" t="s">
        <v>76</v>
      </c>
      <c r="S285" s="326"/>
      <c r="T285" s="327" t="s">
        <v>77</v>
      </c>
      <c r="U285" s="321" t="s">
        <v>78</v>
      </c>
      <c r="V285" s="321">
        <v>3</v>
      </c>
      <c r="W285" s="321">
        <v>3</v>
      </c>
      <c r="X285" s="328"/>
      <c r="Y285" s="332" t="s">
        <v>79</v>
      </c>
      <c r="Z285" s="321">
        <v>3</v>
      </c>
      <c r="AA285" s="330">
        <v>120000</v>
      </c>
      <c r="AB285" s="330" t="s">
        <v>65</v>
      </c>
      <c r="AC285" s="331">
        <v>0.1</v>
      </c>
      <c r="AD285" s="331">
        <v>0.02</v>
      </c>
      <c r="AE285" s="330" t="s">
        <v>66</v>
      </c>
      <c r="AF285" s="332">
        <v>40000</v>
      </c>
      <c r="AG285" s="333">
        <v>10</v>
      </c>
      <c r="AH285" s="333">
        <v>8</v>
      </c>
      <c r="AI285" s="333">
        <v>8</v>
      </c>
      <c r="AJ285" s="327">
        <v>14</v>
      </c>
      <c r="AK285" s="334" t="s">
        <v>67</v>
      </c>
      <c r="AL285" s="335" t="s">
        <v>68</v>
      </c>
      <c r="AM285" s="336" t="s">
        <v>69</v>
      </c>
      <c r="AN285" s="336" t="s">
        <v>70</v>
      </c>
      <c r="AO285" s="314">
        <f t="shared" si="515"/>
        <v>0.562511574074074</v>
      </c>
      <c r="AP285" s="315">
        <f t="shared" si="516"/>
        <v>1213</v>
      </c>
      <c r="AQ285" s="316" t="str">
        <f t="shared" si="517"/>
        <v>MICRO</v>
      </c>
    </row>
    <row r="286" ht="29.25" customHeight="1" outlineLevel="1" spans="1:43">
      <c r="B286" s="364">
        <v>0.458344907407407</v>
      </c>
      <c r="C286" s="293" t="str">
        <f t="shared" ref="C286:G286" si="592">TEXT(IF($B286=0," ",$B286-C$6),"hh:mm am/pm")</f>
        <v>09:00 001/p1</v>
      </c>
      <c r="D286" s="293" t="str">
        <f t="shared" si="592"/>
        <v>07:00 001/p1</v>
      </c>
      <c r="E286" s="293" t="str">
        <f t="shared" si="592"/>
        <v>08:00 001/p1</v>
      </c>
      <c r="F286" s="293" t="str">
        <f t="shared" si="592"/>
        <v>09:00 001/p1</v>
      </c>
      <c r="G286" s="293" t="str">
        <f t="shared" si="592"/>
        <v>10:00 001/p1</v>
      </c>
      <c r="H286" s="293" t="str">
        <f t="shared" ref="H286:I286" si="593">TEXT(IF($B286=0," ",$B286+H$6),"hh:mm am/pm")</f>
        <v>17:00 001/p1</v>
      </c>
      <c r="I286" s="293" t="str">
        <f t="shared" si="593"/>
        <v>22:00 001/p1</v>
      </c>
      <c r="J286" s="294" t="s">
        <v>320</v>
      </c>
      <c r="K286" s="295"/>
      <c r="L286" s="337" t="s">
        <v>129</v>
      </c>
      <c r="M286" s="338" t="s">
        <v>71</v>
      </c>
      <c r="N286" s="339" t="s">
        <v>122</v>
      </c>
      <c r="O286" s="340" t="s">
        <v>74</v>
      </c>
      <c r="P286" s="341" t="s">
        <v>101</v>
      </c>
      <c r="Q286" s="342">
        <v>150</v>
      </c>
      <c r="R286" s="343" t="s">
        <v>60</v>
      </c>
      <c r="S286" s="344"/>
      <c r="T286" s="345" t="s">
        <v>61</v>
      </c>
      <c r="U286" s="339" t="s">
        <v>62</v>
      </c>
      <c r="V286" s="339">
        <v>0.8</v>
      </c>
      <c r="W286" s="339">
        <v>0.8</v>
      </c>
      <c r="X286" s="354"/>
      <c r="Y286" s="347" t="s">
        <v>79</v>
      </c>
      <c r="Z286" s="339">
        <v>1</v>
      </c>
      <c r="AA286" s="348">
        <v>100000</v>
      </c>
      <c r="AB286" s="348" t="s">
        <v>65</v>
      </c>
      <c r="AC286" s="349">
        <v>0.1</v>
      </c>
      <c r="AD286" s="349">
        <v>0</v>
      </c>
      <c r="AE286" s="348" t="s">
        <v>66</v>
      </c>
      <c r="AF286" s="346">
        <v>40000</v>
      </c>
      <c r="AG286" s="350">
        <v>8</v>
      </c>
      <c r="AH286" s="350">
        <v>7</v>
      </c>
      <c r="AI286" s="350">
        <v>7</v>
      </c>
      <c r="AJ286" s="345">
        <v>15</v>
      </c>
      <c r="AK286" s="351" t="s">
        <v>67</v>
      </c>
      <c r="AL286" s="352" t="s">
        <v>68</v>
      </c>
      <c r="AM286" s="353" t="s">
        <v>69</v>
      </c>
      <c r="AN286" s="353" t="s">
        <v>70</v>
      </c>
      <c r="AO286" s="314">
        <f t="shared" si="515"/>
        <v>0.548622685185185</v>
      </c>
      <c r="AP286" s="315">
        <f t="shared" si="516"/>
        <v>209</v>
      </c>
      <c r="AQ286" s="316" t="str">
        <f t="shared" si="517"/>
        <v>MICRO</v>
      </c>
    </row>
    <row r="287" ht="29.25" customHeight="1" outlineLevel="1" spans="1:43">
      <c r="A287" s="363" t="s">
        <v>294</v>
      </c>
      <c r="B287" s="317">
        <v>0.458344907407407</v>
      </c>
      <c r="C287" s="293" t="str">
        <f t="shared" ref="C287:G287" si="594">TEXT(IF($B287=0," ",$B287-C$6),"hh:mm am/pm")</f>
        <v>09:00 001/p1</v>
      </c>
      <c r="D287" s="293" t="str">
        <f t="shared" si="594"/>
        <v>07:00 001/p1</v>
      </c>
      <c r="E287" s="293" t="str">
        <f t="shared" si="594"/>
        <v>08:00 001/p1</v>
      </c>
      <c r="F287" s="293" t="str">
        <f t="shared" si="594"/>
        <v>09:00 001/p1</v>
      </c>
      <c r="G287" s="293" t="str">
        <f t="shared" si="594"/>
        <v>10:00 001/p1</v>
      </c>
      <c r="H287" s="293" t="str">
        <f t="shared" ref="H287:I287" si="595">TEXT(IF($B287=0," ",$B287+H$6),"hh:mm am/pm")</f>
        <v>17:00 001/p1</v>
      </c>
      <c r="I287" s="293" t="str">
        <f t="shared" si="595"/>
        <v>22:00 001/p1</v>
      </c>
      <c r="J287" s="294" t="s">
        <v>149</v>
      </c>
      <c r="K287" s="295"/>
      <c r="L287" s="319" t="s">
        <v>149</v>
      </c>
      <c r="M287" s="320" t="s">
        <v>71</v>
      </c>
      <c r="N287" s="321" t="s">
        <v>57</v>
      </c>
      <c r="O287" s="322" t="s">
        <v>74</v>
      </c>
      <c r="P287" s="323" t="s">
        <v>75</v>
      </c>
      <c r="Q287" s="324">
        <v>40</v>
      </c>
      <c r="R287" s="375" t="s">
        <v>60</v>
      </c>
      <c r="S287" s="326"/>
      <c r="T287" s="327" t="s">
        <v>61</v>
      </c>
      <c r="U287" s="321" t="s">
        <v>62</v>
      </c>
      <c r="V287" s="321">
        <v>0.6</v>
      </c>
      <c r="W287" s="321">
        <v>0.6</v>
      </c>
      <c r="X287" s="328"/>
      <c r="Y287" s="329" t="s">
        <v>63</v>
      </c>
      <c r="Z287" s="321">
        <v>0.6</v>
      </c>
      <c r="AA287" s="330">
        <v>30000</v>
      </c>
      <c r="AB287" s="330" t="s">
        <v>65</v>
      </c>
      <c r="AC287" s="331">
        <v>0.1</v>
      </c>
      <c r="AD287" s="331">
        <v>0</v>
      </c>
      <c r="AE287" s="330" t="s">
        <v>112</v>
      </c>
      <c r="AF287" s="332">
        <v>20000</v>
      </c>
      <c r="AG287" s="333">
        <v>5</v>
      </c>
      <c r="AH287" s="333">
        <v>5</v>
      </c>
      <c r="AI287" s="333">
        <v>5</v>
      </c>
      <c r="AJ287" s="327">
        <v>15</v>
      </c>
      <c r="AK287" s="334" t="s">
        <v>150</v>
      </c>
      <c r="AL287" s="335" t="s">
        <v>68</v>
      </c>
      <c r="AM287" s="336" t="s">
        <v>69</v>
      </c>
      <c r="AN287" s="336" t="s">
        <v>70</v>
      </c>
      <c r="AO287" s="314">
        <f t="shared" si="515"/>
        <v>0.513900462962963</v>
      </c>
      <c r="AP287" s="315">
        <f t="shared" si="516"/>
        <v>75</v>
      </c>
      <c r="AQ287" s="316" t="str">
        <f t="shared" si="517"/>
        <v>MICRO</v>
      </c>
    </row>
    <row r="288" ht="29.25" customHeight="1" outlineLevel="1" spans="1:43">
      <c r="B288" s="317">
        <v>0.500011574074074</v>
      </c>
      <c r="C288" s="293" t="str">
        <f t="shared" ref="C288:G288" si="596">TEXT(IF($B288=0," ",$B288-C$6),"hh:mm am/pm")</f>
        <v>10:00 001/p1</v>
      </c>
      <c r="D288" s="293" t="str">
        <f t="shared" si="596"/>
        <v>08:00 001/p1</v>
      </c>
      <c r="E288" s="293" t="str">
        <f t="shared" si="596"/>
        <v>09:00 001/p1</v>
      </c>
      <c r="F288" s="293" t="str">
        <f t="shared" si="596"/>
        <v>10:00 001/p1</v>
      </c>
      <c r="G288" s="293" t="str">
        <f t="shared" si="596"/>
        <v>11:00 001/p1</v>
      </c>
      <c r="H288" s="293" t="str">
        <f t="shared" ref="H288:I288" si="597">TEXT(IF($B288=0," ",$B288+H$6),"hh:mm am/pm")</f>
        <v>18:00 001/p1</v>
      </c>
      <c r="I288" s="293" t="str">
        <f t="shared" si="597"/>
        <v>23:00 001/p1</v>
      </c>
      <c r="J288" s="294" t="s">
        <v>241</v>
      </c>
      <c r="K288" s="295"/>
      <c r="L288" s="337" t="s">
        <v>152</v>
      </c>
      <c r="M288" s="338" t="s">
        <v>71</v>
      </c>
      <c r="N288" s="339" t="s">
        <v>57</v>
      </c>
      <c r="O288" s="340" t="s">
        <v>104</v>
      </c>
      <c r="P288" s="341" t="s">
        <v>75</v>
      </c>
      <c r="Q288" s="342">
        <v>700</v>
      </c>
      <c r="R288" s="343" t="s">
        <v>60</v>
      </c>
      <c r="S288" s="344"/>
      <c r="T288" s="345" t="s">
        <v>61</v>
      </c>
      <c r="U288" s="339" t="s">
        <v>62</v>
      </c>
      <c r="V288" s="339">
        <v>2</v>
      </c>
      <c r="W288" s="339">
        <v>2</v>
      </c>
      <c r="X288" s="354"/>
      <c r="Y288" s="346" t="s">
        <v>63</v>
      </c>
      <c r="Z288" s="344"/>
      <c r="AA288" s="348" t="s">
        <v>64</v>
      </c>
      <c r="AB288" s="348" t="s">
        <v>65</v>
      </c>
      <c r="AC288" s="349">
        <v>0.1</v>
      </c>
      <c r="AD288" s="349">
        <v>0.02</v>
      </c>
      <c r="AE288" s="348" t="s">
        <v>88</v>
      </c>
      <c r="AF288" s="346">
        <v>50000</v>
      </c>
      <c r="AG288" s="350">
        <v>10</v>
      </c>
      <c r="AH288" s="350">
        <v>8</v>
      </c>
      <c r="AI288" s="350">
        <v>8</v>
      </c>
      <c r="AJ288" s="345">
        <v>13</v>
      </c>
      <c r="AK288" s="352" t="s">
        <v>67</v>
      </c>
      <c r="AL288" s="352" t="s">
        <v>68</v>
      </c>
      <c r="AM288" s="353" t="s">
        <v>69</v>
      </c>
      <c r="AN288" s="353" t="s">
        <v>70</v>
      </c>
      <c r="AO288" s="314">
        <f t="shared" si="515"/>
        <v>0.597233796296296</v>
      </c>
      <c r="AP288" s="315">
        <f t="shared" si="516"/>
        <v>398</v>
      </c>
      <c r="AQ288" s="316" t="str">
        <f t="shared" si="517"/>
        <v>MICRO</v>
      </c>
    </row>
    <row r="289" ht="29.25" customHeight="1" outlineLevel="1" spans="1:43">
      <c r="B289" s="317">
        <v>0.500011574074074</v>
      </c>
      <c r="C289" s="293" t="str">
        <f t="shared" ref="C289:G289" si="598">TEXT(IF($B289=0," ",$B289-C$6),"hh:mm am/pm")</f>
        <v>10:00 001/p1</v>
      </c>
      <c r="D289" s="293" t="str">
        <f t="shared" si="598"/>
        <v>08:00 001/p1</v>
      </c>
      <c r="E289" s="293" t="str">
        <f t="shared" si="598"/>
        <v>09:00 001/p1</v>
      </c>
      <c r="F289" s="293" t="str">
        <f t="shared" si="598"/>
        <v>10:00 001/p1</v>
      </c>
      <c r="G289" s="293" t="str">
        <f t="shared" si="598"/>
        <v>11:00 001/p1</v>
      </c>
      <c r="H289" s="293" t="str">
        <f t="shared" ref="H289:I289" si="599">TEXT(IF($B289=0," ",$B289+H$6),"hh:mm am/pm")</f>
        <v>18:00 001/p1</v>
      </c>
      <c r="I289" s="293" t="str">
        <f t="shared" si="599"/>
        <v>23:00 001/p1</v>
      </c>
      <c r="J289" s="318" t="s">
        <v>314</v>
      </c>
      <c r="K289" s="295"/>
      <c r="L289" s="319" t="s">
        <v>315</v>
      </c>
      <c r="M289" s="320" t="s">
        <v>71</v>
      </c>
      <c r="N289" s="321" t="s">
        <v>57</v>
      </c>
      <c r="O289" s="322" t="s">
        <v>74</v>
      </c>
      <c r="P289" s="323" t="s">
        <v>75</v>
      </c>
      <c r="Q289" s="324">
        <v>330</v>
      </c>
      <c r="R289" s="377" t="s">
        <v>181</v>
      </c>
      <c r="S289" s="326"/>
      <c r="T289" s="327" t="s">
        <v>115</v>
      </c>
      <c r="U289" s="321" t="s">
        <v>62</v>
      </c>
      <c r="V289" s="321">
        <v>0.6</v>
      </c>
      <c r="W289" s="321">
        <v>0.6</v>
      </c>
      <c r="X289" s="328"/>
      <c r="Y289" s="329" t="s">
        <v>79</v>
      </c>
      <c r="Z289" s="321">
        <v>0.8</v>
      </c>
      <c r="AA289" s="330">
        <v>100000</v>
      </c>
      <c r="AB289" s="330" t="s">
        <v>65</v>
      </c>
      <c r="AC289" s="331">
        <v>0.1</v>
      </c>
      <c r="AD289" s="331">
        <v>0</v>
      </c>
      <c r="AE289" s="330" t="s">
        <v>66</v>
      </c>
      <c r="AF289" s="332">
        <v>40000</v>
      </c>
      <c r="AG289" s="333">
        <v>7</v>
      </c>
      <c r="AH289" s="333">
        <v>6</v>
      </c>
      <c r="AI289" s="333">
        <v>6</v>
      </c>
      <c r="AJ289" s="327">
        <v>15</v>
      </c>
      <c r="AK289" s="335" t="s">
        <v>67</v>
      </c>
      <c r="AL289" s="335" t="s">
        <v>68</v>
      </c>
      <c r="AM289" s="336" t="s">
        <v>69</v>
      </c>
      <c r="AN289" s="336" t="s">
        <v>70</v>
      </c>
      <c r="AO289" s="314">
        <f t="shared" si="515"/>
        <v>0.576400462962963</v>
      </c>
      <c r="AP289" s="315">
        <f t="shared" si="516"/>
        <v>612</v>
      </c>
      <c r="AQ289" s="316" t="str">
        <f t="shared" si="517"/>
        <v>MICRO</v>
      </c>
    </row>
    <row r="290" ht="29.25" customHeight="1" outlineLevel="1" spans="1:43">
      <c r="A290" s="363" t="s">
        <v>294</v>
      </c>
      <c r="B290" s="317">
        <v>0.500011574074074</v>
      </c>
      <c r="C290" s="293" t="str">
        <f t="shared" ref="C290:G290" si="600">TEXT(IF($B290=0," ",$B290-C$6),"hh:mm am/pm")</f>
        <v>10:00 001/p1</v>
      </c>
      <c r="D290" s="293" t="str">
        <f t="shared" si="600"/>
        <v>08:00 001/p1</v>
      </c>
      <c r="E290" s="293" t="str">
        <f t="shared" si="600"/>
        <v>09:00 001/p1</v>
      </c>
      <c r="F290" s="293" t="str">
        <f t="shared" si="600"/>
        <v>10:00 001/p1</v>
      </c>
      <c r="G290" s="293" t="str">
        <f t="shared" si="600"/>
        <v>11:00 001/p1</v>
      </c>
      <c r="H290" s="293" t="str">
        <f t="shared" ref="H290:I290" si="601">TEXT(IF($B290=0," ",$B290+H$6),"hh:mm am/pm")</f>
        <v>18:00 001/p1</v>
      </c>
      <c r="I290" s="293" t="str">
        <f t="shared" si="601"/>
        <v>23:00 001/p1</v>
      </c>
      <c r="J290" s="294" t="s">
        <v>242</v>
      </c>
      <c r="K290" s="295"/>
      <c r="L290" s="337" t="s">
        <v>155</v>
      </c>
      <c r="M290" s="338" t="s">
        <v>71</v>
      </c>
      <c r="N290" s="339" t="s">
        <v>57</v>
      </c>
      <c r="O290" s="340" t="s">
        <v>74</v>
      </c>
      <c r="P290" s="341" t="s">
        <v>59</v>
      </c>
      <c r="Q290" s="342">
        <v>1600</v>
      </c>
      <c r="R290" s="343" t="s">
        <v>60</v>
      </c>
      <c r="S290" s="344"/>
      <c r="T290" s="345" t="s">
        <v>61</v>
      </c>
      <c r="U290" s="339" t="s">
        <v>62</v>
      </c>
      <c r="V290" s="339">
        <v>15</v>
      </c>
      <c r="W290" s="339">
        <v>15</v>
      </c>
      <c r="X290" s="354"/>
      <c r="Y290" s="347" t="s">
        <v>63</v>
      </c>
      <c r="Z290" s="344"/>
      <c r="AA290" s="348" t="s">
        <v>64</v>
      </c>
      <c r="AB290" s="348" t="s">
        <v>65</v>
      </c>
      <c r="AC290" s="349">
        <v>0.1</v>
      </c>
      <c r="AD290" s="349">
        <v>0.02</v>
      </c>
      <c r="AE290" s="348" t="s">
        <v>88</v>
      </c>
      <c r="AF290" s="346">
        <v>80000</v>
      </c>
      <c r="AG290" s="350">
        <v>10</v>
      </c>
      <c r="AH290" s="350">
        <v>10</v>
      </c>
      <c r="AI290" s="350">
        <v>10</v>
      </c>
      <c r="AJ290" s="345">
        <v>15</v>
      </c>
      <c r="AK290" s="352" t="s">
        <v>67</v>
      </c>
      <c r="AL290" s="352" t="s">
        <v>68</v>
      </c>
      <c r="AM290" s="353" t="s">
        <v>69</v>
      </c>
      <c r="AN290" s="353" t="s">
        <v>70</v>
      </c>
      <c r="AO290" s="314">
        <f t="shared" si="515"/>
        <v>0.611122685185185</v>
      </c>
      <c r="AP290" s="315">
        <f t="shared" si="516"/>
        <v>122</v>
      </c>
      <c r="AQ290" s="316" t="str">
        <f t="shared" si="517"/>
        <v>LOW</v>
      </c>
    </row>
    <row r="291" ht="29.25" customHeight="1" outlineLevel="1" spans="1:43">
      <c r="B291" s="317">
        <v>0.520844907407407</v>
      </c>
      <c r="C291" s="293" t="str">
        <f t="shared" ref="C291:G291" si="602">TEXT(IF($B291=0," ",$B291-C$6),"hh:mm am/pm")</f>
        <v>10:30 001/p1</v>
      </c>
      <c r="D291" s="293" t="str">
        <f t="shared" si="602"/>
        <v>08:30 001/p1</v>
      </c>
      <c r="E291" s="293" t="str">
        <f t="shared" si="602"/>
        <v>09:30 001/p1</v>
      </c>
      <c r="F291" s="293" t="str">
        <f t="shared" si="602"/>
        <v>10:30 001/p1</v>
      </c>
      <c r="G291" s="293" t="str">
        <f t="shared" si="602"/>
        <v>11:30 001/p1</v>
      </c>
      <c r="H291" s="293" t="str">
        <f t="shared" ref="H291:I291" si="603">TEXT(IF($B291=0," ",$B291+H$6),"hh:mm am/pm")</f>
        <v>18:30 001/p1</v>
      </c>
      <c r="I291" s="293" t="str">
        <f t="shared" si="603"/>
        <v>23:30 001/p1</v>
      </c>
      <c r="J291" s="294" t="s">
        <v>156</v>
      </c>
      <c r="K291" s="295"/>
      <c r="L291" s="319" t="s">
        <v>157</v>
      </c>
      <c r="M291" s="320" t="s">
        <v>71</v>
      </c>
      <c r="N291" s="321" t="s">
        <v>100</v>
      </c>
      <c r="O291" s="322" t="s">
        <v>82</v>
      </c>
      <c r="P291" s="323" t="s">
        <v>101</v>
      </c>
      <c r="Q291" s="324">
        <v>2000</v>
      </c>
      <c r="R291" s="375" t="s">
        <v>60</v>
      </c>
      <c r="S291" s="326"/>
      <c r="T291" s="327" t="s">
        <v>92</v>
      </c>
      <c r="U291" s="321" t="s">
        <v>62</v>
      </c>
      <c r="V291" s="321">
        <v>12</v>
      </c>
      <c r="W291" s="321">
        <v>12</v>
      </c>
      <c r="X291" s="328"/>
      <c r="Y291" s="329" t="s">
        <v>63</v>
      </c>
      <c r="Z291" s="326"/>
      <c r="AA291" s="330" t="s">
        <v>64</v>
      </c>
      <c r="AB291" s="330" t="s">
        <v>65</v>
      </c>
      <c r="AC291" s="331">
        <v>0.1</v>
      </c>
      <c r="AD291" s="331">
        <v>0.02</v>
      </c>
      <c r="AE291" s="330" t="s">
        <v>66</v>
      </c>
      <c r="AF291" s="332">
        <v>40000</v>
      </c>
      <c r="AG291" s="333">
        <v>12</v>
      </c>
      <c r="AH291" s="333">
        <v>10</v>
      </c>
      <c r="AI291" s="333">
        <v>10</v>
      </c>
      <c r="AJ291" s="327">
        <v>14</v>
      </c>
      <c r="AK291" s="334" t="s">
        <v>67</v>
      </c>
      <c r="AL291" s="335" t="s">
        <v>68</v>
      </c>
      <c r="AM291" s="336" t="s">
        <v>69</v>
      </c>
      <c r="AN291" s="336" t="s">
        <v>70</v>
      </c>
      <c r="AO291" s="314">
        <f t="shared" si="515"/>
        <v>0.644456018518519</v>
      </c>
      <c r="AP291" s="315">
        <f t="shared" si="516"/>
        <v>190</v>
      </c>
      <c r="AQ291" s="316" t="str">
        <f t="shared" si="517"/>
        <v>LOW</v>
      </c>
    </row>
    <row r="292" ht="29.25" customHeight="1" outlineLevel="1" spans="1:43">
      <c r="A292" s="363" t="s">
        <v>294</v>
      </c>
      <c r="B292" s="317">
        <v>0.541678240740741</v>
      </c>
      <c r="C292" s="293" t="str">
        <f t="shared" ref="C292:G292" si="604">TEXT(IF($B292=0," ",$B292-C$6),"hh:mm am/pm")</f>
        <v>11:00 001/p1</v>
      </c>
      <c r="D292" s="293" t="str">
        <f t="shared" si="604"/>
        <v>09:00 001/p1</v>
      </c>
      <c r="E292" s="293" t="str">
        <f t="shared" si="604"/>
        <v>10:00 001/p1</v>
      </c>
      <c r="F292" s="293" t="str">
        <f t="shared" si="604"/>
        <v>11:00 001/p1</v>
      </c>
      <c r="G292" s="293" t="str">
        <f t="shared" si="604"/>
        <v>12:00 001/p1</v>
      </c>
      <c r="H292" s="293" t="str">
        <f t="shared" ref="H292:I292" si="605">TEXT(IF($B292=0," ",$B292+H$6),"hh:mm am/pm")</f>
        <v>19:00 001/p1</v>
      </c>
      <c r="I292" s="293" t="str">
        <f t="shared" si="605"/>
        <v>00:00 001/p1</v>
      </c>
      <c r="J292" s="294" t="s">
        <v>243</v>
      </c>
      <c r="K292" s="295"/>
      <c r="L292" s="337" t="s">
        <v>126</v>
      </c>
      <c r="M292" s="338" t="s">
        <v>71</v>
      </c>
      <c r="N292" s="339" t="s">
        <v>57</v>
      </c>
      <c r="O292" s="340" t="s">
        <v>144</v>
      </c>
      <c r="P292" s="341" t="s">
        <v>59</v>
      </c>
      <c r="Q292" s="342">
        <v>1600</v>
      </c>
      <c r="R292" s="343" t="s">
        <v>60</v>
      </c>
      <c r="S292" s="344"/>
      <c r="T292" s="345" t="s">
        <v>61</v>
      </c>
      <c r="U292" s="339" t="s">
        <v>62</v>
      </c>
      <c r="V292" s="339">
        <v>5</v>
      </c>
      <c r="W292" s="339">
        <v>5</v>
      </c>
      <c r="X292" s="354"/>
      <c r="Y292" s="347" t="s">
        <v>63</v>
      </c>
      <c r="Z292" s="344"/>
      <c r="AA292" s="348" t="s">
        <v>64</v>
      </c>
      <c r="AB292" s="348" t="s">
        <v>65</v>
      </c>
      <c r="AC292" s="349">
        <v>0.1</v>
      </c>
      <c r="AD292" s="349">
        <v>0.02</v>
      </c>
      <c r="AE292" s="348" t="s">
        <v>88</v>
      </c>
      <c r="AF292" s="346">
        <v>60000</v>
      </c>
      <c r="AG292" s="350">
        <v>10</v>
      </c>
      <c r="AH292" s="350">
        <v>10</v>
      </c>
      <c r="AI292" s="350">
        <v>10</v>
      </c>
      <c r="AJ292" s="345">
        <v>14</v>
      </c>
      <c r="AK292" s="351" t="s">
        <v>67</v>
      </c>
      <c r="AL292" s="352" t="s">
        <v>68</v>
      </c>
      <c r="AM292" s="353" t="s">
        <v>69</v>
      </c>
      <c r="AN292" s="353" t="s">
        <v>70</v>
      </c>
      <c r="AO292" s="314">
        <f t="shared" si="515"/>
        <v>0.645844907407407</v>
      </c>
      <c r="AP292" s="315">
        <f t="shared" si="516"/>
        <v>364</v>
      </c>
      <c r="AQ292" s="316" t="str">
        <f t="shared" si="517"/>
        <v>MICRO</v>
      </c>
    </row>
    <row r="293" ht="29.25" customHeight="1" outlineLevel="1" spans="1:43">
      <c r="B293" s="317">
        <v>0.552094907407407</v>
      </c>
      <c r="C293" s="293" t="str">
        <f t="shared" ref="C293:G293" si="606">TEXT(IF($B293=0," ",$B293-C$6),"hh:mm am/pm")</f>
        <v>11:15 001/p1</v>
      </c>
      <c r="D293" s="293" t="str">
        <f t="shared" si="606"/>
        <v>09:15 001/p1</v>
      </c>
      <c r="E293" s="293" t="str">
        <f t="shared" si="606"/>
        <v>10:15 001/p1</v>
      </c>
      <c r="F293" s="293" t="str">
        <f t="shared" si="606"/>
        <v>11:15 001/p1</v>
      </c>
      <c r="G293" s="293" t="str">
        <f t="shared" si="606"/>
        <v>12:15 001/p1</v>
      </c>
      <c r="H293" s="293" t="str">
        <f t="shared" ref="H293:I293" si="607">TEXT(IF($B293=0," ",$B293+H$6),"hh:mm am/pm")</f>
        <v>19:15 001/p1</v>
      </c>
      <c r="I293" s="293" t="str">
        <f t="shared" si="607"/>
        <v>00:15 001/p1</v>
      </c>
      <c r="J293" s="294" t="s">
        <v>159</v>
      </c>
      <c r="K293" s="295"/>
      <c r="L293" s="319" t="s">
        <v>160</v>
      </c>
      <c r="M293" s="320" t="s">
        <v>71</v>
      </c>
      <c r="N293" s="321" t="s">
        <v>57</v>
      </c>
      <c r="O293" s="322" t="s">
        <v>74</v>
      </c>
      <c r="P293" s="323" t="s">
        <v>59</v>
      </c>
      <c r="Q293" s="324">
        <v>800</v>
      </c>
      <c r="R293" s="375" t="s">
        <v>60</v>
      </c>
      <c r="S293" s="326"/>
      <c r="T293" s="327" t="s">
        <v>61</v>
      </c>
      <c r="U293" s="321" t="s">
        <v>62</v>
      </c>
      <c r="V293" s="321">
        <v>7</v>
      </c>
      <c r="W293" s="326"/>
      <c r="X293" s="328"/>
      <c r="Y293" s="329" t="s">
        <v>161</v>
      </c>
      <c r="Z293" s="326"/>
      <c r="AA293" s="330" t="s">
        <v>162</v>
      </c>
      <c r="AB293" s="330" t="s">
        <v>65</v>
      </c>
      <c r="AC293" s="331">
        <v>0.1</v>
      </c>
      <c r="AD293" s="331">
        <v>0.02</v>
      </c>
      <c r="AE293" s="330" t="s">
        <v>66</v>
      </c>
      <c r="AF293" s="332">
        <v>40000</v>
      </c>
      <c r="AG293" s="333">
        <v>10</v>
      </c>
      <c r="AH293" s="333">
        <v>10</v>
      </c>
      <c r="AI293" s="333">
        <v>10</v>
      </c>
      <c r="AJ293" s="327">
        <v>14</v>
      </c>
      <c r="AK293" s="334" t="s">
        <v>67</v>
      </c>
      <c r="AL293" s="335" t="s">
        <v>68</v>
      </c>
      <c r="AM293" s="336" t="s">
        <v>69</v>
      </c>
      <c r="AN293" s="336" t="s">
        <v>70</v>
      </c>
      <c r="AO293" s="314">
        <f t="shared" si="515"/>
        <v>0.656261574074074</v>
      </c>
      <c r="AP293" s="315">
        <f t="shared" si="516"/>
        <v>130</v>
      </c>
      <c r="AQ293" s="316" t="str">
        <f t="shared" si="517"/>
        <v>LOW</v>
      </c>
    </row>
    <row r="294" ht="29.25" customHeight="1" outlineLevel="1" spans="1:43">
      <c r="A294" s="363" t="s">
        <v>294</v>
      </c>
      <c r="B294" s="317">
        <v>0.562511574074074</v>
      </c>
      <c r="C294" s="293" t="str">
        <f t="shared" ref="C294:G294" si="608">TEXT(IF($B294=0," ",$B294-C$6),"hh:mm am/pm")</f>
        <v>11:30 001/p1</v>
      </c>
      <c r="D294" s="293" t="str">
        <f t="shared" si="608"/>
        <v>09:30 001/p1</v>
      </c>
      <c r="E294" s="293" t="str">
        <f t="shared" si="608"/>
        <v>10:30 001/p1</v>
      </c>
      <c r="F294" s="293" t="str">
        <f t="shared" si="608"/>
        <v>11:30 001/p1</v>
      </c>
      <c r="G294" s="293" t="str">
        <f t="shared" si="608"/>
        <v>12:30 001/p1</v>
      </c>
      <c r="H294" s="293" t="str">
        <f t="shared" ref="H294:I294" si="609">TEXT(IF($B294=0," ",$B294+H$6),"hh:mm am/pm")</f>
        <v>19:30 001/p1</v>
      </c>
      <c r="I294" s="293" t="str">
        <f t="shared" si="609"/>
        <v>00:30 001/p1</v>
      </c>
      <c r="J294" s="294" t="s">
        <v>321</v>
      </c>
      <c r="K294" s="295"/>
      <c r="L294" s="337" t="s">
        <v>119</v>
      </c>
      <c r="M294" s="338" t="s">
        <v>71</v>
      </c>
      <c r="N294" s="339" t="s">
        <v>57</v>
      </c>
      <c r="O294" s="340" t="s">
        <v>74</v>
      </c>
      <c r="P294" s="341" t="s">
        <v>75</v>
      </c>
      <c r="Q294" s="342">
        <v>1000</v>
      </c>
      <c r="R294" s="343" t="s">
        <v>60</v>
      </c>
      <c r="S294" s="344"/>
      <c r="T294" s="345" t="s">
        <v>61</v>
      </c>
      <c r="U294" s="339" t="s">
        <v>62</v>
      </c>
      <c r="V294" s="339">
        <v>2</v>
      </c>
      <c r="W294" s="339">
        <v>2</v>
      </c>
      <c r="X294" s="354"/>
      <c r="Y294" s="347" t="s">
        <v>79</v>
      </c>
      <c r="Z294" s="339">
        <v>3</v>
      </c>
      <c r="AA294" s="348">
        <v>120000</v>
      </c>
      <c r="AB294" s="348" t="s">
        <v>65</v>
      </c>
      <c r="AC294" s="349">
        <v>0.1</v>
      </c>
      <c r="AD294" s="349">
        <v>0.02</v>
      </c>
      <c r="AE294" s="348" t="s">
        <v>66</v>
      </c>
      <c r="AF294" s="346">
        <v>40000</v>
      </c>
      <c r="AG294" s="350">
        <v>8</v>
      </c>
      <c r="AH294" s="350">
        <v>8</v>
      </c>
      <c r="AI294" s="350">
        <v>8</v>
      </c>
      <c r="AJ294" s="345">
        <v>15</v>
      </c>
      <c r="AK294" s="352" t="s">
        <v>67</v>
      </c>
      <c r="AL294" s="352" t="s">
        <v>68</v>
      </c>
      <c r="AM294" s="353" t="s">
        <v>69</v>
      </c>
      <c r="AN294" s="353" t="s">
        <v>70</v>
      </c>
      <c r="AO294" s="314">
        <f t="shared" si="515"/>
        <v>0.652789351851852</v>
      </c>
      <c r="AP294" s="315">
        <f t="shared" si="516"/>
        <v>569</v>
      </c>
      <c r="AQ294" s="316" t="str">
        <f t="shared" si="517"/>
        <v>MICRO</v>
      </c>
    </row>
    <row r="295" ht="29.25" customHeight="1" outlineLevel="1" spans="1:43">
      <c r="B295" s="317">
        <v>0.583344907407407</v>
      </c>
      <c r="C295" s="293" t="str">
        <f t="shared" ref="C295:G295" si="610">TEXT(IF($B295=0," ",$B295-C$6),"hh:mm am/pm")</f>
        <v>12:00 001/p1</v>
      </c>
      <c r="D295" s="293" t="str">
        <f t="shared" si="610"/>
        <v>10:00 001/p1</v>
      </c>
      <c r="E295" s="293" t="str">
        <f t="shared" si="610"/>
        <v>11:00 001/p1</v>
      </c>
      <c r="F295" s="293" t="str">
        <f t="shared" si="610"/>
        <v>12:00 001/p1</v>
      </c>
      <c r="G295" s="293" t="str">
        <f t="shared" si="610"/>
        <v>13:00 001/p1</v>
      </c>
      <c r="H295" s="293" t="str">
        <f t="shared" ref="H295:I295" si="611">TEXT(IF($B295=0," ",$B295+H$6),"hh:mm am/pm")</f>
        <v>20:00 001/p1</v>
      </c>
      <c r="I295" s="293" t="str">
        <f t="shared" si="611"/>
        <v>01:00 001/p1</v>
      </c>
      <c r="J295" s="294" t="s">
        <v>164</v>
      </c>
      <c r="K295" s="295"/>
      <c r="L295" s="319" t="s">
        <v>129</v>
      </c>
      <c r="M295" s="320" t="s">
        <v>71</v>
      </c>
      <c r="N295" s="321" t="s">
        <v>165</v>
      </c>
      <c r="O295" s="322" t="s">
        <v>74</v>
      </c>
      <c r="P295" s="323" t="s">
        <v>101</v>
      </c>
      <c r="Q295" s="324">
        <v>200</v>
      </c>
      <c r="R295" s="375" t="s">
        <v>60</v>
      </c>
      <c r="S295" s="326"/>
      <c r="T295" s="327" t="s">
        <v>61</v>
      </c>
      <c r="U295" s="321" t="s">
        <v>62</v>
      </c>
      <c r="V295" s="321">
        <v>2</v>
      </c>
      <c r="W295" s="321">
        <v>2</v>
      </c>
      <c r="X295" s="328"/>
      <c r="Y295" s="329" t="s">
        <v>79</v>
      </c>
      <c r="Z295" s="321">
        <v>2</v>
      </c>
      <c r="AA295" s="330">
        <v>90000</v>
      </c>
      <c r="AB295" s="330" t="s">
        <v>65</v>
      </c>
      <c r="AC295" s="331">
        <v>0.1</v>
      </c>
      <c r="AD295" s="331">
        <v>0</v>
      </c>
      <c r="AE295" s="330" t="s">
        <v>88</v>
      </c>
      <c r="AF295" s="332">
        <v>30000</v>
      </c>
      <c r="AG295" s="333">
        <v>8</v>
      </c>
      <c r="AH295" s="333">
        <v>8</v>
      </c>
      <c r="AI295" s="333">
        <v>8</v>
      </c>
      <c r="AJ295" s="327">
        <v>11</v>
      </c>
      <c r="AK295" s="334" t="s">
        <v>67</v>
      </c>
      <c r="AL295" s="335" t="s">
        <v>68</v>
      </c>
      <c r="AM295" s="336" t="s">
        <v>69</v>
      </c>
      <c r="AN295" s="336" t="s">
        <v>70</v>
      </c>
      <c r="AO295" s="314">
        <f t="shared" si="515"/>
        <v>0.647928240740741</v>
      </c>
      <c r="AP295" s="315">
        <f t="shared" si="516"/>
        <v>112</v>
      </c>
      <c r="AQ295" s="316" t="str">
        <f t="shared" si="517"/>
        <v>MICRO</v>
      </c>
    </row>
    <row r="296" ht="29.25" customHeight="1" outlineLevel="1" spans="1:43">
      <c r="B296" s="317">
        <v>0.583344907407407</v>
      </c>
      <c r="C296" s="293" t="str">
        <f t="shared" ref="C296:G296" si="612">TEXT(IF($B296=0," ",$B296-C$6),"hh:mm am/pm")</f>
        <v>12:00 001/p1</v>
      </c>
      <c r="D296" s="293" t="str">
        <f t="shared" si="612"/>
        <v>10:00 001/p1</v>
      </c>
      <c r="E296" s="293" t="str">
        <f t="shared" si="612"/>
        <v>11:00 001/p1</v>
      </c>
      <c r="F296" s="293" t="str">
        <f t="shared" si="612"/>
        <v>12:00 001/p1</v>
      </c>
      <c r="G296" s="293" t="str">
        <f t="shared" si="612"/>
        <v>13:00 001/p1</v>
      </c>
      <c r="H296" s="293" t="str">
        <f t="shared" ref="H296:I296" si="613">TEXT(IF($B296=0," ",$B296+H$6),"hh:mm am/pm")</f>
        <v>20:00 001/p1</v>
      </c>
      <c r="I296" s="293" t="str">
        <f t="shared" si="613"/>
        <v>01:00 001/p1</v>
      </c>
      <c r="J296" s="318" t="s">
        <v>322</v>
      </c>
      <c r="K296" s="295"/>
      <c r="L296" s="337" t="s">
        <v>177</v>
      </c>
      <c r="M296" s="338" t="s">
        <v>71</v>
      </c>
      <c r="N296" s="339" t="s">
        <v>57</v>
      </c>
      <c r="O296" s="340" t="s">
        <v>74</v>
      </c>
      <c r="P296" s="341" t="s">
        <v>75</v>
      </c>
      <c r="Q296" s="342">
        <v>1030</v>
      </c>
      <c r="R296" s="377" t="s">
        <v>181</v>
      </c>
      <c r="S296" s="344"/>
      <c r="T296" s="345" t="s">
        <v>77</v>
      </c>
      <c r="U296" s="339" t="s">
        <v>78</v>
      </c>
      <c r="V296" s="339">
        <v>0.6</v>
      </c>
      <c r="W296" s="339">
        <v>0.6</v>
      </c>
      <c r="X296" s="354"/>
      <c r="Y296" s="347" t="s">
        <v>79</v>
      </c>
      <c r="Z296" s="339">
        <v>0.6</v>
      </c>
      <c r="AA296" s="348">
        <v>100000</v>
      </c>
      <c r="AB296" s="348" t="s">
        <v>65</v>
      </c>
      <c r="AC296" s="349">
        <v>0.1</v>
      </c>
      <c r="AD296" s="349">
        <v>0.02</v>
      </c>
      <c r="AE296" s="348" t="s">
        <v>66</v>
      </c>
      <c r="AF296" s="346">
        <v>40000</v>
      </c>
      <c r="AG296" s="350">
        <v>8</v>
      </c>
      <c r="AH296" s="350">
        <v>7</v>
      </c>
      <c r="AI296" s="350">
        <v>7</v>
      </c>
      <c r="AJ296" s="345">
        <v>15</v>
      </c>
      <c r="AK296" s="351" t="s">
        <v>67</v>
      </c>
      <c r="AL296" s="352" t="s">
        <v>68</v>
      </c>
      <c r="AM296" s="353" t="s">
        <v>69</v>
      </c>
      <c r="AN296" s="353" t="s">
        <v>70</v>
      </c>
      <c r="AO296" s="314">
        <f t="shared" si="515"/>
        <v>0.673622685185185</v>
      </c>
      <c r="AP296" s="315">
        <f t="shared" si="516"/>
        <v>1951</v>
      </c>
      <c r="AQ296" s="316" t="str">
        <f t="shared" si="517"/>
        <v>MICRO</v>
      </c>
    </row>
    <row r="297" ht="29.25" customHeight="1" outlineLevel="1" spans="1:43">
      <c r="A297" s="363" t="s">
        <v>294</v>
      </c>
      <c r="B297" s="317">
        <v>0.583344907407407</v>
      </c>
      <c r="C297" s="293" t="str">
        <f t="shared" ref="C297:G297" si="614">TEXT(IF($B297=0," ",$B297-C$6),"hh:mm am/pm")</f>
        <v>12:00 001/p1</v>
      </c>
      <c r="D297" s="293" t="str">
        <f t="shared" si="614"/>
        <v>10:00 001/p1</v>
      </c>
      <c r="E297" s="293" t="str">
        <f t="shared" si="614"/>
        <v>11:00 001/p1</v>
      </c>
      <c r="F297" s="293" t="str">
        <f t="shared" si="614"/>
        <v>12:00 001/p1</v>
      </c>
      <c r="G297" s="293" t="str">
        <f t="shared" si="614"/>
        <v>13:00 001/p1</v>
      </c>
      <c r="H297" s="293" t="str">
        <f t="shared" ref="H297:I297" si="615">TEXT(IF($B297=0," ",$B297+H$6),"hh:mm am/pm")</f>
        <v>20:00 001/p1</v>
      </c>
      <c r="I297" s="293" t="str">
        <f t="shared" si="615"/>
        <v>01:00 001/p1</v>
      </c>
      <c r="J297" s="294" t="s">
        <v>149</v>
      </c>
      <c r="K297" s="295"/>
      <c r="L297" s="319" t="s">
        <v>149</v>
      </c>
      <c r="M297" s="320" t="s">
        <v>71</v>
      </c>
      <c r="N297" s="321" t="s">
        <v>57</v>
      </c>
      <c r="O297" s="322" t="s">
        <v>74</v>
      </c>
      <c r="P297" s="323" t="s">
        <v>75</v>
      </c>
      <c r="Q297" s="324">
        <v>40</v>
      </c>
      <c r="R297" s="375" t="s">
        <v>60</v>
      </c>
      <c r="S297" s="326"/>
      <c r="T297" s="327" t="s">
        <v>61</v>
      </c>
      <c r="U297" s="321" t="s">
        <v>62</v>
      </c>
      <c r="V297" s="321">
        <v>0.6</v>
      </c>
      <c r="W297" s="321">
        <v>0.6</v>
      </c>
      <c r="X297" s="328"/>
      <c r="Y297" s="329" t="s">
        <v>63</v>
      </c>
      <c r="Z297" s="321">
        <v>0.6</v>
      </c>
      <c r="AA297" s="330">
        <v>30000</v>
      </c>
      <c r="AB297" s="330" t="s">
        <v>65</v>
      </c>
      <c r="AC297" s="331">
        <v>0.1</v>
      </c>
      <c r="AD297" s="331">
        <v>0</v>
      </c>
      <c r="AE297" s="330" t="s">
        <v>112</v>
      </c>
      <c r="AF297" s="332">
        <v>20000</v>
      </c>
      <c r="AG297" s="333">
        <v>5</v>
      </c>
      <c r="AH297" s="333">
        <v>5</v>
      </c>
      <c r="AI297" s="333">
        <v>5</v>
      </c>
      <c r="AJ297" s="327">
        <v>15</v>
      </c>
      <c r="AK297" s="335" t="s">
        <v>150</v>
      </c>
      <c r="AL297" s="335" t="s">
        <v>68</v>
      </c>
      <c r="AM297" s="336" t="s">
        <v>69</v>
      </c>
      <c r="AN297" s="336" t="s">
        <v>70</v>
      </c>
      <c r="AO297" s="314">
        <f t="shared" si="515"/>
        <v>0.638900462962963</v>
      </c>
      <c r="AP297" s="315">
        <f t="shared" si="516"/>
        <v>75</v>
      </c>
      <c r="AQ297" s="316" t="str">
        <f t="shared" si="517"/>
        <v>MICRO</v>
      </c>
    </row>
    <row r="298" ht="29.25" customHeight="1" outlineLevel="1" spans="1:43">
      <c r="B298" s="317">
        <v>0.604178240740741</v>
      </c>
      <c r="C298" s="293" t="str">
        <f t="shared" ref="C298:G298" si="616">TEXT(IF($B298=0," ",$B298-C$6),"hh:mm am/pm")</f>
        <v>12:30 001/p1</v>
      </c>
      <c r="D298" s="293" t="str">
        <f t="shared" si="616"/>
        <v>10:30 001/p1</v>
      </c>
      <c r="E298" s="293" t="str">
        <f t="shared" si="616"/>
        <v>11:30 001/p1</v>
      </c>
      <c r="F298" s="293" t="str">
        <f t="shared" si="616"/>
        <v>12:30 001/p1</v>
      </c>
      <c r="G298" s="293" t="str">
        <f t="shared" si="616"/>
        <v>13:30 001/p1</v>
      </c>
      <c r="H298" s="293" t="str">
        <f t="shared" ref="H298:I298" si="617">TEXT(IF($B298=0," ",$B298+H$6),"hh:mm am/pm")</f>
        <v>20:30 001/p1</v>
      </c>
      <c r="I298" s="293" t="str">
        <f t="shared" si="617"/>
        <v>01:30 001/p1</v>
      </c>
      <c r="J298" s="294" t="s">
        <v>323</v>
      </c>
      <c r="K298" s="295"/>
      <c r="L298" s="337" t="s">
        <v>139</v>
      </c>
      <c r="M298" s="338" t="s">
        <v>71</v>
      </c>
      <c r="N298" s="339" t="s">
        <v>100</v>
      </c>
      <c r="O298" s="340" t="s">
        <v>82</v>
      </c>
      <c r="P298" s="341" t="s">
        <v>101</v>
      </c>
      <c r="Q298" s="342">
        <v>400</v>
      </c>
      <c r="R298" s="343" t="s">
        <v>60</v>
      </c>
      <c r="S298" s="344"/>
      <c r="T298" s="345" t="s">
        <v>61</v>
      </c>
      <c r="U298" s="339" t="s">
        <v>62</v>
      </c>
      <c r="V298" s="339">
        <v>2</v>
      </c>
      <c r="W298" s="339">
        <v>2</v>
      </c>
      <c r="X298" s="354"/>
      <c r="Y298" s="347" t="s">
        <v>63</v>
      </c>
      <c r="Z298" s="344"/>
      <c r="AA298" s="348" t="s">
        <v>64</v>
      </c>
      <c r="AB298" s="348" t="s">
        <v>65</v>
      </c>
      <c r="AC298" s="349">
        <v>0.1</v>
      </c>
      <c r="AD298" s="349">
        <v>0.02</v>
      </c>
      <c r="AE298" s="348" t="s">
        <v>66</v>
      </c>
      <c r="AF298" s="346">
        <v>50000</v>
      </c>
      <c r="AG298" s="350">
        <v>8</v>
      </c>
      <c r="AH298" s="350">
        <v>8</v>
      </c>
      <c r="AI298" s="350">
        <v>8</v>
      </c>
      <c r="AJ298" s="345">
        <v>15</v>
      </c>
      <c r="AK298" s="352" t="s">
        <v>67</v>
      </c>
      <c r="AL298" s="352" t="s">
        <v>68</v>
      </c>
      <c r="AM298" s="353" t="s">
        <v>69</v>
      </c>
      <c r="AN298" s="353" t="s">
        <v>70</v>
      </c>
      <c r="AO298" s="314">
        <f t="shared" si="515"/>
        <v>0.694456018518519</v>
      </c>
      <c r="AP298" s="315">
        <f t="shared" si="516"/>
        <v>228</v>
      </c>
      <c r="AQ298" s="316" t="str">
        <f t="shared" si="517"/>
        <v>MICRO</v>
      </c>
    </row>
    <row r="299" ht="29.25" customHeight="1" outlineLevel="1" spans="1:43">
      <c r="B299" s="317">
        <v>0.625011574074074</v>
      </c>
      <c r="C299" s="293" t="str">
        <f t="shared" ref="C299:G299" si="618">TEXT(IF($B299=0," ",$B299-C$6),"hh:mm am/pm")</f>
        <v>13:00 001/p1</v>
      </c>
      <c r="D299" s="293" t="str">
        <f t="shared" si="618"/>
        <v>11:00 001/p1</v>
      </c>
      <c r="E299" s="293" t="str">
        <f t="shared" si="618"/>
        <v>12:00 001/p1</v>
      </c>
      <c r="F299" s="293" t="str">
        <f t="shared" si="618"/>
        <v>13:00 001/p1</v>
      </c>
      <c r="G299" s="293" t="str">
        <f t="shared" si="618"/>
        <v>14:00 001/p1</v>
      </c>
      <c r="H299" s="293" t="str">
        <f t="shared" ref="H299:I299" si="619">TEXT(IF($B299=0," ",$B299+H$6),"hh:mm am/pm")</f>
        <v>21:00 001/p1</v>
      </c>
      <c r="I299" s="293" t="str">
        <f t="shared" si="619"/>
        <v>02:00 001/p1</v>
      </c>
      <c r="J299" s="318" t="s">
        <v>72</v>
      </c>
      <c r="K299" s="295"/>
      <c r="L299" s="319" t="s">
        <v>73</v>
      </c>
      <c r="M299" s="320" t="s">
        <v>71</v>
      </c>
      <c r="N299" s="321" t="s">
        <v>57</v>
      </c>
      <c r="O299" s="322" t="s">
        <v>74</v>
      </c>
      <c r="P299" s="323" t="s">
        <v>75</v>
      </c>
      <c r="Q299" s="324">
        <v>5200</v>
      </c>
      <c r="R299" s="325" t="s">
        <v>76</v>
      </c>
      <c r="S299" s="326"/>
      <c r="T299" s="327" t="s">
        <v>77</v>
      </c>
      <c r="U299" s="321" t="s">
        <v>78</v>
      </c>
      <c r="V299" s="321">
        <v>3</v>
      </c>
      <c r="W299" s="321">
        <v>3</v>
      </c>
      <c r="X299" s="328"/>
      <c r="Y299" s="329" t="s">
        <v>79</v>
      </c>
      <c r="Z299" s="321">
        <v>3</v>
      </c>
      <c r="AA299" s="330">
        <v>160000</v>
      </c>
      <c r="AB299" s="330" t="s">
        <v>65</v>
      </c>
      <c r="AC299" s="331">
        <v>0.1</v>
      </c>
      <c r="AD299" s="331">
        <v>0.02</v>
      </c>
      <c r="AE299" s="330" t="s">
        <v>88</v>
      </c>
      <c r="AF299" s="332">
        <v>40000</v>
      </c>
      <c r="AG299" s="333">
        <v>10</v>
      </c>
      <c r="AH299" s="333">
        <v>8</v>
      </c>
      <c r="AI299" s="333">
        <v>8</v>
      </c>
      <c r="AJ299" s="327">
        <v>13</v>
      </c>
      <c r="AK299" s="335" t="s">
        <v>67</v>
      </c>
      <c r="AL299" s="335" t="s">
        <v>68</v>
      </c>
      <c r="AM299" s="336" t="s">
        <v>69</v>
      </c>
      <c r="AN299" s="336" t="s">
        <v>70</v>
      </c>
      <c r="AO299" s="314">
        <f t="shared" si="515"/>
        <v>0.722233796296296</v>
      </c>
      <c r="AP299" s="315">
        <f t="shared" si="516"/>
        <v>1970</v>
      </c>
      <c r="AQ299" s="316" t="str">
        <f t="shared" si="517"/>
        <v>MICRO</v>
      </c>
    </row>
    <row r="300" ht="29.25" customHeight="1" outlineLevel="1" spans="1:43">
      <c r="A300" s="363" t="s">
        <v>294</v>
      </c>
      <c r="B300" s="317">
        <v>0.645844907407407</v>
      </c>
      <c r="C300" s="293" t="str">
        <f t="shared" ref="C300:G300" si="620">TEXT(IF($B300=0," ",$B300-C$6),"hh:mm am/pm")</f>
        <v>13:30 001/p1</v>
      </c>
      <c r="D300" s="293" t="str">
        <f t="shared" si="620"/>
        <v>11:30 001/p1</v>
      </c>
      <c r="E300" s="293" t="str">
        <f t="shared" si="620"/>
        <v>12:30 001/p1</v>
      </c>
      <c r="F300" s="293" t="str">
        <f t="shared" si="620"/>
        <v>13:30 001/p1</v>
      </c>
      <c r="G300" s="293" t="str">
        <f t="shared" si="620"/>
        <v>14:30 001/p1</v>
      </c>
      <c r="H300" s="293" t="str">
        <f t="shared" ref="H300:I300" si="621">TEXT(IF($B300=0," ",$B300+H$6),"hh:mm am/pm")</f>
        <v>21:30 001/p1</v>
      </c>
      <c r="I300" s="293" t="str">
        <f t="shared" si="621"/>
        <v>02:30 001/p1</v>
      </c>
      <c r="J300" s="294" t="s">
        <v>324</v>
      </c>
      <c r="K300" s="295"/>
      <c r="L300" s="337" t="s">
        <v>157</v>
      </c>
      <c r="M300" s="338" t="s">
        <v>71</v>
      </c>
      <c r="N300" s="339" t="s">
        <v>100</v>
      </c>
      <c r="O300" s="340" t="s">
        <v>82</v>
      </c>
      <c r="P300" s="341" t="s">
        <v>101</v>
      </c>
      <c r="Q300" s="342">
        <v>3000</v>
      </c>
      <c r="R300" s="343" t="s">
        <v>60</v>
      </c>
      <c r="S300" s="344"/>
      <c r="T300" s="345" t="s">
        <v>92</v>
      </c>
      <c r="U300" s="339" t="s">
        <v>62</v>
      </c>
      <c r="V300" s="339">
        <v>30</v>
      </c>
      <c r="W300" s="339">
        <v>30</v>
      </c>
      <c r="X300" s="354"/>
      <c r="Y300" s="347" t="s">
        <v>63</v>
      </c>
      <c r="Z300" s="344"/>
      <c r="AA300" s="348" t="s">
        <v>64</v>
      </c>
      <c r="AB300" s="348" t="s">
        <v>65</v>
      </c>
      <c r="AC300" s="349">
        <v>0.1</v>
      </c>
      <c r="AD300" s="349">
        <v>0.02</v>
      </c>
      <c r="AE300" s="348" t="s">
        <v>66</v>
      </c>
      <c r="AF300" s="346">
        <v>40000</v>
      </c>
      <c r="AG300" s="350">
        <v>10</v>
      </c>
      <c r="AH300" s="350">
        <v>10</v>
      </c>
      <c r="AI300" s="350">
        <v>10</v>
      </c>
      <c r="AJ300" s="345">
        <v>14</v>
      </c>
      <c r="AK300" s="352" t="s">
        <v>67</v>
      </c>
      <c r="AL300" s="352" t="s">
        <v>68</v>
      </c>
      <c r="AM300" s="353" t="s">
        <v>69</v>
      </c>
      <c r="AN300" s="353" t="s">
        <v>70</v>
      </c>
      <c r="AO300" s="314">
        <f t="shared" si="515"/>
        <v>0.750011574074074</v>
      </c>
      <c r="AP300" s="315">
        <f t="shared" si="516"/>
        <v>114</v>
      </c>
      <c r="AQ300" s="316" t="str">
        <f t="shared" si="517"/>
        <v>MEDIUM</v>
      </c>
    </row>
    <row r="301" ht="29.25" customHeight="1" outlineLevel="1" spans="1:43">
      <c r="B301" s="364">
        <v>0.666678240740741</v>
      </c>
      <c r="C301" s="293" t="str">
        <f t="shared" ref="C301:G301" si="622">TEXT(IF($B301=0," ",$B301-C$6),"hh:mm am/pm")</f>
        <v>14:00 001/p1</v>
      </c>
      <c r="D301" s="293" t="str">
        <f t="shared" si="622"/>
        <v>12:00 001/p1</v>
      </c>
      <c r="E301" s="293" t="str">
        <f t="shared" si="622"/>
        <v>13:00 001/p1</v>
      </c>
      <c r="F301" s="293" t="str">
        <f t="shared" si="622"/>
        <v>14:00 001/p1</v>
      </c>
      <c r="G301" s="293" t="str">
        <f t="shared" si="622"/>
        <v>15:00 001/p1</v>
      </c>
      <c r="H301" s="293" t="str">
        <f t="shared" ref="H301:I301" si="623">TEXT(IF($B301=0," ",$B301+H$6),"hh:mm am/pm")</f>
        <v>22:00 001/p1</v>
      </c>
      <c r="I301" s="293" t="str">
        <f t="shared" si="623"/>
        <v>03:00 001/p1</v>
      </c>
      <c r="J301" s="294" t="s">
        <v>137</v>
      </c>
      <c r="K301" s="295"/>
      <c r="L301" s="319" t="s">
        <v>129</v>
      </c>
      <c r="M301" s="320" t="s">
        <v>71</v>
      </c>
      <c r="N301" s="321" t="s">
        <v>122</v>
      </c>
      <c r="O301" s="322" t="s">
        <v>74</v>
      </c>
      <c r="P301" s="323" t="s">
        <v>101</v>
      </c>
      <c r="Q301" s="324">
        <v>100</v>
      </c>
      <c r="R301" s="375" t="s">
        <v>60</v>
      </c>
      <c r="S301" s="326"/>
      <c r="T301" s="327" t="s">
        <v>61</v>
      </c>
      <c r="U301" s="321" t="s">
        <v>62</v>
      </c>
      <c r="V301" s="321">
        <v>0.8</v>
      </c>
      <c r="W301" s="321">
        <v>0.8</v>
      </c>
      <c r="X301" s="328"/>
      <c r="Y301" s="329" t="s">
        <v>79</v>
      </c>
      <c r="Z301" s="321">
        <v>0.8</v>
      </c>
      <c r="AA301" s="330">
        <v>100000</v>
      </c>
      <c r="AB301" s="330" t="s">
        <v>65</v>
      </c>
      <c r="AC301" s="331">
        <v>0.1</v>
      </c>
      <c r="AD301" s="331">
        <v>0</v>
      </c>
      <c r="AE301" s="330" t="s">
        <v>88</v>
      </c>
      <c r="AF301" s="332">
        <v>40000</v>
      </c>
      <c r="AG301" s="333">
        <v>8</v>
      </c>
      <c r="AH301" s="333">
        <v>7</v>
      </c>
      <c r="AI301" s="333">
        <v>7</v>
      </c>
      <c r="AJ301" s="327">
        <v>12</v>
      </c>
      <c r="AK301" s="335" t="s">
        <v>67</v>
      </c>
      <c r="AL301" s="335" t="s">
        <v>68</v>
      </c>
      <c r="AM301" s="336" t="s">
        <v>69</v>
      </c>
      <c r="AN301" s="336" t="s">
        <v>70</v>
      </c>
      <c r="AO301" s="314">
        <f t="shared" si="515"/>
        <v>0.73681712962963</v>
      </c>
      <c r="AP301" s="315">
        <f t="shared" si="516"/>
        <v>139</v>
      </c>
      <c r="AQ301" s="316" t="str">
        <f t="shared" si="517"/>
        <v>MICRO</v>
      </c>
    </row>
    <row r="302" ht="29.25" customHeight="1" outlineLevel="1" spans="1:43">
      <c r="A302" s="363" t="s">
        <v>294</v>
      </c>
      <c r="B302" s="317">
        <v>0.666678240740741</v>
      </c>
      <c r="C302" s="293" t="str">
        <f t="shared" ref="C302:G302" si="624">TEXT(IF($B302=0," ",$B302-C$6),"hh:mm am/pm")</f>
        <v>14:00 001/p1</v>
      </c>
      <c r="D302" s="293" t="str">
        <f t="shared" si="624"/>
        <v>12:00 001/p1</v>
      </c>
      <c r="E302" s="293" t="str">
        <f t="shared" si="624"/>
        <v>13:00 001/p1</v>
      </c>
      <c r="F302" s="293" t="str">
        <f t="shared" si="624"/>
        <v>14:00 001/p1</v>
      </c>
      <c r="G302" s="293" t="str">
        <f t="shared" si="624"/>
        <v>15:00 001/p1</v>
      </c>
      <c r="H302" s="293" t="str">
        <f t="shared" ref="H302:I302" si="625">TEXT(IF($B302=0," ",$B302+H$6),"hh:mm am/pm")</f>
        <v>22:00 001/p1</v>
      </c>
      <c r="I302" s="293" t="str">
        <f t="shared" si="625"/>
        <v>03:00 001/p1</v>
      </c>
      <c r="J302" s="318" t="s">
        <v>314</v>
      </c>
      <c r="K302" s="295"/>
      <c r="L302" s="337" t="s">
        <v>315</v>
      </c>
      <c r="M302" s="338" t="s">
        <v>71</v>
      </c>
      <c r="N302" s="339" t="s">
        <v>57</v>
      </c>
      <c r="O302" s="340" t="s">
        <v>74</v>
      </c>
      <c r="P302" s="341" t="s">
        <v>75</v>
      </c>
      <c r="Q302" s="342">
        <v>330</v>
      </c>
      <c r="R302" s="377" t="s">
        <v>181</v>
      </c>
      <c r="S302" s="344"/>
      <c r="T302" s="345" t="s">
        <v>115</v>
      </c>
      <c r="U302" s="339" t="s">
        <v>62</v>
      </c>
      <c r="V302" s="339">
        <v>0.6</v>
      </c>
      <c r="W302" s="339">
        <v>0.6</v>
      </c>
      <c r="X302" s="354"/>
      <c r="Y302" s="347" t="s">
        <v>79</v>
      </c>
      <c r="Z302" s="339">
        <v>1</v>
      </c>
      <c r="AA302" s="348">
        <v>120000</v>
      </c>
      <c r="AB302" s="348" t="s">
        <v>65</v>
      </c>
      <c r="AC302" s="349">
        <v>0.1</v>
      </c>
      <c r="AD302" s="349">
        <v>0</v>
      </c>
      <c r="AE302" s="348" t="s">
        <v>66</v>
      </c>
      <c r="AF302" s="346">
        <v>40000</v>
      </c>
      <c r="AG302" s="350">
        <v>6</v>
      </c>
      <c r="AH302" s="350">
        <v>5</v>
      </c>
      <c r="AI302" s="350">
        <v>5</v>
      </c>
      <c r="AJ302" s="345">
        <v>15</v>
      </c>
      <c r="AK302" s="352" t="s">
        <v>67</v>
      </c>
      <c r="AL302" s="352" t="s">
        <v>68</v>
      </c>
      <c r="AM302" s="353" t="s">
        <v>69</v>
      </c>
      <c r="AN302" s="353" t="s">
        <v>70</v>
      </c>
      <c r="AO302" s="314">
        <f t="shared" si="515"/>
        <v>0.732650462962963</v>
      </c>
      <c r="AP302" s="315">
        <f t="shared" si="516"/>
        <v>612</v>
      </c>
      <c r="AQ302" s="316" t="str">
        <f t="shared" si="517"/>
        <v>MICRO</v>
      </c>
    </row>
    <row r="303" ht="29.25" customHeight="1" outlineLevel="1" spans="1:43">
      <c r="B303" s="317">
        <v>0.666678240740741</v>
      </c>
      <c r="C303" s="293" t="str">
        <f t="shared" ref="C303:G303" si="626">TEXT(IF($B303=0," ",$B303-C$6),"hh:mm am/pm")</f>
        <v>14:00 001/p1</v>
      </c>
      <c r="D303" s="293" t="str">
        <f t="shared" si="626"/>
        <v>12:00 001/p1</v>
      </c>
      <c r="E303" s="293" t="str">
        <f t="shared" si="626"/>
        <v>13:00 001/p1</v>
      </c>
      <c r="F303" s="293" t="str">
        <f t="shared" si="626"/>
        <v>14:00 001/p1</v>
      </c>
      <c r="G303" s="293" t="str">
        <f t="shared" si="626"/>
        <v>15:00 001/p1</v>
      </c>
      <c r="H303" s="293" t="str">
        <f t="shared" ref="H303:I303" si="627">TEXT(IF($B303=0," ",$B303+H$6),"hh:mm am/pm")</f>
        <v>22:00 001/p1</v>
      </c>
      <c r="I303" s="293" t="str">
        <f t="shared" si="627"/>
        <v>03:00 001/p1</v>
      </c>
      <c r="J303" s="318" t="s">
        <v>325</v>
      </c>
      <c r="K303" s="295"/>
      <c r="L303" s="319" t="s">
        <v>227</v>
      </c>
      <c r="M303" s="320" t="s">
        <v>71</v>
      </c>
      <c r="N303" s="321" t="s">
        <v>57</v>
      </c>
      <c r="O303" s="322" t="s">
        <v>74</v>
      </c>
      <c r="P303" s="323" t="s">
        <v>75</v>
      </c>
      <c r="Q303" s="324">
        <v>7200</v>
      </c>
      <c r="R303" s="325" t="s">
        <v>76</v>
      </c>
      <c r="S303" s="326"/>
      <c r="T303" s="327" t="s">
        <v>77</v>
      </c>
      <c r="U303" s="321" t="s">
        <v>78</v>
      </c>
      <c r="V303" s="321">
        <v>15</v>
      </c>
      <c r="W303" s="321">
        <v>15</v>
      </c>
      <c r="X303" s="328"/>
      <c r="Y303" s="329" t="s">
        <v>79</v>
      </c>
      <c r="Z303" s="321">
        <v>15</v>
      </c>
      <c r="AA303" s="330">
        <v>60000</v>
      </c>
      <c r="AB303" s="330" t="s">
        <v>65</v>
      </c>
      <c r="AC303" s="331">
        <v>0.1</v>
      </c>
      <c r="AD303" s="331">
        <v>0.02</v>
      </c>
      <c r="AE303" s="330" t="s">
        <v>66</v>
      </c>
      <c r="AF303" s="332">
        <v>20000</v>
      </c>
      <c r="AG303" s="333">
        <v>12</v>
      </c>
      <c r="AH303" s="333">
        <v>10</v>
      </c>
      <c r="AI303" s="333">
        <v>10</v>
      </c>
      <c r="AJ303" s="327">
        <v>12</v>
      </c>
      <c r="AK303" s="334" t="s">
        <v>67</v>
      </c>
      <c r="AL303" s="335" t="s">
        <v>68</v>
      </c>
      <c r="AM303" s="336" t="s">
        <v>69</v>
      </c>
      <c r="AN303" s="336" t="s">
        <v>70</v>
      </c>
      <c r="AO303" s="314">
        <f t="shared" si="515"/>
        <v>0.773622685185185</v>
      </c>
      <c r="AP303" s="315">
        <f t="shared" si="516"/>
        <v>546</v>
      </c>
      <c r="AQ303" s="316" t="str">
        <f t="shared" si="517"/>
        <v>LOW</v>
      </c>
    </row>
    <row r="304" ht="29.25" customHeight="1" outlineLevel="1" spans="1:43">
      <c r="B304" s="317">
        <v>0.687511574074074</v>
      </c>
      <c r="C304" s="293" t="str">
        <f t="shared" ref="C304:G304" si="628">TEXT(IF($B304=0," ",$B304-C$6),"hh:mm am/pm")</f>
        <v>14:30 001/p1</v>
      </c>
      <c r="D304" s="293" t="str">
        <f t="shared" si="628"/>
        <v>12:30 001/p1</v>
      </c>
      <c r="E304" s="293" t="str">
        <f t="shared" si="628"/>
        <v>13:30 001/p1</v>
      </c>
      <c r="F304" s="293" t="str">
        <f t="shared" si="628"/>
        <v>14:30 001/p1</v>
      </c>
      <c r="G304" s="293" t="str">
        <f t="shared" si="628"/>
        <v>15:30 001/p1</v>
      </c>
      <c r="H304" s="293" t="str">
        <f t="shared" ref="H304:I304" si="629">TEXT(IF($B304=0," ",$B304+H$6),"hh:mm am/pm")</f>
        <v>22:30 001/p1</v>
      </c>
      <c r="I304" s="293" t="str">
        <f t="shared" si="629"/>
        <v>03:30 001/p1</v>
      </c>
      <c r="J304" s="294" t="s">
        <v>326</v>
      </c>
      <c r="K304" s="295"/>
      <c r="L304" s="337" t="s">
        <v>160</v>
      </c>
      <c r="M304" s="338" t="s">
        <v>71</v>
      </c>
      <c r="N304" s="339" t="s">
        <v>57</v>
      </c>
      <c r="O304" s="340" t="s">
        <v>74</v>
      </c>
      <c r="P304" s="341" t="s">
        <v>59</v>
      </c>
      <c r="Q304" s="342">
        <v>1500</v>
      </c>
      <c r="R304" s="343" t="s">
        <v>60</v>
      </c>
      <c r="S304" s="344"/>
      <c r="T304" s="345" t="s">
        <v>61</v>
      </c>
      <c r="U304" s="339" t="s">
        <v>62</v>
      </c>
      <c r="V304" s="339">
        <v>10</v>
      </c>
      <c r="W304" s="344"/>
      <c r="X304" s="354"/>
      <c r="Y304" s="347" t="s">
        <v>161</v>
      </c>
      <c r="Z304" s="344"/>
      <c r="AA304" s="348" t="s">
        <v>162</v>
      </c>
      <c r="AB304" s="348" t="s">
        <v>65</v>
      </c>
      <c r="AC304" s="349">
        <v>0.1</v>
      </c>
      <c r="AD304" s="349">
        <v>0.02</v>
      </c>
      <c r="AE304" s="348" t="s">
        <v>66</v>
      </c>
      <c r="AF304" s="346">
        <v>50000</v>
      </c>
      <c r="AG304" s="350">
        <v>12</v>
      </c>
      <c r="AH304" s="350">
        <v>10</v>
      </c>
      <c r="AI304" s="350">
        <v>10</v>
      </c>
      <c r="AJ304" s="345">
        <v>15</v>
      </c>
      <c r="AK304" s="351" t="s">
        <v>67</v>
      </c>
      <c r="AL304" s="352" t="s">
        <v>68</v>
      </c>
      <c r="AM304" s="353" t="s">
        <v>69</v>
      </c>
      <c r="AN304" s="353" t="s">
        <v>70</v>
      </c>
      <c r="AO304" s="314">
        <f t="shared" si="515"/>
        <v>0.822928240740741</v>
      </c>
      <c r="AP304" s="315">
        <f t="shared" si="516"/>
        <v>171</v>
      </c>
      <c r="AQ304" s="316" t="str">
        <f t="shared" si="517"/>
        <v>LOW</v>
      </c>
    </row>
    <row r="305" ht="29.25" customHeight="1" outlineLevel="1" spans="1:43">
      <c r="A305" s="363" t="s">
        <v>294</v>
      </c>
      <c r="B305" s="317">
        <v>0.708344907407407</v>
      </c>
      <c r="C305" s="293" t="str">
        <f t="shared" ref="C305:G305" si="630">TEXT(IF($B305=0," ",$B305-C$6),"hh:mm am/pm")</f>
        <v>15:00 001/p1</v>
      </c>
      <c r="D305" s="293" t="str">
        <f t="shared" si="630"/>
        <v>13:00 001/p1</v>
      </c>
      <c r="E305" s="293" t="str">
        <f t="shared" si="630"/>
        <v>14:00 001/p1</v>
      </c>
      <c r="F305" s="293" t="str">
        <f t="shared" si="630"/>
        <v>15:00 001/p1</v>
      </c>
      <c r="G305" s="293" t="str">
        <f t="shared" si="630"/>
        <v>16:00 001/p1</v>
      </c>
      <c r="H305" s="293" t="str">
        <f t="shared" ref="H305:I305" si="631">TEXT(IF($B305=0," ",$B305+H$6),"hh:mm am/pm")</f>
        <v>23:00 001/p1</v>
      </c>
      <c r="I305" s="293" t="str">
        <f t="shared" si="631"/>
        <v>04:00 001/p1</v>
      </c>
      <c r="J305" s="294" t="s">
        <v>327</v>
      </c>
      <c r="K305" s="295"/>
      <c r="L305" s="319" t="s">
        <v>328</v>
      </c>
      <c r="M305" s="320" t="s">
        <v>71</v>
      </c>
      <c r="N305" s="321" t="s">
        <v>57</v>
      </c>
      <c r="O305" s="322" t="s">
        <v>82</v>
      </c>
      <c r="P305" s="323" t="s">
        <v>75</v>
      </c>
      <c r="Q305" s="324">
        <v>1100</v>
      </c>
      <c r="R305" s="375" t="s">
        <v>60</v>
      </c>
      <c r="S305" s="326"/>
      <c r="T305" s="327" t="s">
        <v>61</v>
      </c>
      <c r="U305" s="321" t="s">
        <v>62</v>
      </c>
      <c r="V305" s="321">
        <v>2.2</v>
      </c>
      <c r="W305" s="321">
        <v>2.2</v>
      </c>
      <c r="X305" s="328"/>
      <c r="Y305" s="329" t="s">
        <v>63</v>
      </c>
      <c r="Z305" s="326"/>
      <c r="AA305" s="330" t="s">
        <v>64</v>
      </c>
      <c r="AB305" s="330" t="s">
        <v>65</v>
      </c>
      <c r="AC305" s="331">
        <v>0.1</v>
      </c>
      <c r="AD305" s="331">
        <v>0.02</v>
      </c>
      <c r="AE305" s="330" t="s">
        <v>66</v>
      </c>
      <c r="AF305" s="332">
        <v>50000</v>
      </c>
      <c r="AG305" s="333">
        <v>10</v>
      </c>
      <c r="AH305" s="333">
        <v>8</v>
      </c>
      <c r="AI305" s="333">
        <v>8</v>
      </c>
      <c r="AJ305" s="327">
        <v>15</v>
      </c>
      <c r="AK305" s="335" t="s">
        <v>67</v>
      </c>
      <c r="AL305" s="335" t="s">
        <v>68</v>
      </c>
      <c r="AM305" s="336" t="s">
        <v>69</v>
      </c>
      <c r="AN305" s="336" t="s">
        <v>70</v>
      </c>
      <c r="AO305" s="314">
        <f t="shared" si="515"/>
        <v>0.819456018518518</v>
      </c>
      <c r="AP305" s="315">
        <f t="shared" si="516"/>
        <v>569</v>
      </c>
      <c r="AQ305" s="316" t="str">
        <f t="shared" si="517"/>
        <v>MICRO</v>
      </c>
    </row>
    <row r="306" ht="29.25" customHeight="1" outlineLevel="1" spans="1:43">
      <c r="B306" s="317">
        <v>0.708344907407407</v>
      </c>
      <c r="C306" s="293" t="str">
        <f t="shared" ref="C306:G306" si="632">TEXT(IF($B306=0," ",$B306-C$6),"hh:mm am/pm")</f>
        <v>15:00 001/p1</v>
      </c>
      <c r="D306" s="293" t="str">
        <f t="shared" si="632"/>
        <v>13:00 001/p1</v>
      </c>
      <c r="E306" s="293" t="str">
        <f t="shared" si="632"/>
        <v>14:00 001/p1</v>
      </c>
      <c r="F306" s="293" t="str">
        <f t="shared" si="632"/>
        <v>15:00 001/p1</v>
      </c>
      <c r="G306" s="293" t="str">
        <f t="shared" si="632"/>
        <v>16:00 001/p1</v>
      </c>
      <c r="H306" s="293" t="str">
        <f t="shared" ref="H306:I306" si="633">TEXT(IF($B306=0," ",$B306+H$6),"hh:mm am/pm")</f>
        <v>23:00 001/p1</v>
      </c>
      <c r="I306" s="293" t="str">
        <f t="shared" si="633"/>
        <v>04:00 001/p1</v>
      </c>
      <c r="J306" s="294" t="s">
        <v>149</v>
      </c>
      <c r="K306" s="295"/>
      <c r="L306" s="337" t="s">
        <v>149</v>
      </c>
      <c r="M306" s="338" t="s">
        <v>71</v>
      </c>
      <c r="N306" s="339" t="s">
        <v>57</v>
      </c>
      <c r="O306" s="340" t="s">
        <v>74</v>
      </c>
      <c r="P306" s="341" t="s">
        <v>75</v>
      </c>
      <c r="Q306" s="342">
        <v>40</v>
      </c>
      <c r="R306" s="343" t="s">
        <v>60</v>
      </c>
      <c r="S306" s="344"/>
      <c r="T306" s="345" t="s">
        <v>61</v>
      </c>
      <c r="U306" s="339" t="s">
        <v>62</v>
      </c>
      <c r="V306" s="339">
        <v>0.6</v>
      </c>
      <c r="W306" s="339">
        <v>0.6</v>
      </c>
      <c r="X306" s="354"/>
      <c r="Y306" s="347" t="s">
        <v>63</v>
      </c>
      <c r="Z306" s="339">
        <v>0.6</v>
      </c>
      <c r="AA306" s="348">
        <v>30000</v>
      </c>
      <c r="AB306" s="348" t="s">
        <v>65</v>
      </c>
      <c r="AC306" s="349">
        <v>0.1</v>
      </c>
      <c r="AD306" s="349">
        <v>0</v>
      </c>
      <c r="AE306" s="348" t="s">
        <v>112</v>
      </c>
      <c r="AF306" s="346">
        <v>20000</v>
      </c>
      <c r="AG306" s="350">
        <v>5</v>
      </c>
      <c r="AH306" s="350">
        <v>5</v>
      </c>
      <c r="AI306" s="350">
        <v>5</v>
      </c>
      <c r="AJ306" s="345">
        <v>15</v>
      </c>
      <c r="AK306" s="352" t="s">
        <v>150</v>
      </c>
      <c r="AL306" s="352" t="s">
        <v>68</v>
      </c>
      <c r="AM306" s="353" t="s">
        <v>69</v>
      </c>
      <c r="AN306" s="353" t="s">
        <v>70</v>
      </c>
      <c r="AO306" s="314">
        <f t="shared" si="515"/>
        <v>0.763900462962963</v>
      </c>
      <c r="AP306" s="315">
        <f t="shared" si="516"/>
        <v>75</v>
      </c>
      <c r="AQ306" s="316" t="str">
        <f t="shared" si="517"/>
        <v>MICRO</v>
      </c>
    </row>
    <row r="307" ht="29.25" customHeight="1" outlineLevel="1" spans="1:43">
      <c r="B307" s="317">
        <v>0.729178240740741</v>
      </c>
      <c r="C307" s="293" t="str">
        <f t="shared" ref="C307:G307" si="634">TEXT(IF($B307=0," ",$B307-C$6),"hh:mm am/pm")</f>
        <v>15:30 001/p1</v>
      </c>
      <c r="D307" s="293" t="str">
        <f t="shared" si="634"/>
        <v>13:30 001/p1</v>
      </c>
      <c r="E307" s="293" t="str">
        <f t="shared" si="634"/>
        <v>14:30 001/p1</v>
      </c>
      <c r="F307" s="293" t="str">
        <f t="shared" si="634"/>
        <v>15:30 001/p1</v>
      </c>
      <c r="G307" s="293" t="str">
        <f t="shared" si="634"/>
        <v>16:30 001/p1</v>
      </c>
      <c r="H307" s="293" t="str">
        <f t="shared" ref="H307:I307" si="635">TEXT(IF($B307=0," ",$B307+H$6),"hh:mm am/pm")</f>
        <v>23:30 001/p1</v>
      </c>
      <c r="I307" s="293" t="str">
        <f t="shared" si="635"/>
        <v>04:30 001/p1</v>
      </c>
      <c r="J307" s="294" t="s">
        <v>329</v>
      </c>
      <c r="K307" s="295"/>
      <c r="L307" s="319" t="s">
        <v>124</v>
      </c>
      <c r="M307" s="320" t="s">
        <v>71</v>
      </c>
      <c r="N307" s="321" t="s">
        <v>165</v>
      </c>
      <c r="O307" s="322" t="s">
        <v>82</v>
      </c>
      <c r="P307" s="323" t="s">
        <v>101</v>
      </c>
      <c r="Q307" s="324">
        <v>200</v>
      </c>
      <c r="R307" s="375" t="s">
        <v>60</v>
      </c>
      <c r="S307" s="326"/>
      <c r="T307" s="327" t="s">
        <v>61</v>
      </c>
      <c r="U307" s="321" t="s">
        <v>62</v>
      </c>
      <c r="V307" s="321">
        <v>1</v>
      </c>
      <c r="W307" s="321">
        <v>1</v>
      </c>
      <c r="X307" s="328"/>
      <c r="Y307" s="329" t="s">
        <v>63</v>
      </c>
      <c r="Z307" s="326"/>
      <c r="AA307" s="330" t="s">
        <v>64</v>
      </c>
      <c r="AB307" s="330" t="s">
        <v>65</v>
      </c>
      <c r="AC307" s="331">
        <v>0.1</v>
      </c>
      <c r="AD307" s="331">
        <v>0</v>
      </c>
      <c r="AE307" s="330" t="s">
        <v>66</v>
      </c>
      <c r="AF307" s="332">
        <v>50000</v>
      </c>
      <c r="AG307" s="333">
        <v>8</v>
      </c>
      <c r="AH307" s="333">
        <v>7</v>
      </c>
      <c r="AI307" s="333">
        <v>7</v>
      </c>
      <c r="AJ307" s="327">
        <v>15</v>
      </c>
      <c r="AK307" s="335" t="s">
        <v>67</v>
      </c>
      <c r="AL307" s="335" t="s">
        <v>68</v>
      </c>
      <c r="AM307" s="336" t="s">
        <v>69</v>
      </c>
      <c r="AN307" s="336" t="s">
        <v>70</v>
      </c>
      <c r="AO307" s="314">
        <f t="shared" si="515"/>
        <v>0.819456018518519</v>
      </c>
      <c r="AP307" s="315">
        <f t="shared" si="516"/>
        <v>223</v>
      </c>
      <c r="AQ307" s="316" t="str">
        <f t="shared" si="517"/>
        <v>MICRO</v>
      </c>
    </row>
    <row r="308" ht="29.25" customHeight="1" outlineLevel="1" spans="1:43">
      <c r="A308" s="363" t="s">
        <v>294</v>
      </c>
      <c r="B308" s="317">
        <v>0.750011574074074</v>
      </c>
      <c r="C308" s="293" t="str">
        <f t="shared" ref="C308:G308" si="636">TEXT(IF($B308=0," ",$B308-C$6),"hh:mm am/pm")</f>
        <v>16:00 001/p1</v>
      </c>
      <c r="D308" s="293" t="str">
        <f t="shared" si="636"/>
        <v>14:00 001/p1</v>
      </c>
      <c r="E308" s="293" t="str">
        <f t="shared" si="636"/>
        <v>15:00 001/p1</v>
      </c>
      <c r="F308" s="293" t="str">
        <f t="shared" si="636"/>
        <v>16:00 001/p1</v>
      </c>
      <c r="G308" s="293" t="str">
        <f t="shared" si="636"/>
        <v>17:00 001/p1</v>
      </c>
      <c r="H308" s="293" t="str">
        <f t="shared" ref="H308:I308" si="637">TEXT(IF($B308=0," ",$B308+H$6),"hh:mm am/pm")</f>
        <v>00:00 001/p1</v>
      </c>
      <c r="I308" s="293" t="str">
        <f t="shared" si="637"/>
        <v>05:00 001/p1</v>
      </c>
      <c r="J308" s="294" t="s">
        <v>164</v>
      </c>
      <c r="K308" s="295"/>
      <c r="L308" s="337" t="s">
        <v>129</v>
      </c>
      <c r="M308" s="338" t="s">
        <v>71</v>
      </c>
      <c r="N308" s="339" t="s">
        <v>122</v>
      </c>
      <c r="O308" s="340" t="s">
        <v>74</v>
      </c>
      <c r="P308" s="341" t="s">
        <v>59</v>
      </c>
      <c r="Q308" s="342">
        <v>200</v>
      </c>
      <c r="R308" s="343" t="s">
        <v>60</v>
      </c>
      <c r="S308" s="344"/>
      <c r="T308" s="345" t="s">
        <v>61</v>
      </c>
      <c r="U308" s="339" t="s">
        <v>62</v>
      </c>
      <c r="V308" s="339">
        <v>2</v>
      </c>
      <c r="W308" s="339">
        <v>2</v>
      </c>
      <c r="X308" s="354"/>
      <c r="Y308" s="347" t="s">
        <v>79</v>
      </c>
      <c r="Z308" s="339">
        <v>2</v>
      </c>
      <c r="AA308" s="348">
        <v>100000</v>
      </c>
      <c r="AB308" s="348" t="s">
        <v>65</v>
      </c>
      <c r="AC308" s="349">
        <v>0.1</v>
      </c>
      <c r="AD308" s="349">
        <v>0</v>
      </c>
      <c r="AE308" s="348" t="s">
        <v>66</v>
      </c>
      <c r="AF308" s="346">
        <v>50000</v>
      </c>
      <c r="AG308" s="350">
        <v>8</v>
      </c>
      <c r="AH308" s="350">
        <v>8</v>
      </c>
      <c r="AI308" s="350">
        <v>8</v>
      </c>
      <c r="AJ308" s="345">
        <v>14</v>
      </c>
      <c r="AK308" s="352" t="s">
        <v>67</v>
      </c>
      <c r="AL308" s="352" t="s">
        <v>68</v>
      </c>
      <c r="AM308" s="353" t="s">
        <v>69</v>
      </c>
      <c r="AN308" s="353" t="s">
        <v>70</v>
      </c>
      <c r="AO308" s="314">
        <f t="shared" si="515"/>
        <v>0.831261574074074</v>
      </c>
      <c r="AP308" s="315">
        <f t="shared" si="516"/>
        <v>112</v>
      </c>
      <c r="AQ308" s="316" t="str">
        <f t="shared" si="517"/>
        <v>MICRO</v>
      </c>
    </row>
    <row r="309" ht="29.25" customHeight="1" outlineLevel="1" spans="1:43">
      <c r="B309" s="364">
        <v>0.770844907407407</v>
      </c>
      <c r="C309" s="293" t="str">
        <f t="shared" ref="C309:G309" si="638">TEXT(IF($B309=0," ",$B309-C$6),"hh:mm am/pm")</f>
        <v>16:30 001/p1</v>
      </c>
      <c r="D309" s="293" t="str">
        <f t="shared" si="638"/>
        <v>14:30 001/p1</v>
      </c>
      <c r="E309" s="293" t="str">
        <f t="shared" si="638"/>
        <v>15:30 001/p1</v>
      </c>
      <c r="F309" s="293" t="str">
        <f t="shared" si="638"/>
        <v>16:30 001/p1</v>
      </c>
      <c r="G309" s="293" t="str">
        <f t="shared" si="638"/>
        <v>17:30 001/p1</v>
      </c>
      <c r="H309" s="293" t="str">
        <f t="shared" ref="H309:I309" si="639">TEXT(IF($B309=0," ",$B309+H$6),"hh:mm am/pm")</f>
        <v>00:30 001/p1</v>
      </c>
      <c r="I309" s="293" t="str">
        <f t="shared" si="639"/>
        <v>05:30 001/p1</v>
      </c>
      <c r="J309" s="318" t="s">
        <v>330</v>
      </c>
      <c r="K309" s="295"/>
      <c r="L309" s="319" t="s">
        <v>177</v>
      </c>
      <c r="M309" s="320" t="s">
        <v>71</v>
      </c>
      <c r="N309" s="321" t="s">
        <v>57</v>
      </c>
      <c r="O309" s="322" t="s">
        <v>74</v>
      </c>
      <c r="P309" s="323" t="s">
        <v>75</v>
      </c>
      <c r="Q309" s="324">
        <v>5200</v>
      </c>
      <c r="R309" s="325" t="s">
        <v>76</v>
      </c>
      <c r="S309" s="326"/>
      <c r="T309" s="327" t="s">
        <v>77</v>
      </c>
      <c r="U309" s="321" t="s">
        <v>78</v>
      </c>
      <c r="V309" s="321">
        <v>2</v>
      </c>
      <c r="W309" s="321">
        <v>2</v>
      </c>
      <c r="X309" s="328"/>
      <c r="Y309" s="329" t="s">
        <v>79</v>
      </c>
      <c r="Z309" s="321">
        <v>3</v>
      </c>
      <c r="AA309" s="330">
        <v>160000</v>
      </c>
      <c r="AB309" s="330" t="s">
        <v>65</v>
      </c>
      <c r="AC309" s="331">
        <v>0.1</v>
      </c>
      <c r="AD309" s="331">
        <v>0.02</v>
      </c>
      <c r="AE309" s="330" t="s">
        <v>66</v>
      </c>
      <c r="AF309" s="332">
        <v>40000</v>
      </c>
      <c r="AG309" s="333">
        <v>8</v>
      </c>
      <c r="AH309" s="333">
        <v>7</v>
      </c>
      <c r="AI309" s="333">
        <v>7</v>
      </c>
      <c r="AJ309" s="327">
        <v>15</v>
      </c>
      <c r="AK309" s="335" t="s">
        <v>67</v>
      </c>
      <c r="AL309" s="335" t="s">
        <v>68</v>
      </c>
      <c r="AM309" s="336" t="s">
        <v>69</v>
      </c>
      <c r="AN309" s="336" t="s">
        <v>70</v>
      </c>
      <c r="AO309" s="314">
        <f t="shared" si="515"/>
        <v>0.861122685185185</v>
      </c>
      <c r="AP309" s="315">
        <f t="shared" si="516"/>
        <v>2955</v>
      </c>
      <c r="AQ309" s="316" t="str">
        <f t="shared" si="517"/>
        <v>MICRO</v>
      </c>
    </row>
    <row r="310" ht="29.25" customHeight="1" outlineLevel="1" spans="1:43">
      <c r="B310" s="317">
        <v>0.791678240740741</v>
      </c>
      <c r="C310" s="293" t="str">
        <f t="shared" ref="C310:G310" si="640">TEXT(IF($B310=0," ",$B310-C$6),"hh:mm am/pm")</f>
        <v>17:00 001/p1</v>
      </c>
      <c r="D310" s="293" t="str">
        <f t="shared" si="640"/>
        <v>15:00 001/p1</v>
      </c>
      <c r="E310" s="293" t="str">
        <f t="shared" si="640"/>
        <v>16:00 001/p1</v>
      </c>
      <c r="F310" s="293" t="str">
        <f t="shared" si="640"/>
        <v>17:00 001/p1</v>
      </c>
      <c r="G310" s="293" t="str">
        <f t="shared" si="640"/>
        <v>18:00 001/p1</v>
      </c>
      <c r="H310" s="293" t="str">
        <f t="shared" ref="H310:I310" si="641">TEXT(IF($B310=0," ",$B310+H$6),"hh:mm am/pm")</f>
        <v>01:00 001/p1</v>
      </c>
      <c r="I310" s="293" t="str">
        <f t="shared" si="641"/>
        <v>06:00 001/p1</v>
      </c>
      <c r="J310" s="294" t="s">
        <v>120</v>
      </c>
      <c r="K310" s="295"/>
      <c r="L310" s="337" t="s">
        <v>121</v>
      </c>
      <c r="M310" s="338" t="s">
        <v>71</v>
      </c>
      <c r="N310" s="339" t="s">
        <v>100</v>
      </c>
      <c r="O310" s="340" t="s">
        <v>109</v>
      </c>
      <c r="P310" s="341" t="s">
        <v>101</v>
      </c>
      <c r="Q310" s="342">
        <v>500</v>
      </c>
      <c r="R310" s="343" t="s">
        <v>60</v>
      </c>
      <c r="S310" s="344"/>
      <c r="T310" s="345" t="s">
        <v>61</v>
      </c>
      <c r="U310" s="339" t="s">
        <v>62</v>
      </c>
      <c r="V310" s="339">
        <v>2</v>
      </c>
      <c r="W310" s="339">
        <v>2</v>
      </c>
      <c r="X310" s="354"/>
      <c r="Y310" s="347" t="s">
        <v>63</v>
      </c>
      <c r="Z310" s="344"/>
      <c r="AA310" s="348" t="s">
        <v>64</v>
      </c>
      <c r="AB310" s="348" t="s">
        <v>65</v>
      </c>
      <c r="AC310" s="349">
        <v>0.1</v>
      </c>
      <c r="AD310" s="349">
        <v>0.02</v>
      </c>
      <c r="AE310" s="348" t="s">
        <v>66</v>
      </c>
      <c r="AF310" s="346">
        <v>40000</v>
      </c>
      <c r="AG310" s="350">
        <v>10</v>
      </c>
      <c r="AH310" s="350">
        <v>8</v>
      </c>
      <c r="AI310" s="350">
        <v>8</v>
      </c>
      <c r="AJ310" s="345">
        <v>14</v>
      </c>
      <c r="AK310" s="352" t="s">
        <v>67</v>
      </c>
      <c r="AL310" s="352" t="s">
        <v>68</v>
      </c>
      <c r="AM310" s="353" t="s">
        <v>69</v>
      </c>
      <c r="AN310" s="353" t="s">
        <v>70</v>
      </c>
      <c r="AO310" s="314">
        <f t="shared" si="515"/>
        <v>0.895844907407407</v>
      </c>
      <c r="AP310" s="315">
        <f t="shared" si="516"/>
        <v>285</v>
      </c>
      <c r="AQ310" s="316" t="str">
        <f t="shared" si="517"/>
        <v>MICRO</v>
      </c>
    </row>
    <row r="311" ht="29.25" customHeight="1" outlineLevel="1" spans="1:43">
      <c r="A311" s="363" t="s">
        <v>294</v>
      </c>
      <c r="B311" s="317">
        <v>0.791678240740741</v>
      </c>
      <c r="C311" s="293" t="str">
        <f t="shared" ref="C311:G311" si="642">TEXT(IF($B311=0," ",$B311-C$6),"hh:mm am/pm")</f>
        <v>17:00 001/p1</v>
      </c>
      <c r="D311" s="293" t="str">
        <f t="shared" si="642"/>
        <v>15:00 001/p1</v>
      </c>
      <c r="E311" s="293" t="str">
        <f t="shared" si="642"/>
        <v>16:00 001/p1</v>
      </c>
      <c r="F311" s="293" t="str">
        <f t="shared" si="642"/>
        <v>17:00 001/p1</v>
      </c>
      <c r="G311" s="293" t="str">
        <f t="shared" si="642"/>
        <v>18:00 001/p1</v>
      </c>
      <c r="H311" s="293" t="str">
        <f t="shared" ref="H311:I311" si="643">TEXT(IF($B311=0," ",$B311+H$6),"hh:mm am/pm")</f>
        <v>01:00 001/p1</v>
      </c>
      <c r="I311" s="293" t="str">
        <f t="shared" si="643"/>
        <v>06:00 001/p1</v>
      </c>
      <c r="J311" s="294" t="s">
        <v>331</v>
      </c>
      <c r="K311" s="295"/>
      <c r="L311" s="319" t="s">
        <v>255</v>
      </c>
      <c r="M311" s="320" t="s">
        <v>71</v>
      </c>
      <c r="N311" s="321" t="s">
        <v>57</v>
      </c>
      <c r="O311" s="322" t="s">
        <v>104</v>
      </c>
      <c r="P311" s="323" t="s">
        <v>59</v>
      </c>
      <c r="Q311" s="324">
        <v>1000</v>
      </c>
      <c r="R311" s="375" t="s">
        <v>60</v>
      </c>
      <c r="S311" s="326"/>
      <c r="T311" s="327" t="s">
        <v>61</v>
      </c>
      <c r="U311" s="321" t="s">
        <v>62</v>
      </c>
      <c r="V311" s="321">
        <v>1</v>
      </c>
      <c r="W311" s="321">
        <v>1</v>
      </c>
      <c r="X311" s="328"/>
      <c r="Y311" s="329" t="s">
        <v>63</v>
      </c>
      <c r="Z311" s="326"/>
      <c r="AA311" s="330" t="s">
        <v>64</v>
      </c>
      <c r="AB311" s="330" t="s">
        <v>65</v>
      </c>
      <c r="AC311" s="331">
        <v>0.1</v>
      </c>
      <c r="AD311" s="331">
        <v>0.02</v>
      </c>
      <c r="AE311" s="330" t="s">
        <v>66</v>
      </c>
      <c r="AF311" s="332">
        <v>30000</v>
      </c>
      <c r="AG311" s="333">
        <v>10</v>
      </c>
      <c r="AH311" s="333">
        <v>8</v>
      </c>
      <c r="AI311" s="333">
        <v>8</v>
      </c>
      <c r="AJ311" s="327">
        <v>13</v>
      </c>
      <c r="AK311" s="335" t="s">
        <v>67</v>
      </c>
      <c r="AL311" s="335" t="s">
        <v>68</v>
      </c>
      <c r="AM311" s="336" t="s">
        <v>69</v>
      </c>
      <c r="AN311" s="336" t="s">
        <v>70</v>
      </c>
      <c r="AO311" s="314">
        <f t="shared" si="515"/>
        <v>0.888900462962963</v>
      </c>
      <c r="AP311" s="315">
        <f t="shared" si="516"/>
        <v>1137</v>
      </c>
      <c r="AQ311" s="316" t="str">
        <f t="shared" si="517"/>
        <v>MICRO</v>
      </c>
    </row>
    <row r="312" ht="29.25" customHeight="1" outlineLevel="1" spans="1:43">
      <c r="B312" s="317">
        <v>0.791678240740741</v>
      </c>
      <c r="C312" s="293" t="str">
        <f t="shared" ref="C312:G312" si="644">TEXT(IF($B312=0," ",$B312-C$6),"hh:mm am/pm")</f>
        <v>17:00 001/p1</v>
      </c>
      <c r="D312" s="293" t="str">
        <f t="shared" si="644"/>
        <v>15:00 001/p1</v>
      </c>
      <c r="E312" s="293" t="str">
        <f t="shared" si="644"/>
        <v>16:00 001/p1</v>
      </c>
      <c r="F312" s="293" t="str">
        <f t="shared" si="644"/>
        <v>17:00 001/p1</v>
      </c>
      <c r="G312" s="293" t="str">
        <f t="shared" si="644"/>
        <v>18:00 001/p1</v>
      </c>
      <c r="H312" s="293" t="str">
        <f t="shared" ref="H312:I312" si="645">TEXT(IF($B312=0," ",$B312+H$6),"hh:mm am/pm")</f>
        <v>01:00 001/p1</v>
      </c>
      <c r="I312" s="293" t="str">
        <f t="shared" si="645"/>
        <v>06:00 001/p1</v>
      </c>
      <c r="J312" s="294" t="s">
        <v>253</v>
      </c>
      <c r="K312" s="295"/>
      <c r="L312" s="337" t="s">
        <v>157</v>
      </c>
      <c r="M312" s="338" t="s">
        <v>71</v>
      </c>
      <c r="N312" s="339" t="s">
        <v>100</v>
      </c>
      <c r="O312" s="340" t="s">
        <v>82</v>
      </c>
      <c r="P312" s="341" t="s">
        <v>101</v>
      </c>
      <c r="Q312" s="342">
        <v>5000</v>
      </c>
      <c r="R312" s="343" t="s">
        <v>60</v>
      </c>
      <c r="S312" s="344"/>
      <c r="T312" s="345" t="s">
        <v>92</v>
      </c>
      <c r="U312" s="339" t="s">
        <v>62</v>
      </c>
      <c r="V312" s="339">
        <v>15</v>
      </c>
      <c r="W312" s="339">
        <v>15</v>
      </c>
      <c r="X312" s="354"/>
      <c r="Y312" s="347" t="s">
        <v>63</v>
      </c>
      <c r="Z312" s="344"/>
      <c r="AA312" s="348" t="s">
        <v>64</v>
      </c>
      <c r="AB312" s="348" t="s">
        <v>65</v>
      </c>
      <c r="AC312" s="349">
        <v>0.1</v>
      </c>
      <c r="AD312" s="349">
        <v>0.02</v>
      </c>
      <c r="AE312" s="348" t="s">
        <v>66</v>
      </c>
      <c r="AF312" s="346">
        <v>50000</v>
      </c>
      <c r="AG312" s="350">
        <v>12</v>
      </c>
      <c r="AH312" s="350">
        <v>10</v>
      </c>
      <c r="AI312" s="350">
        <v>10</v>
      </c>
      <c r="AJ312" s="345">
        <v>15</v>
      </c>
      <c r="AK312" s="352" t="s">
        <v>67</v>
      </c>
      <c r="AL312" s="352" t="s">
        <v>68</v>
      </c>
      <c r="AM312" s="353" t="s">
        <v>69</v>
      </c>
      <c r="AN312" s="353" t="s">
        <v>70</v>
      </c>
      <c r="AO312" s="314">
        <f t="shared" si="515"/>
        <v>0.927094907407407</v>
      </c>
      <c r="AP312" s="315">
        <f t="shared" si="516"/>
        <v>379</v>
      </c>
      <c r="AQ312" s="316" t="str">
        <f t="shared" si="517"/>
        <v>LOW</v>
      </c>
    </row>
    <row r="313" ht="29.25" customHeight="1" outlineLevel="1" spans="1:43">
      <c r="B313" s="317">
        <v>0.791678240740741</v>
      </c>
      <c r="C313" s="293" t="str">
        <f t="shared" ref="C313:G313" si="646">TEXT(IF($B313=0," ",$B313-C$6),"hh:mm am/pm")</f>
        <v>17:00 001/p1</v>
      </c>
      <c r="D313" s="293" t="str">
        <f t="shared" si="646"/>
        <v>15:00 001/p1</v>
      </c>
      <c r="E313" s="293" t="str">
        <f t="shared" si="646"/>
        <v>16:00 001/p1</v>
      </c>
      <c r="F313" s="293" t="str">
        <f t="shared" si="646"/>
        <v>17:00 001/p1</v>
      </c>
      <c r="G313" s="293" t="str">
        <f t="shared" si="646"/>
        <v>18:00 001/p1</v>
      </c>
      <c r="H313" s="293" t="str">
        <f t="shared" ref="H313:I313" si="647">TEXT(IF($B313=0," ",$B313+H$6),"hh:mm am/pm")</f>
        <v>01:00 001/p1</v>
      </c>
      <c r="I313" s="293" t="str">
        <f t="shared" si="647"/>
        <v>06:00 001/p1</v>
      </c>
      <c r="J313" s="318" t="s">
        <v>332</v>
      </c>
      <c r="K313" s="295"/>
      <c r="L313" s="319" t="s">
        <v>332</v>
      </c>
      <c r="M313" s="320" t="s">
        <v>71</v>
      </c>
      <c r="N313" s="321" t="s">
        <v>57</v>
      </c>
      <c r="O313" s="322" t="s">
        <v>74</v>
      </c>
      <c r="P313" s="323" t="s">
        <v>75</v>
      </c>
      <c r="Q313" s="324">
        <v>100</v>
      </c>
      <c r="R313" s="377" t="s">
        <v>181</v>
      </c>
      <c r="S313" s="326"/>
      <c r="T313" s="327" t="s">
        <v>61</v>
      </c>
      <c r="U313" s="321" t="s">
        <v>62</v>
      </c>
      <c r="V313" s="321">
        <v>0</v>
      </c>
      <c r="W313" s="321">
        <v>0.6</v>
      </c>
      <c r="X313" s="332">
        <v>30000</v>
      </c>
      <c r="Y313" s="332" t="s">
        <v>79</v>
      </c>
      <c r="Z313" s="321">
        <v>1</v>
      </c>
      <c r="AA313" s="330">
        <v>60000</v>
      </c>
      <c r="AB313" s="330" t="s">
        <v>65</v>
      </c>
      <c r="AC313" s="331">
        <v>0.05</v>
      </c>
      <c r="AD313" s="331">
        <v>0</v>
      </c>
      <c r="AE313" s="330" t="s">
        <v>112</v>
      </c>
      <c r="AF313" s="332">
        <v>15000</v>
      </c>
      <c r="AG313" s="333">
        <v>6</v>
      </c>
      <c r="AH313" s="333">
        <v>5</v>
      </c>
      <c r="AI313" s="333">
        <v>5</v>
      </c>
      <c r="AJ313" s="327">
        <v>15</v>
      </c>
      <c r="AK313" s="335">
        <v>1132285</v>
      </c>
      <c r="AL313" s="496"/>
      <c r="AM313" s="336" t="s">
        <v>69</v>
      </c>
      <c r="AN313" s="336" t="s">
        <v>70</v>
      </c>
      <c r="AO313" s="314">
        <f t="shared" si="515"/>
        <v>0.857650462962963</v>
      </c>
      <c r="AP313" s="315" t="e">
        <f t="shared" si="516"/>
        <v>#DIV/0!</v>
      </c>
      <c r="AQ313" s="316" t="str">
        <f t="shared" si="517"/>
        <v> </v>
      </c>
    </row>
    <row r="314" ht="29.25" customHeight="1" outlineLevel="1" spans="1:43">
      <c r="A314" s="363" t="s">
        <v>294</v>
      </c>
      <c r="B314" s="317">
        <v>0.833344907407407</v>
      </c>
      <c r="C314" s="293" t="str">
        <f t="shared" ref="C314:G314" si="648">TEXT(IF($B314=0," ",$B314-C$6),"hh:mm am/pm")</f>
        <v>18:00 001/p1</v>
      </c>
      <c r="D314" s="293" t="str">
        <f t="shared" si="648"/>
        <v>16:00 001/p1</v>
      </c>
      <c r="E314" s="293" t="str">
        <f t="shared" si="648"/>
        <v>17:00 001/p1</v>
      </c>
      <c r="F314" s="293" t="str">
        <f t="shared" si="648"/>
        <v>18:00 001/p1</v>
      </c>
      <c r="G314" s="293" t="str">
        <f t="shared" si="648"/>
        <v>19:00 001/p1</v>
      </c>
      <c r="H314" s="293" t="str">
        <f t="shared" ref="H314:I314" si="649">TEXT(IF($B314=0," ",$B314+H$6),"hh:mm am/pm")</f>
        <v>02:00 001/p1</v>
      </c>
      <c r="I314" s="293" t="str">
        <f t="shared" si="649"/>
        <v>07:00 001/p1</v>
      </c>
      <c r="J314" s="294" t="s">
        <v>164</v>
      </c>
      <c r="K314" s="295"/>
      <c r="L314" s="337" t="s">
        <v>129</v>
      </c>
      <c r="M314" s="338" t="s">
        <v>71</v>
      </c>
      <c r="N314" s="339" t="s">
        <v>165</v>
      </c>
      <c r="O314" s="340" t="s">
        <v>74</v>
      </c>
      <c r="P314" s="341" t="s">
        <v>101</v>
      </c>
      <c r="Q314" s="342">
        <v>200</v>
      </c>
      <c r="R314" s="343" t="s">
        <v>60</v>
      </c>
      <c r="S314" s="344"/>
      <c r="T314" s="345" t="s">
        <v>61</v>
      </c>
      <c r="U314" s="339" t="s">
        <v>62</v>
      </c>
      <c r="V314" s="339">
        <v>2</v>
      </c>
      <c r="W314" s="339">
        <v>2</v>
      </c>
      <c r="X314" s="354"/>
      <c r="Y314" s="347" t="s">
        <v>79</v>
      </c>
      <c r="Z314" s="339">
        <v>2</v>
      </c>
      <c r="AA314" s="348">
        <v>100000</v>
      </c>
      <c r="AB314" s="348" t="s">
        <v>65</v>
      </c>
      <c r="AC314" s="349">
        <v>0.1</v>
      </c>
      <c r="AD314" s="349">
        <v>0</v>
      </c>
      <c r="AE314" s="348" t="s">
        <v>88</v>
      </c>
      <c r="AF314" s="346">
        <v>40000</v>
      </c>
      <c r="AG314" s="350">
        <v>10</v>
      </c>
      <c r="AH314" s="350">
        <v>10</v>
      </c>
      <c r="AI314" s="350">
        <v>10</v>
      </c>
      <c r="AJ314" s="345">
        <v>12</v>
      </c>
      <c r="AK314" s="352" t="s">
        <v>67</v>
      </c>
      <c r="AL314" s="352" t="s">
        <v>68</v>
      </c>
      <c r="AM314" s="353" t="s">
        <v>69</v>
      </c>
      <c r="AN314" s="353" t="s">
        <v>70</v>
      </c>
      <c r="AO314" s="314">
        <f t="shared" si="515"/>
        <v>0.923622685185185</v>
      </c>
      <c r="AP314" s="315">
        <f t="shared" si="516"/>
        <v>112</v>
      </c>
      <c r="AQ314" s="316" t="str">
        <f t="shared" si="517"/>
        <v>MICRO</v>
      </c>
    </row>
    <row r="315" ht="29.25" customHeight="1" outlineLevel="1" spans="1:43">
      <c r="B315" s="317">
        <v>0.833344907407407</v>
      </c>
      <c r="C315" s="293" t="str">
        <f t="shared" ref="C315:G315" si="650">TEXT(IF($B315=0," ",$B315-C$6),"hh:mm am/pm")</f>
        <v>18:00 001/p1</v>
      </c>
      <c r="D315" s="293" t="str">
        <f t="shared" si="650"/>
        <v>16:00 001/p1</v>
      </c>
      <c r="E315" s="293" t="str">
        <f t="shared" si="650"/>
        <v>17:00 001/p1</v>
      </c>
      <c r="F315" s="293" t="str">
        <f t="shared" si="650"/>
        <v>18:00 001/p1</v>
      </c>
      <c r="G315" s="293" t="str">
        <f t="shared" si="650"/>
        <v>19:00 001/p1</v>
      </c>
      <c r="H315" s="293" t="str">
        <f t="shared" ref="H315:I315" si="651">TEXT(IF($B315=0," ",$B315+H$6),"hh:mm am/pm")</f>
        <v>02:00 001/p1</v>
      </c>
      <c r="I315" s="293" t="str">
        <f t="shared" si="651"/>
        <v>07:00 001/p1</v>
      </c>
      <c r="J315" s="294" t="s">
        <v>85</v>
      </c>
      <c r="K315" s="295"/>
      <c r="L315" s="319" t="s">
        <v>86</v>
      </c>
      <c r="M315" s="320" t="s">
        <v>71</v>
      </c>
      <c r="N315" s="321" t="s">
        <v>57</v>
      </c>
      <c r="O315" s="322" t="s">
        <v>74</v>
      </c>
      <c r="P315" s="323" t="s">
        <v>75</v>
      </c>
      <c r="Q315" s="324">
        <v>21700</v>
      </c>
      <c r="R315" s="375" t="s">
        <v>87</v>
      </c>
      <c r="S315" s="326"/>
      <c r="T315" s="327" t="s">
        <v>77</v>
      </c>
      <c r="U315" s="321" t="s">
        <v>78</v>
      </c>
      <c r="V315" s="321">
        <v>5</v>
      </c>
      <c r="W315" s="321">
        <v>5</v>
      </c>
      <c r="X315" s="328"/>
      <c r="Y315" s="329" t="s">
        <v>79</v>
      </c>
      <c r="Z315" s="321">
        <v>6</v>
      </c>
      <c r="AA315" s="330">
        <v>250000</v>
      </c>
      <c r="AB315" s="330" t="s">
        <v>65</v>
      </c>
      <c r="AC315" s="331">
        <v>0.1</v>
      </c>
      <c r="AD315" s="331">
        <v>0.02</v>
      </c>
      <c r="AE315" s="330" t="s">
        <v>88</v>
      </c>
      <c r="AF315" s="332">
        <v>50000</v>
      </c>
      <c r="AG315" s="333">
        <v>10</v>
      </c>
      <c r="AH315" s="333">
        <v>8</v>
      </c>
      <c r="AI315" s="333">
        <v>8</v>
      </c>
      <c r="AJ315" s="327">
        <v>15</v>
      </c>
      <c r="AK315" s="335" t="s">
        <v>67</v>
      </c>
      <c r="AL315" s="335" t="s">
        <v>68</v>
      </c>
      <c r="AM315" s="336" t="s">
        <v>69</v>
      </c>
      <c r="AN315" s="336" t="s">
        <v>70</v>
      </c>
      <c r="AO315" s="314">
        <f t="shared" si="515"/>
        <v>0.944456018518518</v>
      </c>
      <c r="AP315" s="315">
        <f t="shared" si="516"/>
        <v>4932</v>
      </c>
      <c r="AQ315" s="316" t="str">
        <f t="shared" si="517"/>
        <v>MICRO</v>
      </c>
    </row>
    <row r="316" ht="29.25" customHeight="1" outlineLevel="1" spans="1:43">
      <c r="B316" s="317">
        <v>0.833344907407407</v>
      </c>
      <c r="C316" s="293" t="str">
        <f t="shared" ref="C316:G316" si="652">TEXT(IF($B316=0," ",$B316-C$6),"hh:mm am/pm")</f>
        <v>18:00 001/p1</v>
      </c>
      <c r="D316" s="293" t="str">
        <f t="shared" si="652"/>
        <v>16:00 001/p1</v>
      </c>
      <c r="E316" s="293" t="str">
        <f t="shared" si="652"/>
        <v>17:00 001/p1</v>
      </c>
      <c r="F316" s="293" t="str">
        <f t="shared" si="652"/>
        <v>18:00 001/p1</v>
      </c>
      <c r="G316" s="293" t="str">
        <f t="shared" si="652"/>
        <v>19:00 001/p1</v>
      </c>
      <c r="H316" s="293" t="str">
        <f t="shared" ref="H316:I316" si="653">TEXT(IF($B316=0," ",$B316+H$6),"hh:mm am/pm")</f>
        <v>02:00 001/p1</v>
      </c>
      <c r="I316" s="293" t="str">
        <f t="shared" si="653"/>
        <v>07:00 001/p1</v>
      </c>
      <c r="J316" s="294" t="s">
        <v>333</v>
      </c>
      <c r="K316" s="295"/>
      <c r="L316" s="337" t="s">
        <v>81</v>
      </c>
      <c r="M316" s="338" t="s">
        <v>71</v>
      </c>
      <c r="N316" s="339" t="s">
        <v>57</v>
      </c>
      <c r="O316" s="340" t="s">
        <v>82</v>
      </c>
      <c r="P316" s="341" t="s">
        <v>59</v>
      </c>
      <c r="Q316" s="342">
        <v>2000</v>
      </c>
      <c r="R316" s="343" t="s">
        <v>60</v>
      </c>
      <c r="S316" s="344"/>
      <c r="T316" s="345" t="s">
        <v>92</v>
      </c>
      <c r="U316" s="339" t="s">
        <v>78</v>
      </c>
      <c r="V316" s="339">
        <v>7</v>
      </c>
      <c r="W316" s="339">
        <v>7</v>
      </c>
      <c r="X316" s="354"/>
      <c r="Y316" s="347" t="s">
        <v>63</v>
      </c>
      <c r="Z316" s="344"/>
      <c r="AA316" s="348" t="s">
        <v>64</v>
      </c>
      <c r="AB316" s="348" t="s">
        <v>65</v>
      </c>
      <c r="AC316" s="349">
        <v>0.1</v>
      </c>
      <c r="AD316" s="349">
        <v>0.02</v>
      </c>
      <c r="AE316" s="348" t="s">
        <v>66</v>
      </c>
      <c r="AF316" s="346">
        <v>60000</v>
      </c>
      <c r="AG316" s="350">
        <v>10</v>
      </c>
      <c r="AH316" s="350">
        <v>8</v>
      </c>
      <c r="AI316" s="350">
        <v>8</v>
      </c>
      <c r="AJ316" s="345">
        <v>15</v>
      </c>
      <c r="AK316" s="352" t="s">
        <v>67</v>
      </c>
      <c r="AL316" s="352" t="s">
        <v>68</v>
      </c>
      <c r="AM316" s="353" t="s">
        <v>69</v>
      </c>
      <c r="AN316" s="353" t="s">
        <v>70</v>
      </c>
      <c r="AO316" s="314">
        <f t="shared" si="515"/>
        <v>0.944456018518518</v>
      </c>
      <c r="AP316" s="315">
        <f t="shared" si="516"/>
        <v>325</v>
      </c>
      <c r="AQ316" s="316" t="str">
        <f t="shared" si="517"/>
        <v>LOW</v>
      </c>
    </row>
    <row r="317" ht="29.25" customHeight="1" outlineLevel="1" spans="1:43">
      <c r="A317" s="363" t="s">
        <v>294</v>
      </c>
      <c r="B317" s="317">
        <v>0.833344907407407</v>
      </c>
      <c r="C317" s="293" t="str">
        <f t="shared" ref="C317:G317" si="654">TEXT(IF($B317=0," ",$B317-C$6),"hh:mm am/pm")</f>
        <v>18:00 001/p1</v>
      </c>
      <c r="D317" s="293" t="str">
        <f t="shared" si="654"/>
        <v>16:00 001/p1</v>
      </c>
      <c r="E317" s="293" t="str">
        <f t="shared" si="654"/>
        <v>17:00 001/p1</v>
      </c>
      <c r="F317" s="293" t="str">
        <f t="shared" si="654"/>
        <v>18:00 001/p1</v>
      </c>
      <c r="G317" s="293" t="str">
        <f t="shared" si="654"/>
        <v>19:00 001/p1</v>
      </c>
      <c r="H317" s="293" t="str">
        <f t="shared" ref="H317:I317" si="655">TEXT(IF($B317=0," ",$B317+H$6),"hh:mm am/pm")</f>
        <v>02:00 001/p1</v>
      </c>
      <c r="I317" s="293" t="str">
        <f t="shared" si="655"/>
        <v>07:00 001/p1</v>
      </c>
      <c r="J317" s="294" t="s">
        <v>334</v>
      </c>
      <c r="K317" s="295"/>
      <c r="L317" s="319" t="s">
        <v>335</v>
      </c>
      <c r="M317" s="320" t="s">
        <v>71</v>
      </c>
      <c r="N317" s="321" t="s">
        <v>57</v>
      </c>
      <c r="O317" s="322" t="s">
        <v>58</v>
      </c>
      <c r="P317" s="323" t="s">
        <v>75</v>
      </c>
      <c r="Q317" s="324">
        <v>100</v>
      </c>
      <c r="R317" s="375" t="s">
        <v>60</v>
      </c>
      <c r="S317" s="326"/>
      <c r="T317" s="327" t="s">
        <v>336</v>
      </c>
      <c r="U317" s="321" t="s">
        <v>78</v>
      </c>
      <c r="V317" s="321">
        <v>0.6</v>
      </c>
      <c r="W317" s="321">
        <v>0.6</v>
      </c>
      <c r="X317" s="328"/>
      <c r="Y317" s="329" t="s">
        <v>63</v>
      </c>
      <c r="Z317" s="326"/>
      <c r="AA317" s="330" t="s">
        <v>64</v>
      </c>
      <c r="AB317" s="330" t="s">
        <v>65</v>
      </c>
      <c r="AC317" s="331">
        <v>0.1</v>
      </c>
      <c r="AD317" s="331">
        <v>0</v>
      </c>
      <c r="AE317" s="330" t="s">
        <v>66</v>
      </c>
      <c r="AF317" s="332">
        <v>40000</v>
      </c>
      <c r="AG317" s="333">
        <v>7</v>
      </c>
      <c r="AH317" s="333">
        <v>7</v>
      </c>
      <c r="AI317" s="333">
        <v>7</v>
      </c>
      <c r="AJ317" s="327">
        <v>14</v>
      </c>
      <c r="AK317" s="335" t="s">
        <v>67</v>
      </c>
      <c r="AL317" s="335" t="s">
        <v>68</v>
      </c>
      <c r="AM317" s="336" t="s">
        <v>69</v>
      </c>
      <c r="AN317" s="336" t="s">
        <v>70</v>
      </c>
      <c r="AO317" s="314">
        <f t="shared" si="515"/>
        <v>0.904872685185185</v>
      </c>
      <c r="AP317" s="315">
        <f t="shared" si="516"/>
        <v>186</v>
      </c>
      <c r="AQ317" s="316" t="str">
        <f t="shared" si="517"/>
        <v>MICRO</v>
      </c>
    </row>
    <row r="318" ht="29.25" customHeight="1" outlineLevel="1" spans="1:43">
      <c r="B318" s="317">
        <v>0.875011574074074</v>
      </c>
      <c r="C318" s="293" t="str">
        <f t="shared" ref="C318:G318" si="656">TEXT(IF($B318=0," ",$B318-C$6),"hh:mm am/pm")</f>
        <v>19:00 001/p1</v>
      </c>
      <c r="D318" s="293" t="str">
        <f t="shared" si="656"/>
        <v>17:00 001/p1</v>
      </c>
      <c r="E318" s="293" t="str">
        <f t="shared" si="656"/>
        <v>18:00 001/p1</v>
      </c>
      <c r="F318" s="293" t="str">
        <f t="shared" si="656"/>
        <v>19:00 001/p1</v>
      </c>
      <c r="G318" s="293" t="str">
        <f t="shared" si="656"/>
        <v>20:00 001/p1</v>
      </c>
      <c r="H318" s="293" t="str">
        <f t="shared" ref="H318:I318" si="657">TEXT(IF($B318=0," ",$B318+H$6),"hh:mm am/pm")</f>
        <v>03:00 001/p1</v>
      </c>
      <c r="I318" s="293" t="str">
        <f t="shared" si="657"/>
        <v>08:00 001/p1</v>
      </c>
      <c r="J318" s="294" t="s">
        <v>337</v>
      </c>
      <c r="K318" s="295"/>
      <c r="L318" s="337" t="s">
        <v>152</v>
      </c>
      <c r="M318" s="338" t="s">
        <v>71</v>
      </c>
      <c r="N318" s="339" t="s">
        <v>57</v>
      </c>
      <c r="O318" s="340" t="s">
        <v>104</v>
      </c>
      <c r="P318" s="341" t="s">
        <v>59</v>
      </c>
      <c r="Q318" s="342">
        <v>3000</v>
      </c>
      <c r="R318" s="343" t="s">
        <v>60</v>
      </c>
      <c r="S318" s="344"/>
      <c r="T318" s="345" t="s">
        <v>61</v>
      </c>
      <c r="U318" s="339" t="s">
        <v>62</v>
      </c>
      <c r="V318" s="339">
        <v>8</v>
      </c>
      <c r="W318" s="339">
        <v>8</v>
      </c>
      <c r="X318" s="354"/>
      <c r="Y318" s="347" t="s">
        <v>63</v>
      </c>
      <c r="Z318" s="344"/>
      <c r="AA318" s="348" t="s">
        <v>64</v>
      </c>
      <c r="AB318" s="348" t="s">
        <v>65</v>
      </c>
      <c r="AC318" s="349">
        <v>0.1</v>
      </c>
      <c r="AD318" s="349">
        <v>0.02</v>
      </c>
      <c r="AE318" s="348" t="s">
        <v>88</v>
      </c>
      <c r="AF318" s="346">
        <v>80000</v>
      </c>
      <c r="AG318" s="350">
        <v>10</v>
      </c>
      <c r="AH318" s="350">
        <v>8</v>
      </c>
      <c r="AI318" s="350">
        <v>8</v>
      </c>
      <c r="AJ318" s="345">
        <v>15</v>
      </c>
      <c r="AK318" s="352" t="s">
        <v>67</v>
      </c>
      <c r="AL318" s="352" t="s">
        <v>68</v>
      </c>
      <c r="AM318" s="353" t="s">
        <v>69</v>
      </c>
      <c r="AN318" s="353" t="s">
        <v>70</v>
      </c>
      <c r="AO318" s="314">
        <f t="shared" si="515"/>
        <v>0.986122685185185</v>
      </c>
      <c r="AP318" s="315">
        <f t="shared" si="516"/>
        <v>427</v>
      </c>
      <c r="AQ318" s="316" t="str">
        <f t="shared" si="517"/>
        <v>LOW</v>
      </c>
    </row>
    <row r="319" ht="29.25" customHeight="1" outlineLevel="1" spans="1:43">
      <c r="B319" s="317">
        <v>0.875011574074074</v>
      </c>
      <c r="C319" s="293" t="str">
        <f t="shared" ref="C319:G319" si="658">TEXT(IF($B319=0," ",$B319-C$6),"hh:mm am/pm")</f>
        <v>19:00 001/p1</v>
      </c>
      <c r="D319" s="293" t="str">
        <f t="shared" si="658"/>
        <v>17:00 001/p1</v>
      </c>
      <c r="E319" s="293" t="str">
        <f t="shared" si="658"/>
        <v>18:00 001/p1</v>
      </c>
      <c r="F319" s="293" t="str">
        <f t="shared" si="658"/>
        <v>19:00 001/p1</v>
      </c>
      <c r="G319" s="293" t="str">
        <f t="shared" si="658"/>
        <v>20:00 001/p1</v>
      </c>
      <c r="H319" s="293" t="str">
        <f t="shared" ref="H319:I319" si="659">TEXT(IF($B319=0," ",$B319+H$6),"hh:mm am/pm")</f>
        <v>03:00 001/p1</v>
      </c>
      <c r="I319" s="293" t="str">
        <f t="shared" si="659"/>
        <v>08:00 001/p1</v>
      </c>
      <c r="J319" s="294" t="s">
        <v>116</v>
      </c>
      <c r="K319" s="295"/>
      <c r="L319" s="319" t="s">
        <v>117</v>
      </c>
      <c r="M319" s="320" t="s">
        <v>71</v>
      </c>
      <c r="N319" s="321" t="s">
        <v>100</v>
      </c>
      <c r="O319" s="322" t="s">
        <v>74</v>
      </c>
      <c r="P319" s="323" t="s">
        <v>101</v>
      </c>
      <c r="Q319" s="324">
        <v>240</v>
      </c>
      <c r="R319" s="375" t="s">
        <v>60</v>
      </c>
      <c r="S319" s="326"/>
      <c r="T319" s="327" t="s">
        <v>61</v>
      </c>
      <c r="U319" s="321" t="s">
        <v>62</v>
      </c>
      <c r="V319" s="321">
        <v>1</v>
      </c>
      <c r="W319" s="321">
        <v>1</v>
      </c>
      <c r="X319" s="328"/>
      <c r="Y319" s="329" t="s">
        <v>79</v>
      </c>
      <c r="Z319" s="321">
        <v>1</v>
      </c>
      <c r="AA319" s="330">
        <v>100000</v>
      </c>
      <c r="AB319" s="330" t="s">
        <v>65</v>
      </c>
      <c r="AC319" s="331">
        <v>0.1</v>
      </c>
      <c r="AD319" s="331">
        <v>0.02</v>
      </c>
      <c r="AE319" s="330" t="s">
        <v>88</v>
      </c>
      <c r="AF319" s="332">
        <v>40000</v>
      </c>
      <c r="AG319" s="333">
        <v>8</v>
      </c>
      <c r="AH319" s="333">
        <v>7</v>
      </c>
      <c r="AI319" s="333">
        <v>7</v>
      </c>
      <c r="AJ319" s="327">
        <v>12</v>
      </c>
      <c r="AK319" s="335" t="s">
        <v>67</v>
      </c>
      <c r="AL319" s="335" t="s">
        <v>68</v>
      </c>
      <c r="AM319" s="336" t="s">
        <v>69</v>
      </c>
      <c r="AN319" s="336" t="s">
        <v>70</v>
      </c>
      <c r="AO319" s="314">
        <f t="shared" si="515"/>
        <v>0.945150462962963</v>
      </c>
      <c r="AP319" s="315">
        <f t="shared" si="516"/>
        <v>273</v>
      </c>
      <c r="AQ319" s="316" t="str">
        <f t="shared" si="517"/>
        <v>MICRO</v>
      </c>
    </row>
    <row r="320" ht="29.25" customHeight="1" outlineLevel="1" spans="1:43">
      <c r="A320" s="363" t="s">
        <v>294</v>
      </c>
      <c r="B320" s="317">
        <v>0.875011574074074</v>
      </c>
      <c r="C320" s="293" t="str">
        <f t="shared" ref="C320:G320" si="660">TEXT(IF($B320=0," ",$B320-C$6),"hh:mm am/pm")</f>
        <v>19:00 001/p1</v>
      </c>
      <c r="D320" s="293" t="str">
        <f t="shared" si="660"/>
        <v>17:00 001/p1</v>
      </c>
      <c r="E320" s="293" t="str">
        <f t="shared" si="660"/>
        <v>18:00 001/p1</v>
      </c>
      <c r="F320" s="293" t="str">
        <f t="shared" si="660"/>
        <v>19:00 001/p1</v>
      </c>
      <c r="G320" s="293" t="str">
        <f t="shared" si="660"/>
        <v>20:00 001/p1</v>
      </c>
      <c r="H320" s="293" t="str">
        <f t="shared" ref="H320:I320" si="661">TEXT(IF($B320=0," ",$B320+H$6),"hh:mm am/pm")</f>
        <v>03:00 001/p1</v>
      </c>
      <c r="I320" s="293" t="str">
        <f t="shared" si="661"/>
        <v>08:00 001/p1</v>
      </c>
      <c r="J320" s="294" t="s">
        <v>338</v>
      </c>
      <c r="K320" s="295"/>
      <c r="L320" s="337" t="s">
        <v>124</v>
      </c>
      <c r="M320" s="338" t="s">
        <v>71</v>
      </c>
      <c r="N320" s="339" t="s">
        <v>122</v>
      </c>
      <c r="O320" s="340" t="s">
        <v>82</v>
      </c>
      <c r="P320" s="341" t="s">
        <v>59</v>
      </c>
      <c r="Q320" s="342">
        <v>160</v>
      </c>
      <c r="R320" s="343" t="s">
        <v>60</v>
      </c>
      <c r="S320" s="344"/>
      <c r="T320" s="345" t="s">
        <v>61</v>
      </c>
      <c r="U320" s="339" t="s">
        <v>62</v>
      </c>
      <c r="V320" s="339">
        <v>0.6</v>
      </c>
      <c r="W320" s="339">
        <v>0.6</v>
      </c>
      <c r="X320" s="354"/>
      <c r="Y320" s="347" t="s">
        <v>63</v>
      </c>
      <c r="Z320" s="344"/>
      <c r="AA320" s="348" t="s">
        <v>64</v>
      </c>
      <c r="AB320" s="348" t="s">
        <v>65</v>
      </c>
      <c r="AC320" s="349">
        <v>0.1</v>
      </c>
      <c r="AD320" s="349">
        <v>0</v>
      </c>
      <c r="AE320" s="348" t="s">
        <v>66</v>
      </c>
      <c r="AF320" s="346">
        <v>50000</v>
      </c>
      <c r="AG320" s="350">
        <v>8</v>
      </c>
      <c r="AH320" s="350">
        <v>7</v>
      </c>
      <c r="AI320" s="350">
        <v>7</v>
      </c>
      <c r="AJ320" s="345">
        <v>15</v>
      </c>
      <c r="AK320" s="352" t="s">
        <v>67</v>
      </c>
      <c r="AL320" s="352" t="s">
        <v>68</v>
      </c>
      <c r="AM320" s="353" t="s">
        <v>69</v>
      </c>
      <c r="AN320" s="353" t="s">
        <v>70</v>
      </c>
      <c r="AO320" s="314">
        <f t="shared" si="515"/>
        <v>0.965289351851852</v>
      </c>
      <c r="AP320" s="315">
        <f t="shared" si="516"/>
        <v>297</v>
      </c>
      <c r="AQ320" s="316" t="str">
        <f t="shared" si="517"/>
        <v>MICRO</v>
      </c>
    </row>
    <row r="321" ht="29.25" customHeight="1" outlineLevel="1" spans="1:43">
      <c r="B321" s="317">
        <v>0.875011574074074</v>
      </c>
      <c r="C321" s="293" t="str">
        <f t="shared" ref="C321:G321" si="662">TEXT(IF($B321=0," ",$B321-C$6),"hh:mm am/pm")</f>
        <v>19:00 001/p1</v>
      </c>
      <c r="D321" s="293" t="str">
        <f t="shared" si="662"/>
        <v>17:00 001/p1</v>
      </c>
      <c r="E321" s="293" t="str">
        <f t="shared" si="662"/>
        <v>18:00 001/p1</v>
      </c>
      <c r="F321" s="293" t="str">
        <f t="shared" si="662"/>
        <v>19:00 001/p1</v>
      </c>
      <c r="G321" s="293" t="str">
        <f t="shared" si="662"/>
        <v>20:00 001/p1</v>
      </c>
      <c r="H321" s="293" t="str">
        <f t="shared" ref="H321:I321" si="663">TEXT(IF($B321=0," ",$B321+H$6),"hh:mm am/pm")</f>
        <v>03:00 001/p1</v>
      </c>
      <c r="I321" s="293" t="str">
        <f t="shared" si="663"/>
        <v>08:00 001/p1</v>
      </c>
      <c r="J321" s="294" t="s">
        <v>262</v>
      </c>
      <c r="K321" s="295"/>
      <c r="L321" s="319" t="s">
        <v>119</v>
      </c>
      <c r="M321" s="320" t="s">
        <v>71</v>
      </c>
      <c r="N321" s="321" t="s">
        <v>57</v>
      </c>
      <c r="O321" s="322" t="s">
        <v>74</v>
      </c>
      <c r="P321" s="323" t="s">
        <v>75</v>
      </c>
      <c r="Q321" s="324">
        <v>1500</v>
      </c>
      <c r="R321" s="375" t="s">
        <v>60</v>
      </c>
      <c r="S321" s="326"/>
      <c r="T321" s="327" t="s">
        <v>77</v>
      </c>
      <c r="U321" s="321" t="s">
        <v>78</v>
      </c>
      <c r="V321" s="321">
        <v>1</v>
      </c>
      <c r="W321" s="321">
        <v>1</v>
      </c>
      <c r="X321" s="328"/>
      <c r="Y321" s="329" t="s">
        <v>79</v>
      </c>
      <c r="Z321" s="321">
        <v>1</v>
      </c>
      <c r="AA321" s="330">
        <v>120000</v>
      </c>
      <c r="AB321" s="330" t="s">
        <v>65</v>
      </c>
      <c r="AC321" s="331">
        <v>0.1</v>
      </c>
      <c r="AD321" s="331">
        <v>0.02</v>
      </c>
      <c r="AE321" s="330" t="s">
        <v>88</v>
      </c>
      <c r="AF321" s="332">
        <v>30000</v>
      </c>
      <c r="AG321" s="333">
        <v>7</v>
      </c>
      <c r="AH321" s="333">
        <v>6</v>
      </c>
      <c r="AI321" s="333">
        <v>6</v>
      </c>
      <c r="AJ321" s="327">
        <v>13</v>
      </c>
      <c r="AK321" s="335" t="s">
        <v>67</v>
      </c>
      <c r="AL321" s="335" t="s">
        <v>68</v>
      </c>
      <c r="AM321" s="336" t="s">
        <v>69</v>
      </c>
      <c r="AN321" s="336" t="s">
        <v>70</v>
      </c>
      <c r="AO321" s="314">
        <f t="shared" si="515"/>
        <v>0.941678240740741</v>
      </c>
      <c r="AP321" s="315">
        <f t="shared" si="516"/>
        <v>1705</v>
      </c>
      <c r="AQ321" s="316" t="str">
        <f t="shared" si="517"/>
        <v>MICRO</v>
      </c>
    </row>
    <row r="322" ht="29.25" customHeight="1" outlineLevel="1" spans="1:43">
      <c r="B322" s="317">
        <v>0.888900462962963</v>
      </c>
      <c r="C322" s="293" t="str">
        <f t="shared" ref="C322:G322" si="664">TEXT(IF($B322=0," ",$B322-C$6),"hh:mm am/pm")</f>
        <v>19:20 001/p1</v>
      </c>
      <c r="D322" s="293" t="str">
        <f t="shared" si="664"/>
        <v>17:20 001/p1</v>
      </c>
      <c r="E322" s="293" t="str">
        <f t="shared" si="664"/>
        <v>18:20 001/p1</v>
      </c>
      <c r="F322" s="293" t="str">
        <f t="shared" si="664"/>
        <v>19:20 001/p1</v>
      </c>
      <c r="G322" s="293" t="str">
        <f t="shared" si="664"/>
        <v>20:20 001/p1</v>
      </c>
      <c r="H322" s="293" t="str">
        <f t="shared" ref="H322:I322" si="665">TEXT(IF($B322=0," ",$B322+H$6),"hh:mm am/pm")</f>
        <v>03:20 001/p1</v>
      </c>
      <c r="I322" s="293" t="str">
        <f t="shared" si="665"/>
        <v>08:20 001/p1</v>
      </c>
      <c r="J322" s="294" t="s">
        <v>339</v>
      </c>
      <c r="K322" s="295"/>
      <c r="L322" s="337" t="s">
        <v>264</v>
      </c>
      <c r="M322" s="338" t="s">
        <v>71</v>
      </c>
      <c r="N322" s="339" t="s">
        <v>57</v>
      </c>
      <c r="O322" s="340" t="s">
        <v>74</v>
      </c>
      <c r="P322" s="341" t="s">
        <v>75</v>
      </c>
      <c r="Q322" s="342">
        <v>150</v>
      </c>
      <c r="R322" s="343" t="s">
        <v>60</v>
      </c>
      <c r="S322" s="344"/>
      <c r="T322" s="345" t="s">
        <v>61</v>
      </c>
      <c r="U322" s="339" t="s">
        <v>62</v>
      </c>
      <c r="V322" s="339">
        <v>0.2</v>
      </c>
      <c r="W322" s="339">
        <v>0.2</v>
      </c>
      <c r="X322" s="354"/>
      <c r="Y322" s="347" t="s">
        <v>79</v>
      </c>
      <c r="Z322" s="339">
        <v>0.4</v>
      </c>
      <c r="AA322" s="348">
        <v>150000</v>
      </c>
      <c r="AB322" s="348" t="s">
        <v>65</v>
      </c>
      <c r="AC322" s="349">
        <v>0.1</v>
      </c>
      <c r="AD322" s="349">
        <v>0</v>
      </c>
      <c r="AE322" s="348" t="s">
        <v>88</v>
      </c>
      <c r="AF322" s="346">
        <v>50000</v>
      </c>
      <c r="AG322" s="350">
        <v>5</v>
      </c>
      <c r="AH322" s="350">
        <v>5</v>
      </c>
      <c r="AI322" s="350">
        <v>5</v>
      </c>
      <c r="AJ322" s="345">
        <v>15</v>
      </c>
      <c r="AK322" s="352" t="s">
        <v>67</v>
      </c>
      <c r="AL322" s="352" t="s">
        <v>68</v>
      </c>
      <c r="AM322" s="353" t="s">
        <v>69</v>
      </c>
      <c r="AN322" s="353" t="s">
        <v>70</v>
      </c>
      <c r="AO322" s="314">
        <f t="shared" si="515"/>
        <v>0.944456018518519</v>
      </c>
      <c r="AP322" s="315">
        <f t="shared" si="516"/>
        <v>834</v>
      </c>
      <c r="AQ322" s="316" t="str">
        <f t="shared" si="517"/>
        <v>MICRO</v>
      </c>
    </row>
    <row r="323" ht="29.25" customHeight="1" outlineLevel="1" spans="1:43">
      <c r="A323" s="363" t="s">
        <v>294</v>
      </c>
      <c r="B323" s="317">
        <v>0.916678240740741</v>
      </c>
      <c r="C323" s="293" t="str">
        <f t="shared" ref="C323:G323" si="666">TEXT(IF($B323=0," ",$B323-C$6),"hh:mm am/pm")</f>
        <v>20:00 001/p1</v>
      </c>
      <c r="D323" s="293" t="str">
        <f t="shared" si="666"/>
        <v>18:00 001/p1</v>
      </c>
      <c r="E323" s="293" t="str">
        <f t="shared" si="666"/>
        <v>19:00 001/p1</v>
      </c>
      <c r="F323" s="293" t="str">
        <f t="shared" si="666"/>
        <v>20:00 001/p1</v>
      </c>
      <c r="G323" s="293" t="str">
        <f t="shared" si="666"/>
        <v>21:00 001/p1</v>
      </c>
      <c r="H323" s="293" t="str">
        <f t="shared" ref="H323:I323" si="667">TEXT(IF($B323=0," ",$B323+H$6),"hh:mm am/pm")</f>
        <v>04:00 001/p1</v>
      </c>
      <c r="I323" s="293" t="str">
        <f t="shared" si="667"/>
        <v>09:00 001/p1</v>
      </c>
      <c r="J323" s="294" t="s">
        <v>340</v>
      </c>
      <c r="K323" s="295"/>
      <c r="L323" s="319" t="s">
        <v>174</v>
      </c>
      <c r="M323" s="320" t="s">
        <v>71</v>
      </c>
      <c r="N323" s="321" t="s">
        <v>57</v>
      </c>
      <c r="O323" s="322" t="s">
        <v>82</v>
      </c>
      <c r="P323" s="323" t="s">
        <v>59</v>
      </c>
      <c r="Q323" s="324">
        <v>2000</v>
      </c>
      <c r="R323" s="375" t="s">
        <v>60</v>
      </c>
      <c r="S323" s="326"/>
      <c r="T323" s="327" t="s">
        <v>92</v>
      </c>
      <c r="U323" s="321" t="s">
        <v>62</v>
      </c>
      <c r="V323" s="321">
        <v>22</v>
      </c>
      <c r="W323" s="321">
        <v>22</v>
      </c>
      <c r="X323" s="328"/>
      <c r="Y323" s="329" t="s">
        <v>63</v>
      </c>
      <c r="Z323" s="326"/>
      <c r="AA323" s="330" t="s">
        <v>64</v>
      </c>
      <c r="AB323" s="330" t="s">
        <v>65</v>
      </c>
      <c r="AC323" s="331">
        <v>0.1</v>
      </c>
      <c r="AD323" s="331">
        <v>0.02</v>
      </c>
      <c r="AE323" s="330" t="s">
        <v>66</v>
      </c>
      <c r="AF323" s="332">
        <v>50000</v>
      </c>
      <c r="AG323" s="333">
        <v>8</v>
      </c>
      <c r="AH323" s="333">
        <v>8</v>
      </c>
      <c r="AI323" s="333">
        <v>8</v>
      </c>
      <c r="AJ323" s="327">
        <v>15</v>
      </c>
      <c r="AK323" s="334" t="s">
        <v>67</v>
      </c>
      <c r="AL323" s="335" t="s">
        <v>68</v>
      </c>
      <c r="AM323" s="336" t="s">
        <v>69</v>
      </c>
      <c r="AN323" s="336" t="s">
        <v>70</v>
      </c>
      <c r="AO323" s="314">
        <f t="shared" si="515"/>
        <v>1.00695601851852</v>
      </c>
      <c r="AP323" s="315">
        <f t="shared" si="516"/>
        <v>104</v>
      </c>
      <c r="AQ323" s="316" t="str">
        <f t="shared" si="517"/>
        <v>MEDIUM</v>
      </c>
    </row>
    <row r="324" ht="29.25" customHeight="1" outlineLevel="1" spans="1:43">
      <c r="B324" s="317">
        <v>0.916678240740741</v>
      </c>
      <c r="C324" s="293" t="str">
        <f t="shared" ref="C324:G324" si="668">TEXT(IF($B324=0," ",$B324-C$6),"hh:mm am/pm")</f>
        <v>20:00 001/p1</v>
      </c>
      <c r="D324" s="293" t="str">
        <f t="shared" si="668"/>
        <v>18:00 001/p1</v>
      </c>
      <c r="E324" s="293" t="str">
        <f t="shared" si="668"/>
        <v>19:00 001/p1</v>
      </c>
      <c r="F324" s="293" t="str">
        <f t="shared" si="668"/>
        <v>20:00 001/p1</v>
      </c>
      <c r="G324" s="293" t="str">
        <f t="shared" si="668"/>
        <v>21:00 001/p1</v>
      </c>
      <c r="H324" s="293" t="str">
        <f t="shared" ref="H324:I324" si="669">TEXT(IF($B324=0," ",$B324+H$6),"hh:mm am/pm")</f>
        <v>04:00 001/p1</v>
      </c>
      <c r="I324" s="293" t="str">
        <f t="shared" si="669"/>
        <v>09:00 001/p1</v>
      </c>
      <c r="J324" s="318" t="s">
        <v>147</v>
      </c>
      <c r="K324" s="295"/>
      <c r="L324" s="337" t="s">
        <v>73</v>
      </c>
      <c r="M324" s="338" t="s">
        <v>71</v>
      </c>
      <c r="N324" s="339" t="s">
        <v>57</v>
      </c>
      <c r="O324" s="340" t="s">
        <v>74</v>
      </c>
      <c r="P324" s="341" t="s">
        <v>256</v>
      </c>
      <c r="Q324" s="342">
        <v>3200</v>
      </c>
      <c r="R324" s="325" t="s">
        <v>76</v>
      </c>
      <c r="S324" s="344"/>
      <c r="T324" s="345" t="s">
        <v>77</v>
      </c>
      <c r="U324" s="339" t="s">
        <v>78</v>
      </c>
      <c r="V324" s="339">
        <v>3</v>
      </c>
      <c r="W324" s="339">
        <v>3</v>
      </c>
      <c r="X324" s="354"/>
      <c r="Y324" s="347" t="s">
        <v>79</v>
      </c>
      <c r="Z324" s="339">
        <v>3</v>
      </c>
      <c r="AA324" s="348">
        <v>160000</v>
      </c>
      <c r="AB324" s="348" t="s">
        <v>65</v>
      </c>
      <c r="AC324" s="349">
        <v>0.1</v>
      </c>
      <c r="AD324" s="349">
        <v>0.02</v>
      </c>
      <c r="AE324" s="348" t="s">
        <v>88</v>
      </c>
      <c r="AF324" s="346">
        <v>40000</v>
      </c>
      <c r="AG324" s="350">
        <v>7</v>
      </c>
      <c r="AH324" s="350">
        <v>6</v>
      </c>
      <c r="AI324" s="350">
        <v>6</v>
      </c>
      <c r="AJ324" s="345">
        <v>13</v>
      </c>
      <c r="AK324" s="352" t="s">
        <v>67</v>
      </c>
      <c r="AL324" s="352" t="s">
        <v>68</v>
      </c>
      <c r="AM324" s="353" t="s">
        <v>69</v>
      </c>
      <c r="AN324" s="353" t="s">
        <v>70</v>
      </c>
      <c r="AO324" s="314">
        <f t="shared" si="515"/>
        <v>0.983344907407407</v>
      </c>
      <c r="AP324" s="315">
        <f t="shared" si="516"/>
        <v>1213</v>
      </c>
      <c r="AQ324" s="316" t="str">
        <f t="shared" si="517"/>
        <v>MICRO</v>
      </c>
    </row>
    <row r="325" ht="29.25" customHeight="1" outlineLevel="1" spans="1:43">
      <c r="B325" s="317">
        <v>0.916678240740741</v>
      </c>
      <c r="C325" s="293" t="str">
        <f t="shared" ref="C325:G325" si="670">TEXT(IF($B325=0," ",$B325-C$6),"hh:mm am/pm")</f>
        <v>20:00 001/p1</v>
      </c>
      <c r="D325" s="293" t="str">
        <f t="shared" si="670"/>
        <v>18:00 001/p1</v>
      </c>
      <c r="E325" s="293" t="str">
        <f t="shared" si="670"/>
        <v>19:00 001/p1</v>
      </c>
      <c r="F325" s="293" t="str">
        <f t="shared" si="670"/>
        <v>20:00 001/p1</v>
      </c>
      <c r="G325" s="293" t="str">
        <f t="shared" si="670"/>
        <v>21:00 001/p1</v>
      </c>
      <c r="H325" s="293" t="str">
        <f t="shared" ref="H325:I325" si="671">TEXT(IF($B325=0," ",$B325+H$6),"hh:mm am/pm")</f>
        <v>04:00 001/p1</v>
      </c>
      <c r="I325" s="293" t="str">
        <f t="shared" si="671"/>
        <v>09:00 001/p1</v>
      </c>
      <c r="J325" s="294" t="s">
        <v>341</v>
      </c>
      <c r="K325" s="295"/>
      <c r="L325" s="319" t="s">
        <v>266</v>
      </c>
      <c r="M325" s="320" t="s">
        <v>71</v>
      </c>
      <c r="N325" s="321" t="s">
        <v>100</v>
      </c>
      <c r="O325" s="322" t="s">
        <v>82</v>
      </c>
      <c r="P325" s="323" t="s">
        <v>101</v>
      </c>
      <c r="Q325" s="324">
        <v>2400</v>
      </c>
      <c r="R325" s="375" t="s">
        <v>60</v>
      </c>
      <c r="S325" s="326"/>
      <c r="T325" s="327" t="s">
        <v>92</v>
      </c>
      <c r="U325" s="321" t="s">
        <v>62</v>
      </c>
      <c r="V325" s="321">
        <v>11</v>
      </c>
      <c r="W325" s="321">
        <v>11</v>
      </c>
      <c r="X325" s="328"/>
      <c r="Y325" s="329" t="s">
        <v>63</v>
      </c>
      <c r="Z325" s="326"/>
      <c r="AA325" s="330" t="s">
        <v>64</v>
      </c>
      <c r="AB325" s="330" t="s">
        <v>65</v>
      </c>
      <c r="AC325" s="331">
        <v>0.1</v>
      </c>
      <c r="AD325" s="331">
        <v>0.02</v>
      </c>
      <c r="AE325" s="327" t="s">
        <v>88</v>
      </c>
      <c r="AF325" s="332">
        <v>50000</v>
      </c>
      <c r="AG325" s="333">
        <v>7</v>
      </c>
      <c r="AH325" s="333">
        <v>7</v>
      </c>
      <c r="AI325" s="333">
        <v>7</v>
      </c>
      <c r="AJ325" s="327">
        <v>13</v>
      </c>
      <c r="AK325" s="334" t="s">
        <v>67</v>
      </c>
      <c r="AL325" s="335" t="s">
        <v>68</v>
      </c>
      <c r="AM325" s="336" t="s">
        <v>69</v>
      </c>
      <c r="AN325" s="336" t="s">
        <v>70</v>
      </c>
      <c r="AO325" s="314">
        <f t="shared" si="515"/>
        <v>0.983344907407407</v>
      </c>
      <c r="AP325" s="315">
        <f t="shared" si="516"/>
        <v>248</v>
      </c>
      <c r="AQ325" s="316" t="str">
        <f t="shared" si="517"/>
        <v>LOW</v>
      </c>
    </row>
    <row r="326" ht="29.25" customHeight="1" outlineLevel="1" spans="1:43">
      <c r="A326" s="363" t="s">
        <v>294</v>
      </c>
      <c r="B326" s="317">
        <v>0.927094907407407</v>
      </c>
      <c r="C326" s="293" t="str">
        <f t="shared" ref="C326:G326" si="672">TEXT(IF($B326=0," ",$B326-C$6),"hh:mm am/pm")</f>
        <v>20:15 001/p1</v>
      </c>
      <c r="D326" s="293" t="str">
        <f t="shared" si="672"/>
        <v>18:15 001/p1</v>
      </c>
      <c r="E326" s="293" t="str">
        <f t="shared" si="672"/>
        <v>19:15 001/p1</v>
      </c>
      <c r="F326" s="293" t="str">
        <f t="shared" si="672"/>
        <v>20:15 001/p1</v>
      </c>
      <c r="G326" s="293" t="str">
        <f t="shared" si="672"/>
        <v>21:15 001/p1</v>
      </c>
      <c r="H326" s="293" t="str">
        <f t="shared" ref="H326:I326" si="673">TEXT(IF($B326=0," ",$B326+H$6),"hh:mm am/pm")</f>
        <v>04:15 001/p1</v>
      </c>
      <c r="I326" s="293" t="str">
        <f t="shared" si="673"/>
        <v>09:15 001/p1</v>
      </c>
      <c r="J326" s="294" t="s">
        <v>149</v>
      </c>
      <c r="K326" s="295"/>
      <c r="L326" s="337" t="s">
        <v>149</v>
      </c>
      <c r="M326" s="338" t="s">
        <v>71</v>
      </c>
      <c r="N326" s="339" t="s">
        <v>57</v>
      </c>
      <c r="O326" s="340" t="s">
        <v>74</v>
      </c>
      <c r="P326" s="341" t="s">
        <v>75</v>
      </c>
      <c r="Q326" s="342">
        <v>60</v>
      </c>
      <c r="R326" s="343" t="s">
        <v>60</v>
      </c>
      <c r="S326" s="344"/>
      <c r="T326" s="345" t="s">
        <v>61</v>
      </c>
      <c r="U326" s="339" t="s">
        <v>62</v>
      </c>
      <c r="V326" s="339">
        <v>0.6</v>
      </c>
      <c r="W326" s="339">
        <v>0.6</v>
      </c>
      <c r="X326" s="354"/>
      <c r="Y326" s="347" t="s">
        <v>63</v>
      </c>
      <c r="Z326" s="339">
        <v>0.6</v>
      </c>
      <c r="AA326" s="348">
        <v>30000</v>
      </c>
      <c r="AB326" s="348" t="s">
        <v>65</v>
      </c>
      <c r="AC326" s="349">
        <v>0.1</v>
      </c>
      <c r="AD326" s="349">
        <v>0</v>
      </c>
      <c r="AE326" s="348" t="s">
        <v>112</v>
      </c>
      <c r="AF326" s="346">
        <v>20000</v>
      </c>
      <c r="AG326" s="350">
        <v>5</v>
      </c>
      <c r="AH326" s="350">
        <v>5</v>
      </c>
      <c r="AI326" s="350">
        <v>5</v>
      </c>
      <c r="AJ326" s="345">
        <v>15</v>
      </c>
      <c r="AK326" s="352" t="s">
        <v>150</v>
      </c>
      <c r="AL326" s="352" t="s">
        <v>68</v>
      </c>
      <c r="AM326" s="353" t="s">
        <v>69</v>
      </c>
      <c r="AN326" s="353" t="s">
        <v>70</v>
      </c>
      <c r="AO326" s="314">
        <f t="shared" si="515"/>
        <v>0.982650462962963</v>
      </c>
      <c r="AP326" s="315">
        <f t="shared" si="516"/>
        <v>112</v>
      </c>
      <c r="AQ326" s="316" t="str">
        <f t="shared" si="517"/>
        <v>MICRO</v>
      </c>
    </row>
    <row r="327" ht="29.25" customHeight="1" outlineLevel="1" spans="1:43">
      <c r="B327" s="317">
        <v>0.937511574074074</v>
      </c>
      <c r="C327" s="293" t="str">
        <f t="shared" ref="C327:G327" si="674">TEXT(IF($B327=0," ",$B327-C$6),"hh:mm am/pm")</f>
        <v>20:30 001/p1</v>
      </c>
      <c r="D327" s="293" t="str">
        <f t="shared" si="674"/>
        <v>18:30 001/p1</v>
      </c>
      <c r="E327" s="293" t="str">
        <f t="shared" si="674"/>
        <v>19:30 001/p1</v>
      </c>
      <c r="F327" s="293" t="str">
        <f t="shared" si="674"/>
        <v>20:30 001/p1</v>
      </c>
      <c r="G327" s="293" t="str">
        <f t="shared" si="674"/>
        <v>21:30 001/p1</v>
      </c>
      <c r="H327" s="293" t="str">
        <f t="shared" ref="H327:I327" si="675">TEXT(IF($B327=0," ",$B327+H$6),"hh:mm am/pm")</f>
        <v>04:30 001/p1</v>
      </c>
      <c r="I327" s="293" t="str">
        <f t="shared" si="675"/>
        <v>09:30 001/p1</v>
      </c>
      <c r="J327" s="294" t="s">
        <v>342</v>
      </c>
      <c r="K327" s="295"/>
      <c r="L327" s="319" t="s">
        <v>268</v>
      </c>
      <c r="M327" s="320" t="s">
        <v>71</v>
      </c>
      <c r="N327" s="321" t="s">
        <v>100</v>
      </c>
      <c r="O327" s="322" t="s">
        <v>82</v>
      </c>
      <c r="P327" s="323" t="s">
        <v>101</v>
      </c>
      <c r="Q327" s="324">
        <v>5000</v>
      </c>
      <c r="R327" s="375" t="s">
        <v>60</v>
      </c>
      <c r="S327" s="326"/>
      <c r="T327" s="327" t="s">
        <v>92</v>
      </c>
      <c r="U327" s="321" t="s">
        <v>62</v>
      </c>
      <c r="V327" s="321">
        <v>50</v>
      </c>
      <c r="W327" s="321">
        <v>50</v>
      </c>
      <c r="X327" s="328"/>
      <c r="Y327" s="329" t="s">
        <v>63</v>
      </c>
      <c r="Z327" s="326"/>
      <c r="AA327" s="330" t="s">
        <v>64</v>
      </c>
      <c r="AB327" s="330" t="s">
        <v>65</v>
      </c>
      <c r="AC327" s="331">
        <v>0.1</v>
      </c>
      <c r="AD327" s="331">
        <v>0.02</v>
      </c>
      <c r="AE327" s="330" t="s">
        <v>88</v>
      </c>
      <c r="AF327" s="332">
        <v>60000</v>
      </c>
      <c r="AG327" s="333">
        <v>8</v>
      </c>
      <c r="AH327" s="333">
        <v>7</v>
      </c>
      <c r="AI327" s="333">
        <v>7</v>
      </c>
      <c r="AJ327" s="327">
        <v>14</v>
      </c>
      <c r="AK327" s="335" t="s">
        <v>67</v>
      </c>
      <c r="AL327" s="335" t="s">
        <v>68</v>
      </c>
      <c r="AM327" s="336" t="s">
        <v>69</v>
      </c>
      <c r="AN327" s="336" t="s">
        <v>70</v>
      </c>
      <c r="AO327" s="314">
        <f t="shared" si="515"/>
        <v>1.01876157407407</v>
      </c>
      <c r="AP327" s="315">
        <f t="shared" si="516"/>
        <v>114</v>
      </c>
      <c r="AQ327" s="316" t="str">
        <f t="shared" si="517"/>
        <v>MEDIUM</v>
      </c>
    </row>
    <row r="328" ht="29.25" customHeight="1" outlineLevel="1" spans="1:43">
      <c r="B328" s="317">
        <v>0.958344907407407</v>
      </c>
      <c r="C328" s="293" t="str">
        <f t="shared" ref="C328:G328" si="676">TEXT(IF($B328=0," ",$B328-C$6),"hh:mm am/pm")</f>
        <v>21:00 001/p1</v>
      </c>
      <c r="D328" s="293" t="str">
        <f t="shared" si="676"/>
        <v>19:00 001/p1</v>
      </c>
      <c r="E328" s="293" t="str">
        <f t="shared" si="676"/>
        <v>20:00 001/p1</v>
      </c>
      <c r="F328" s="293" t="str">
        <f t="shared" si="676"/>
        <v>21:00 001/p1</v>
      </c>
      <c r="G328" s="293" t="str">
        <f t="shared" si="676"/>
        <v>22:00 001/p1</v>
      </c>
      <c r="H328" s="293" t="str">
        <f t="shared" ref="H328:I328" si="677">TEXT(IF($B328=0," ",$B328+H$6),"hh:mm am/pm")</f>
        <v>05:00 001/p1</v>
      </c>
      <c r="I328" s="293" t="str">
        <f t="shared" si="677"/>
        <v>10:00 001/p1</v>
      </c>
      <c r="J328" s="294" t="s">
        <v>316</v>
      </c>
      <c r="K328" s="295"/>
      <c r="L328" s="337" t="s">
        <v>126</v>
      </c>
      <c r="M328" s="338" t="s">
        <v>71</v>
      </c>
      <c r="N328" s="339" t="s">
        <v>57</v>
      </c>
      <c r="O328" s="340" t="s">
        <v>144</v>
      </c>
      <c r="P328" s="341" t="s">
        <v>59</v>
      </c>
      <c r="Q328" s="342">
        <v>300</v>
      </c>
      <c r="R328" s="343" t="s">
        <v>60</v>
      </c>
      <c r="S328" s="344"/>
      <c r="T328" s="345" t="s">
        <v>61</v>
      </c>
      <c r="U328" s="339" t="s">
        <v>62</v>
      </c>
      <c r="V328" s="339">
        <v>4</v>
      </c>
      <c r="W328" s="339">
        <v>4</v>
      </c>
      <c r="X328" s="354"/>
      <c r="Y328" s="347" t="s">
        <v>63</v>
      </c>
      <c r="Z328" s="344"/>
      <c r="AA328" s="348" t="s">
        <v>64</v>
      </c>
      <c r="AB328" s="348" t="s">
        <v>65</v>
      </c>
      <c r="AC328" s="349">
        <v>0.1</v>
      </c>
      <c r="AD328" s="349">
        <v>0.02</v>
      </c>
      <c r="AE328" s="348" t="s">
        <v>66</v>
      </c>
      <c r="AF328" s="346">
        <v>30000</v>
      </c>
      <c r="AG328" s="350">
        <v>7</v>
      </c>
      <c r="AH328" s="350">
        <v>6</v>
      </c>
      <c r="AI328" s="350">
        <v>6</v>
      </c>
      <c r="AJ328" s="345">
        <v>13</v>
      </c>
      <c r="AK328" s="352" t="s">
        <v>67</v>
      </c>
      <c r="AL328" s="352" t="s">
        <v>68</v>
      </c>
      <c r="AM328" s="353" t="s">
        <v>69</v>
      </c>
      <c r="AN328" s="353" t="s">
        <v>70</v>
      </c>
      <c r="AO328" s="314">
        <f t="shared" si="515"/>
        <v>1.02501157407407</v>
      </c>
      <c r="AP328" s="315">
        <f t="shared" si="516"/>
        <v>86</v>
      </c>
      <c r="AQ328" s="316" t="str">
        <f t="shared" si="517"/>
        <v>MICRO</v>
      </c>
    </row>
    <row r="329" ht="29.25" customHeight="1" outlineLevel="1" spans="1:43">
      <c r="A329" s="363" t="s">
        <v>294</v>
      </c>
      <c r="B329" s="317">
        <v>0.958344907407407</v>
      </c>
      <c r="C329" s="293" t="str">
        <f t="shared" ref="C329:G329" si="678">TEXT(IF($B329=0," ",$B329-C$6),"hh:mm am/pm")</f>
        <v>21:00 001/p1</v>
      </c>
      <c r="D329" s="293" t="str">
        <f t="shared" si="678"/>
        <v>19:00 001/p1</v>
      </c>
      <c r="E329" s="293" t="str">
        <f t="shared" si="678"/>
        <v>20:00 001/p1</v>
      </c>
      <c r="F329" s="293" t="str">
        <f t="shared" si="678"/>
        <v>21:00 001/p1</v>
      </c>
      <c r="G329" s="293" t="str">
        <f t="shared" si="678"/>
        <v>22:00 001/p1</v>
      </c>
      <c r="H329" s="293" t="str">
        <f t="shared" ref="H329:I329" si="679">TEXT(IF($B329=0," ",$B329+H$6),"hh:mm am/pm")</f>
        <v>05:00 001/p1</v>
      </c>
      <c r="I329" s="293" t="str">
        <f t="shared" si="679"/>
        <v>10:00 001/p1</v>
      </c>
      <c r="J329" s="318" t="s">
        <v>343</v>
      </c>
      <c r="K329" s="295"/>
      <c r="L329" s="319" t="s">
        <v>73</v>
      </c>
      <c r="M329" s="320" t="s">
        <v>71</v>
      </c>
      <c r="N329" s="321" t="s">
        <v>57</v>
      </c>
      <c r="O329" s="322" t="s">
        <v>74</v>
      </c>
      <c r="P329" s="323" t="s">
        <v>75</v>
      </c>
      <c r="Q329" s="324">
        <v>1030</v>
      </c>
      <c r="R329" s="377" t="s">
        <v>181</v>
      </c>
      <c r="S329" s="326"/>
      <c r="T329" s="327" t="s">
        <v>77</v>
      </c>
      <c r="U329" s="321" t="s">
        <v>78</v>
      </c>
      <c r="V329" s="321">
        <v>0.8</v>
      </c>
      <c r="W329" s="321">
        <v>0.8</v>
      </c>
      <c r="X329" s="328"/>
      <c r="Y329" s="329" t="s">
        <v>79</v>
      </c>
      <c r="Z329" s="321">
        <v>0.8</v>
      </c>
      <c r="AA329" s="330">
        <v>60000</v>
      </c>
      <c r="AB329" s="330" t="s">
        <v>65</v>
      </c>
      <c r="AC329" s="331">
        <v>0.1</v>
      </c>
      <c r="AD329" s="331">
        <v>0.02</v>
      </c>
      <c r="AE329" s="330" t="s">
        <v>66</v>
      </c>
      <c r="AF329" s="332">
        <v>20000</v>
      </c>
      <c r="AG329" s="333">
        <v>6</v>
      </c>
      <c r="AH329" s="333">
        <v>5</v>
      </c>
      <c r="AI329" s="333">
        <v>5</v>
      </c>
      <c r="AJ329" s="327">
        <v>12</v>
      </c>
      <c r="AK329" s="334" t="s">
        <v>67</v>
      </c>
      <c r="AL329" s="335" t="s">
        <v>68</v>
      </c>
      <c r="AM329" s="336" t="s">
        <v>69</v>
      </c>
      <c r="AN329" s="336" t="s">
        <v>70</v>
      </c>
      <c r="AO329" s="314">
        <f t="shared" si="515"/>
        <v>1.01181712962963</v>
      </c>
      <c r="AP329" s="315">
        <f t="shared" si="516"/>
        <v>1464</v>
      </c>
      <c r="AQ329" s="316" t="str">
        <f t="shared" si="517"/>
        <v>MICRO</v>
      </c>
    </row>
    <row r="330" ht="29.25" customHeight="1" outlineLevel="1" spans="1:43">
      <c r="B330" s="317">
        <v>0.958344907407407</v>
      </c>
      <c r="C330" s="293" t="str">
        <f t="shared" ref="C330:G330" si="680">TEXT(IF($B330=0," ",$B330-C$6),"hh:mm am/pm")</f>
        <v>21:00 001/p1</v>
      </c>
      <c r="D330" s="293" t="str">
        <f t="shared" si="680"/>
        <v>19:00 001/p1</v>
      </c>
      <c r="E330" s="293" t="str">
        <f t="shared" si="680"/>
        <v>20:00 001/p1</v>
      </c>
      <c r="F330" s="293" t="str">
        <f t="shared" si="680"/>
        <v>21:00 001/p1</v>
      </c>
      <c r="G330" s="293" t="str">
        <f t="shared" si="680"/>
        <v>22:00 001/p1</v>
      </c>
      <c r="H330" s="293" t="str">
        <f t="shared" ref="H330:I330" si="681">TEXT(IF($B330=0," ",$B330+H$6),"hh:mm am/pm")</f>
        <v>05:00 001/p1</v>
      </c>
      <c r="I330" s="293" t="str">
        <f t="shared" si="681"/>
        <v>10:00 001/p1</v>
      </c>
      <c r="J330" s="294" t="s">
        <v>136</v>
      </c>
      <c r="K330" s="295"/>
      <c r="L330" s="337" t="s">
        <v>114</v>
      </c>
      <c r="M330" s="338" t="s">
        <v>71</v>
      </c>
      <c r="N330" s="339" t="s">
        <v>57</v>
      </c>
      <c r="O330" s="340" t="s">
        <v>74</v>
      </c>
      <c r="P330" s="341" t="s">
        <v>75</v>
      </c>
      <c r="Q330" s="342">
        <v>100</v>
      </c>
      <c r="R330" s="343" t="s">
        <v>60</v>
      </c>
      <c r="S330" s="344"/>
      <c r="T330" s="345" t="s">
        <v>77</v>
      </c>
      <c r="U330" s="339" t="s">
        <v>62</v>
      </c>
      <c r="V330" s="339">
        <v>0.2</v>
      </c>
      <c r="W330" s="339">
        <v>0.2</v>
      </c>
      <c r="X330" s="354"/>
      <c r="Y330" s="347" t="s">
        <v>79</v>
      </c>
      <c r="Z330" s="339">
        <v>0.2</v>
      </c>
      <c r="AA330" s="348">
        <v>50000</v>
      </c>
      <c r="AB330" s="348" t="s">
        <v>65</v>
      </c>
      <c r="AC330" s="349">
        <v>0.1</v>
      </c>
      <c r="AD330" s="349">
        <v>0</v>
      </c>
      <c r="AE330" s="345" t="s">
        <v>66</v>
      </c>
      <c r="AF330" s="346">
        <v>20000</v>
      </c>
      <c r="AG330" s="350">
        <v>5</v>
      </c>
      <c r="AH330" s="350">
        <v>5</v>
      </c>
      <c r="AI330" s="350">
        <v>5</v>
      </c>
      <c r="AJ330" s="345">
        <v>12</v>
      </c>
      <c r="AK330" s="352" t="s">
        <v>67</v>
      </c>
      <c r="AL330" s="352" t="s">
        <v>68</v>
      </c>
      <c r="AM330" s="353" t="s">
        <v>69</v>
      </c>
      <c r="AN330" s="353" t="s">
        <v>70</v>
      </c>
      <c r="AO330" s="314">
        <f t="shared" si="515"/>
        <v>1.0034837962963</v>
      </c>
      <c r="AP330" s="315">
        <f t="shared" si="516"/>
        <v>556</v>
      </c>
      <c r="AQ330" s="316" t="str">
        <f t="shared" si="517"/>
        <v>MICRO</v>
      </c>
    </row>
    <row r="331" ht="29.25" customHeight="1" outlineLevel="1" spans="1:43">
      <c r="B331" s="317">
        <v>0.958344907407407</v>
      </c>
      <c r="C331" s="293" t="str">
        <f t="shared" ref="C331:G331" si="682">TEXT(IF($B331=0," ",$B331-C$6),"hh:mm am/pm")</f>
        <v>21:00 001/p1</v>
      </c>
      <c r="D331" s="293" t="str">
        <f t="shared" si="682"/>
        <v>19:00 001/p1</v>
      </c>
      <c r="E331" s="293" t="str">
        <f t="shared" si="682"/>
        <v>20:00 001/p1</v>
      </c>
      <c r="F331" s="293" t="str">
        <f t="shared" si="682"/>
        <v>21:00 001/p1</v>
      </c>
      <c r="G331" s="293" t="str">
        <f t="shared" si="682"/>
        <v>22:00 001/p1</v>
      </c>
      <c r="H331" s="293" t="str">
        <f t="shared" ref="H331:I331" si="683">TEXT(IF($B331=0," ",$B331+H$6),"hh:mm am/pm")</f>
        <v>05:00 001/p1</v>
      </c>
      <c r="I331" s="293" t="str">
        <f t="shared" si="683"/>
        <v>10:00 001/p1</v>
      </c>
      <c r="J331" s="294" t="s">
        <v>344</v>
      </c>
      <c r="K331" s="295"/>
      <c r="L331" s="319" t="s">
        <v>272</v>
      </c>
      <c r="M331" s="320" t="s">
        <v>71</v>
      </c>
      <c r="N331" s="321" t="s">
        <v>57</v>
      </c>
      <c r="O331" s="322" t="s">
        <v>82</v>
      </c>
      <c r="P331" s="323" t="s">
        <v>75</v>
      </c>
      <c r="Q331" s="324">
        <v>1600</v>
      </c>
      <c r="R331" s="375" t="s">
        <v>60</v>
      </c>
      <c r="S331" s="326"/>
      <c r="T331" s="327" t="s">
        <v>92</v>
      </c>
      <c r="U331" s="321" t="s">
        <v>62</v>
      </c>
      <c r="V331" s="321">
        <v>11</v>
      </c>
      <c r="W331" s="321">
        <v>11</v>
      </c>
      <c r="X331" s="328"/>
      <c r="Y331" s="329" t="s">
        <v>63</v>
      </c>
      <c r="Z331" s="326"/>
      <c r="AA331" s="330" t="s">
        <v>64</v>
      </c>
      <c r="AB331" s="330" t="s">
        <v>65</v>
      </c>
      <c r="AC331" s="331">
        <v>0.1</v>
      </c>
      <c r="AD331" s="331">
        <v>0.02</v>
      </c>
      <c r="AE331" s="327" t="s">
        <v>88</v>
      </c>
      <c r="AF331" s="332">
        <v>50000</v>
      </c>
      <c r="AG331" s="333">
        <v>6</v>
      </c>
      <c r="AH331" s="333">
        <v>6</v>
      </c>
      <c r="AI331" s="333">
        <v>6</v>
      </c>
      <c r="AJ331" s="327">
        <v>13</v>
      </c>
      <c r="AK331" s="334" t="s">
        <v>67</v>
      </c>
      <c r="AL331" s="335" t="s">
        <v>68</v>
      </c>
      <c r="AM331" s="336" t="s">
        <v>69</v>
      </c>
      <c r="AN331" s="336" t="s">
        <v>70</v>
      </c>
      <c r="AO331" s="314">
        <f t="shared" si="515"/>
        <v>1.0159837962963</v>
      </c>
      <c r="AP331" s="315">
        <f t="shared" si="516"/>
        <v>166</v>
      </c>
      <c r="AQ331" s="316" t="str">
        <f t="shared" si="517"/>
        <v>LOW</v>
      </c>
    </row>
    <row r="332" ht="29.25" customHeight="1" outlineLevel="1" spans="1:43">
      <c r="A332" s="363" t="s">
        <v>294</v>
      </c>
      <c r="B332" s="317">
        <v>0.965289351851852</v>
      </c>
      <c r="C332" s="293" t="str">
        <f t="shared" ref="C332:G332" si="684">TEXT(IF($B332=0," ",$B332-C$6),"hh:mm am/pm")</f>
        <v>21:10 001/p1</v>
      </c>
      <c r="D332" s="293" t="str">
        <f t="shared" si="684"/>
        <v>19:10 001/p1</v>
      </c>
      <c r="E332" s="293" t="str">
        <f t="shared" si="684"/>
        <v>20:10 001/p1</v>
      </c>
      <c r="F332" s="293" t="str">
        <f t="shared" si="684"/>
        <v>21:10 001/p1</v>
      </c>
      <c r="G332" s="293" t="str">
        <f t="shared" si="684"/>
        <v>22:10 001/p1</v>
      </c>
      <c r="H332" s="293" t="str">
        <f t="shared" ref="H332:I332" si="685">TEXT(IF($B332=0," ",$B332+H$6),"hh:mm am/pm")</f>
        <v>05:10 001/p1</v>
      </c>
      <c r="I332" s="293" t="str">
        <f t="shared" si="685"/>
        <v>10:10 001/p1</v>
      </c>
      <c r="J332" s="294" t="s">
        <v>137</v>
      </c>
      <c r="K332" s="295"/>
      <c r="L332" s="337" t="s">
        <v>129</v>
      </c>
      <c r="M332" s="338" t="s">
        <v>71</v>
      </c>
      <c r="N332" s="339" t="s">
        <v>122</v>
      </c>
      <c r="O332" s="340" t="s">
        <v>74</v>
      </c>
      <c r="P332" s="341" t="s">
        <v>101</v>
      </c>
      <c r="Q332" s="342">
        <v>100</v>
      </c>
      <c r="R332" s="343" t="s">
        <v>60</v>
      </c>
      <c r="S332" s="344"/>
      <c r="T332" s="345" t="s">
        <v>61</v>
      </c>
      <c r="U332" s="339" t="s">
        <v>62</v>
      </c>
      <c r="V332" s="339">
        <v>0.6</v>
      </c>
      <c r="W332" s="339">
        <v>0.6</v>
      </c>
      <c r="X332" s="354"/>
      <c r="Y332" s="347" t="s">
        <v>79</v>
      </c>
      <c r="Z332" s="339">
        <v>0.6</v>
      </c>
      <c r="AA332" s="348">
        <v>100000</v>
      </c>
      <c r="AB332" s="348" t="s">
        <v>65</v>
      </c>
      <c r="AC332" s="349">
        <v>0.1</v>
      </c>
      <c r="AD332" s="349">
        <v>0</v>
      </c>
      <c r="AE332" s="348" t="s">
        <v>88</v>
      </c>
      <c r="AF332" s="346">
        <v>40000</v>
      </c>
      <c r="AG332" s="350">
        <v>6</v>
      </c>
      <c r="AH332" s="350">
        <v>5</v>
      </c>
      <c r="AI332" s="350">
        <v>5</v>
      </c>
      <c r="AJ332" s="345">
        <v>12</v>
      </c>
      <c r="AK332" s="352" t="s">
        <v>67</v>
      </c>
      <c r="AL332" s="352" t="s">
        <v>68</v>
      </c>
      <c r="AM332" s="353" t="s">
        <v>69</v>
      </c>
      <c r="AN332" s="353" t="s">
        <v>70</v>
      </c>
      <c r="AO332" s="314">
        <f t="shared" si="515"/>
        <v>1.01876157407407</v>
      </c>
      <c r="AP332" s="315">
        <f t="shared" si="516"/>
        <v>186</v>
      </c>
      <c r="AQ332" s="316" t="str">
        <f t="shared" si="517"/>
        <v>MICRO</v>
      </c>
    </row>
    <row r="333" ht="29.25" customHeight="1" outlineLevel="1" spans="1:43">
      <c r="B333" s="317">
        <v>0.979178240740741</v>
      </c>
      <c r="C333" s="293" t="str">
        <f t="shared" ref="C333:G333" si="686">TEXT(IF($B333=0," ",$B333-C$6),"hh:mm am/pm")</f>
        <v>21:30 001/p1</v>
      </c>
      <c r="D333" s="293" t="str">
        <f t="shared" si="686"/>
        <v>19:30 001/p1</v>
      </c>
      <c r="E333" s="293" t="str">
        <f t="shared" si="686"/>
        <v>20:30 001/p1</v>
      </c>
      <c r="F333" s="293" t="str">
        <f t="shared" si="686"/>
        <v>21:30 001/p1</v>
      </c>
      <c r="G333" s="293" t="str">
        <f t="shared" si="686"/>
        <v>22:30 001/p1</v>
      </c>
      <c r="H333" s="293" t="str">
        <f t="shared" ref="H333:I333" si="687">TEXT(IF($B333=0," ",$B333+H$6),"hh:mm am/pm")</f>
        <v>05:30 001/p1</v>
      </c>
      <c r="I333" s="293" t="str">
        <f t="shared" si="687"/>
        <v>10:30 001/p1</v>
      </c>
      <c r="J333" s="294" t="s">
        <v>274</v>
      </c>
      <c r="K333" s="295"/>
      <c r="L333" s="319" t="s">
        <v>192</v>
      </c>
      <c r="M333" s="320" t="s">
        <v>71</v>
      </c>
      <c r="N333" s="321" t="s">
        <v>57</v>
      </c>
      <c r="O333" s="322" t="s">
        <v>233</v>
      </c>
      <c r="P333" s="323" t="s">
        <v>59</v>
      </c>
      <c r="Q333" s="324">
        <v>240</v>
      </c>
      <c r="R333" s="375" t="s">
        <v>60</v>
      </c>
      <c r="S333" s="326"/>
      <c r="T333" s="327" t="s">
        <v>61</v>
      </c>
      <c r="U333" s="321" t="s">
        <v>62</v>
      </c>
      <c r="V333" s="321">
        <v>2</v>
      </c>
      <c r="W333" s="321">
        <v>2</v>
      </c>
      <c r="X333" s="328"/>
      <c r="Y333" s="329" t="s">
        <v>63</v>
      </c>
      <c r="Z333" s="326"/>
      <c r="AA333" s="330" t="s">
        <v>64</v>
      </c>
      <c r="AB333" s="330" t="s">
        <v>65</v>
      </c>
      <c r="AC333" s="331">
        <v>0.1</v>
      </c>
      <c r="AD333" s="331">
        <v>0.02</v>
      </c>
      <c r="AE333" s="330" t="s">
        <v>66</v>
      </c>
      <c r="AF333" s="332">
        <v>30000</v>
      </c>
      <c r="AG333" s="333">
        <v>5</v>
      </c>
      <c r="AH333" s="333">
        <v>5</v>
      </c>
      <c r="AI333" s="333">
        <v>5</v>
      </c>
      <c r="AJ333" s="327">
        <v>13</v>
      </c>
      <c r="AK333" s="335" t="s">
        <v>67</v>
      </c>
      <c r="AL333" s="335" t="s">
        <v>68</v>
      </c>
      <c r="AM333" s="336" t="s">
        <v>69</v>
      </c>
      <c r="AN333" s="336" t="s">
        <v>70</v>
      </c>
      <c r="AO333" s="314">
        <f t="shared" si="515"/>
        <v>1.02778935185185</v>
      </c>
      <c r="AP333" s="315">
        <f t="shared" si="516"/>
        <v>137</v>
      </c>
      <c r="AQ333" s="316" t="str">
        <f t="shared" si="517"/>
        <v>MICRO</v>
      </c>
    </row>
    <row r="334" ht="29.25" customHeight="1" outlineLevel="1" spans="1:43">
      <c r="B334" s="364">
        <v>0.979178240740741</v>
      </c>
      <c r="C334" s="293" t="str">
        <f t="shared" ref="C334:G334" si="688">TEXT(IF($B334=0," ",$B334-C$6),"hh:mm am/pm")</f>
        <v>21:30 001/p1</v>
      </c>
      <c r="D334" s="293" t="str">
        <f t="shared" si="688"/>
        <v>19:30 001/p1</v>
      </c>
      <c r="E334" s="293" t="str">
        <f t="shared" si="688"/>
        <v>20:30 001/p1</v>
      </c>
      <c r="F334" s="293" t="str">
        <f t="shared" si="688"/>
        <v>21:30 001/p1</v>
      </c>
      <c r="G334" s="293" t="str">
        <f t="shared" si="688"/>
        <v>22:30 001/p1</v>
      </c>
      <c r="H334" s="293" t="str">
        <f t="shared" ref="H334:I334" si="689">TEXT(IF($B334=0," ",$B334+H$6),"hh:mm am/pm")</f>
        <v>05:30 001/p1</v>
      </c>
      <c r="I334" s="293" t="str">
        <f t="shared" si="689"/>
        <v>10:30 001/p1</v>
      </c>
      <c r="J334" s="294" t="s">
        <v>345</v>
      </c>
      <c r="K334" s="295"/>
      <c r="L334" s="337" t="s">
        <v>346</v>
      </c>
      <c r="M334" s="338" t="s">
        <v>71</v>
      </c>
      <c r="N334" s="339" t="s">
        <v>57</v>
      </c>
      <c r="O334" s="340" t="s">
        <v>74</v>
      </c>
      <c r="P334" s="341" t="s">
        <v>59</v>
      </c>
      <c r="Q334" s="342">
        <v>3000</v>
      </c>
      <c r="R334" s="343" t="s">
        <v>60</v>
      </c>
      <c r="S334" s="344"/>
      <c r="T334" s="345" t="s">
        <v>61</v>
      </c>
      <c r="U334" s="339" t="s">
        <v>78</v>
      </c>
      <c r="V334" s="339">
        <v>30</v>
      </c>
      <c r="W334" s="339">
        <v>30</v>
      </c>
      <c r="X334" s="354"/>
      <c r="Y334" s="347" t="s">
        <v>63</v>
      </c>
      <c r="Z334" s="344"/>
      <c r="AA334" s="348" t="s">
        <v>64</v>
      </c>
      <c r="AB334" s="348" t="s">
        <v>65</v>
      </c>
      <c r="AC334" s="349">
        <v>0.1</v>
      </c>
      <c r="AD334" s="349">
        <v>0.02</v>
      </c>
      <c r="AE334" s="348" t="s">
        <v>88</v>
      </c>
      <c r="AF334" s="346">
        <v>50000</v>
      </c>
      <c r="AG334" s="350">
        <v>5</v>
      </c>
      <c r="AH334" s="350">
        <v>5</v>
      </c>
      <c r="AI334" s="350">
        <v>5</v>
      </c>
      <c r="AJ334" s="345">
        <v>13</v>
      </c>
      <c r="AK334" s="352" t="s">
        <v>67</v>
      </c>
      <c r="AL334" s="352" t="s">
        <v>68</v>
      </c>
      <c r="AM334" s="353" t="s">
        <v>69</v>
      </c>
      <c r="AN334" s="353" t="s">
        <v>70</v>
      </c>
      <c r="AO334" s="314">
        <f t="shared" si="515"/>
        <v>1.02778935185185</v>
      </c>
      <c r="AP334" s="315">
        <f t="shared" si="516"/>
        <v>114</v>
      </c>
      <c r="AQ334" s="316" t="str">
        <f t="shared" si="517"/>
        <v>MEDIUM</v>
      </c>
    </row>
    <row r="335" ht="29.25" customHeight="1" outlineLevel="1" spans="1:43">
      <c r="A335" s="363" t="s">
        <v>294</v>
      </c>
      <c r="B335" s="383"/>
      <c r="C335" s="293" t="str">
        <f t="shared" ref="C335:G335" si="690">TEXT(IF($B335=0," ",$B335-C$6),"hh:mm am/pm")</f>
        <v> </v>
      </c>
      <c r="D335" s="293" t="str">
        <f t="shared" si="690"/>
        <v> </v>
      </c>
      <c r="E335" s="293" t="str">
        <f t="shared" si="690"/>
        <v> </v>
      </c>
      <c r="F335" s="293" t="str">
        <f t="shared" si="690"/>
        <v> </v>
      </c>
      <c r="G335" s="293" t="str">
        <f t="shared" si="690"/>
        <v> </v>
      </c>
      <c r="H335" s="293" t="str">
        <f t="shared" ref="H335:I335" si="691">TEXT(IF($B335=0," ",$B335+H$6),"hh:mm am/pm")</f>
        <v> </v>
      </c>
      <c r="I335" s="293" t="str">
        <f t="shared" si="691"/>
        <v> </v>
      </c>
      <c r="J335" s="380" t="s">
        <v>193</v>
      </c>
      <c r="K335" s="381"/>
      <c r="L335" s="380" t="s">
        <v>194</v>
      </c>
      <c r="M335" s="382"/>
      <c r="N335" s="382"/>
      <c r="O335" s="382"/>
      <c r="P335" s="382"/>
      <c r="Q335" s="382"/>
      <c r="R335" s="382"/>
      <c r="S335" s="382"/>
      <c r="T335" s="382"/>
      <c r="U335" s="382"/>
      <c r="V335" s="382"/>
      <c r="W335" s="382"/>
      <c r="X335" s="382"/>
      <c r="Y335" s="382"/>
      <c r="Z335" s="382"/>
      <c r="AA335" s="382"/>
      <c r="AB335" s="382"/>
      <c r="AC335" s="382"/>
      <c r="AD335" s="382"/>
      <c r="AE335" s="382"/>
      <c r="AF335" s="382"/>
      <c r="AG335" s="382"/>
      <c r="AH335" s="382"/>
      <c r="AI335" s="382"/>
      <c r="AJ335" s="382"/>
      <c r="AK335" s="382"/>
      <c r="AL335" s="382"/>
      <c r="AM335" s="383"/>
      <c r="AN335" s="374"/>
      <c r="AO335" s="383"/>
      <c r="AP335" s="374"/>
      <c r="AQ335" s="383"/>
    </row>
    <row r="336" ht="29.25" customHeight="1" outlineLevel="1" spans="1:43">
      <c r="B336" s="497">
        <v>0.416678240740741</v>
      </c>
      <c r="C336" s="293" t="str">
        <f t="shared" ref="C336:G336" si="692">TEXT(IF($B336=0," ",$B336-C$6),"hh:mm am/pm")</f>
        <v>08:00 001/p1</v>
      </c>
      <c r="D336" s="293" t="str">
        <f t="shared" si="692"/>
        <v>06:00 001/p1</v>
      </c>
      <c r="E336" s="293" t="str">
        <f t="shared" si="692"/>
        <v>07:00 001/p1</v>
      </c>
      <c r="F336" s="293" t="str">
        <f t="shared" si="692"/>
        <v>08:00 001/p1</v>
      </c>
      <c r="G336" s="293" t="str">
        <f t="shared" si="692"/>
        <v>09:00 001/p1</v>
      </c>
      <c r="H336" s="293" t="str">
        <f t="shared" ref="H336:I336" si="693">TEXT(IF($B336=0," ",$B336+H$6),"hh:mm am/pm")</f>
        <v>16:00 001/p1</v>
      </c>
      <c r="I336" s="293" t="str">
        <f t="shared" si="693"/>
        <v>21:00 001/p1</v>
      </c>
      <c r="J336" s="384" t="str">
        <f>L290</f>
        <v>#AS Reentry</v>
      </c>
      <c r="K336" s="385"/>
      <c r="L336" s="386" t="s">
        <v>195</v>
      </c>
      <c r="M336" s="387" t="s">
        <v>196</v>
      </c>
      <c r="N336" s="388" t="s">
        <v>57</v>
      </c>
      <c r="O336" s="389" t="s">
        <v>74</v>
      </c>
      <c r="P336" s="390" t="s">
        <v>75</v>
      </c>
      <c r="Q336" s="391">
        <f>15*4</f>
        <v>60</v>
      </c>
      <c r="R336" s="392" t="s">
        <v>60</v>
      </c>
      <c r="S336" s="393"/>
      <c r="T336" s="394">
        <v>0.1</v>
      </c>
      <c r="U336" s="388" t="s">
        <v>62</v>
      </c>
      <c r="V336" s="388">
        <v>0.8</v>
      </c>
      <c r="W336" s="388">
        <v>0.8</v>
      </c>
      <c r="X336" s="395"/>
      <c r="Y336" s="396" t="s">
        <v>79</v>
      </c>
      <c r="Z336" s="388">
        <v>0.8</v>
      </c>
      <c r="AA336" s="397">
        <v>20000</v>
      </c>
      <c r="AB336" s="397" t="s">
        <v>65</v>
      </c>
      <c r="AC336" s="394">
        <v>0.05</v>
      </c>
      <c r="AD336" s="394">
        <v>0</v>
      </c>
      <c r="AE336" s="392" t="s">
        <v>88</v>
      </c>
      <c r="AF336" s="399">
        <v>10000</v>
      </c>
      <c r="AG336" s="400">
        <v>4</v>
      </c>
      <c r="AH336" s="400">
        <v>4</v>
      </c>
      <c r="AI336" s="400">
        <v>4</v>
      </c>
      <c r="AJ336" s="392">
        <v>9</v>
      </c>
      <c r="AK336" s="401" t="s">
        <v>67</v>
      </c>
      <c r="AL336" s="402" t="s">
        <v>68</v>
      </c>
      <c r="AM336" s="403" t="s">
        <v>197</v>
      </c>
      <c r="AN336" s="403" t="s">
        <v>198</v>
      </c>
      <c r="AO336" s="314">
        <f>IF(B336=0," ",TIME(,ROUNDDOWN(AG336*AJ336/60,0)*5+(AG336*AJ336),)+B336)</f>
        <v>0.441678240740741</v>
      </c>
      <c r="AP336" s="315">
        <f>IF(Q336=0,,ROUNDUP(Q336/(V336*(1-AC336-AD336)),0))</f>
        <v>79</v>
      </c>
      <c r="AQ336" s="316" t="str">
        <f>IFERROR(IF(V336=0," ",IF(V336&lt;=5,"MICRO",IF(V336&lt;=19.8,"LOW",IF(V336&lt;=99.8,"MEDIUM",IF(V336&lt;=500,"HIGH",IF(V336&gt;500,"SUPER HIGH",)))))),"")</f>
        <v>MICRO</v>
      </c>
    </row>
    <row r="337" ht="29.25" customHeight="1" outlineLevel="1" spans="1:43">
      <c r="B337" s="365"/>
      <c r="C337" s="293" t="str">
        <f t="shared" ref="C337:G337" si="694">TEXT(IF($B337=0," ",$B337-C$6),"hh:mm am/pm")</f>
        <v> </v>
      </c>
      <c r="D337" s="293" t="str">
        <f t="shared" si="694"/>
        <v> </v>
      </c>
      <c r="E337" s="293" t="str">
        <f t="shared" si="694"/>
        <v> </v>
      </c>
      <c r="F337" s="293" t="str">
        <f t="shared" si="694"/>
        <v> </v>
      </c>
      <c r="G337" s="293" t="str">
        <f t="shared" si="694"/>
        <v> </v>
      </c>
      <c r="H337" s="293" t="str">
        <f t="shared" ref="H337:I337" si="695">TEXT(IF($B337=0," ",$B337+H$6),"hh:mm am/pm")</f>
        <v> </v>
      </c>
      <c r="I337" s="293" t="str">
        <f t="shared" si="695"/>
        <v> </v>
      </c>
      <c r="J337" s="344"/>
      <c r="K337" s="367"/>
      <c r="L337" s="367"/>
      <c r="M337" s="368"/>
      <c r="N337" s="369"/>
      <c r="O337" s="370"/>
      <c r="P337" s="370"/>
      <c r="Q337" s="369"/>
      <c r="R337" s="369"/>
      <c r="S337" s="369"/>
      <c r="T337" s="371"/>
      <c r="U337" s="369"/>
      <c r="V337" s="369"/>
      <c r="W337" s="369"/>
      <c r="X337" s="372"/>
      <c r="Y337" s="367"/>
      <c r="Z337" s="369"/>
      <c r="AA337" s="372"/>
      <c r="AB337" s="372"/>
      <c r="AC337" s="371"/>
      <c r="AD337" s="404"/>
      <c r="AE337" s="372"/>
      <c r="AF337" s="372"/>
      <c r="AG337" s="367"/>
      <c r="AH337" s="367"/>
      <c r="AI337" s="367"/>
      <c r="AJ337" s="367"/>
      <c r="AK337" s="373"/>
      <c r="AL337" s="373"/>
      <c r="AM337" s="373"/>
      <c r="AN337" s="373"/>
      <c r="AO337" s="383"/>
      <c r="AP337" s="374"/>
      <c r="AQ337" s="383"/>
    </row>
    <row r="338" ht="29.25" customHeight="1" outlineLevel="1" spans="1:43">
      <c r="A338" s="363" t="s">
        <v>294</v>
      </c>
      <c r="B338" s="317">
        <v>0.437511574074074</v>
      </c>
      <c r="C338" s="293" t="str">
        <f t="shared" ref="C338:G338" si="696">TEXT(IF($B338=0," ",$B338-C$6),"hh:mm am/pm")</f>
        <v>08:30 001/p1</v>
      </c>
      <c r="D338" s="293" t="str">
        <f t="shared" si="696"/>
        <v>06:30 001/p1</v>
      </c>
      <c r="E338" s="293" t="str">
        <f t="shared" si="696"/>
        <v>07:30 001/p1</v>
      </c>
      <c r="F338" s="293" t="str">
        <f t="shared" si="696"/>
        <v>08:30 001/p1</v>
      </c>
      <c r="G338" s="293" t="str">
        <f t="shared" si="696"/>
        <v>09:30 001/p1</v>
      </c>
      <c r="H338" s="293" t="str">
        <f t="shared" ref="H338:I338" si="697">TEXT(IF($B338=0," ",$B338+H$6),"hh:mm am/pm")</f>
        <v>16:30 001/p1</v>
      </c>
      <c r="I338" s="293" t="str">
        <f t="shared" si="697"/>
        <v>21:30 001/p1</v>
      </c>
      <c r="J338" s="405" t="str">
        <f>L291</f>
        <v>#AS OmaX PKO</v>
      </c>
      <c r="K338" s="406"/>
      <c r="L338" s="407" t="s">
        <v>199</v>
      </c>
      <c r="M338" s="408" t="s">
        <v>196</v>
      </c>
      <c r="N338" s="409" t="s">
        <v>100</v>
      </c>
      <c r="O338" s="410" t="s">
        <v>74</v>
      </c>
      <c r="P338" s="411" t="s">
        <v>101</v>
      </c>
      <c r="Q338" s="412">
        <f>12*5</f>
        <v>60</v>
      </c>
      <c r="R338" s="409" t="s">
        <v>60</v>
      </c>
      <c r="S338" s="413"/>
      <c r="T338" s="414">
        <v>0.1</v>
      </c>
      <c r="U338" s="409" t="s">
        <v>62</v>
      </c>
      <c r="V338" s="409">
        <v>0.6</v>
      </c>
      <c r="W338" s="409">
        <v>0.6</v>
      </c>
      <c r="X338" s="415"/>
      <c r="Y338" s="416" t="s">
        <v>79</v>
      </c>
      <c r="Z338" s="409">
        <v>0.8</v>
      </c>
      <c r="AA338" s="417">
        <v>20000</v>
      </c>
      <c r="AB338" s="417" t="s">
        <v>65</v>
      </c>
      <c r="AC338" s="414">
        <v>0.05</v>
      </c>
      <c r="AD338" s="414">
        <v>0</v>
      </c>
      <c r="AE338" s="417" t="s">
        <v>88</v>
      </c>
      <c r="AF338" s="419">
        <v>10000</v>
      </c>
      <c r="AG338" s="420">
        <v>4</v>
      </c>
      <c r="AH338" s="420">
        <v>4</v>
      </c>
      <c r="AI338" s="420">
        <v>4</v>
      </c>
      <c r="AJ338" s="418">
        <v>9</v>
      </c>
      <c r="AK338" s="421" t="s">
        <v>67</v>
      </c>
      <c r="AL338" s="421" t="s">
        <v>68</v>
      </c>
      <c r="AM338" s="422" t="s">
        <v>197</v>
      </c>
      <c r="AN338" s="403" t="s">
        <v>198</v>
      </c>
      <c r="AO338" s="314">
        <f t="shared" ref="AO338:AO347" si="698">IF(B338=0," ",TIME(,ROUNDDOWN(AG338*AJ338/60,0)*5+(AG338*AJ338),)+B338)</f>
        <v>0.462511574074074</v>
      </c>
      <c r="AP338" s="315">
        <f t="shared" ref="AP338:AP347" si="699">IF(Q338=0,,ROUNDUP(Q338/(V338*(1-AC338-AD338)),0))</f>
        <v>106</v>
      </c>
      <c r="AQ338" s="316" t="str">
        <f t="shared" ref="AQ338:AQ347" si="700">IFERROR(IF(V338=0," ",IF(V338&lt;=5,"MICRO",IF(V338&lt;=19.8,"LOW",IF(V338&lt;=99.8,"MEDIUM",IF(V338&lt;=500,"HIGH",IF(V338&gt;500,"SUPER HIGH",)))))),"")</f>
        <v>MICRO</v>
      </c>
    </row>
    <row r="339" ht="29.25" customHeight="1" outlineLevel="1" spans="1:43">
      <c r="B339" s="365"/>
      <c r="C339" s="293" t="str">
        <f t="shared" ref="C339:G339" si="701">TEXT(IF($B339=0," ",$B339-C$6),"hh:mm am/pm")</f>
        <v> </v>
      </c>
      <c r="D339" s="293" t="str">
        <f t="shared" si="701"/>
        <v> </v>
      </c>
      <c r="E339" s="293" t="str">
        <f t="shared" si="701"/>
        <v> </v>
      </c>
      <c r="F339" s="293" t="str">
        <f t="shared" si="701"/>
        <v> </v>
      </c>
      <c r="G339" s="293" t="str">
        <f t="shared" si="701"/>
        <v> </v>
      </c>
      <c r="H339" s="293" t="str">
        <f t="shared" ref="H339:I339" si="702">TEXT(IF($B339=0," ",$B339+H$6),"hh:mm am/pm")</f>
        <v> </v>
      </c>
      <c r="I339" s="293" t="str">
        <f t="shared" si="702"/>
        <v> </v>
      </c>
      <c r="J339" s="344"/>
      <c r="K339" s="367"/>
      <c r="L339" s="367"/>
      <c r="M339" s="368"/>
      <c r="N339" s="369"/>
      <c r="O339" s="370"/>
      <c r="P339" s="370"/>
      <c r="Q339" s="369"/>
      <c r="R339" s="369"/>
      <c r="S339" s="369"/>
      <c r="T339" s="371"/>
      <c r="U339" s="369"/>
      <c r="V339" s="369"/>
      <c r="W339" s="369"/>
      <c r="X339" s="372"/>
      <c r="Y339" s="367"/>
      <c r="Z339" s="369"/>
      <c r="AA339" s="372"/>
      <c r="AB339" s="372"/>
      <c r="AC339" s="371"/>
      <c r="AD339" s="404"/>
      <c r="AE339" s="372"/>
      <c r="AF339" s="372"/>
      <c r="AG339" s="367"/>
      <c r="AH339" s="367"/>
      <c r="AI339" s="367"/>
      <c r="AJ339" s="367"/>
      <c r="AK339" s="373"/>
      <c r="AL339" s="373"/>
      <c r="AM339" s="373"/>
      <c r="AN339" s="373"/>
      <c r="AO339" s="314" t="str">
        <f t="shared" si="698"/>
        <v> </v>
      </c>
      <c r="AP339" s="374">
        <f t="shared" si="699"/>
        <v>0</v>
      </c>
      <c r="AQ339" s="316" t="str">
        <f t="shared" si="700"/>
        <v> </v>
      </c>
    </row>
    <row r="340" ht="29.25" customHeight="1" outlineLevel="1" spans="1:43">
      <c r="B340" s="317">
        <v>0.437511574074074</v>
      </c>
      <c r="C340" s="293" t="str">
        <f t="shared" ref="C340:G340" si="703">TEXT(IF($B340=0," ",$B340-C$6),"hh:mm am/pm")</f>
        <v>08:30 001/p1</v>
      </c>
      <c r="D340" s="293" t="str">
        <f t="shared" si="703"/>
        <v>06:30 001/p1</v>
      </c>
      <c r="E340" s="293" t="str">
        <f t="shared" si="703"/>
        <v>07:30 001/p1</v>
      </c>
      <c r="F340" s="293" t="str">
        <f t="shared" si="703"/>
        <v>08:30 001/p1</v>
      </c>
      <c r="G340" s="293" t="str">
        <f t="shared" si="703"/>
        <v>09:30 001/p1</v>
      </c>
      <c r="H340" s="293" t="str">
        <f t="shared" ref="H340:I340" si="704">TEXT(IF($B340=0," ",$B340+H$6),"hh:mm am/pm")</f>
        <v>16:30 001/p1</v>
      </c>
      <c r="I340" s="293" t="str">
        <f t="shared" si="704"/>
        <v>21:30 001/p1</v>
      </c>
      <c r="J340" s="423" t="str">
        <f>L248</f>
        <v>#AS WarmUp+SPS</v>
      </c>
      <c r="K340" s="424"/>
      <c r="L340" s="425" t="s">
        <v>200</v>
      </c>
      <c r="M340" s="408" t="s">
        <v>196</v>
      </c>
      <c r="N340" s="409" t="s">
        <v>57</v>
      </c>
      <c r="O340" s="410" t="s">
        <v>74</v>
      </c>
      <c r="P340" s="411" t="s">
        <v>75</v>
      </c>
      <c r="Q340" s="412">
        <f t="shared" ref="Q340:Q341" si="705">30*5</f>
        <v>150</v>
      </c>
      <c r="R340" s="409" t="s">
        <v>60</v>
      </c>
      <c r="S340" s="426"/>
      <c r="T340" s="414">
        <v>0.1</v>
      </c>
      <c r="U340" s="409" t="s">
        <v>62</v>
      </c>
      <c r="V340" s="409">
        <v>1.6</v>
      </c>
      <c r="W340" s="409">
        <v>1.6</v>
      </c>
      <c r="X340" s="415"/>
      <c r="Y340" s="416" t="s">
        <v>79</v>
      </c>
      <c r="Z340" s="409">
        <v>2</v>
      </c>
      <c r="AA340" s="417">
        <v>20000</v>
      </c>
      <c r="AB340" s="417" t="s">
        <v>65</v>
      </c>
      <c r="AC340" s="414">
        <v>0.05</v>
      </c>
      <c r="AD340" s="414">
        <v>0</v>
      </c>
      <c r="AE340" s="418" t="s">
        <v>88</v>
      </c>
      <c r="AF340" s="419">
        <v>10000</v>
      </c>
      <c r="AG340" s="420">
        <v>5</v>
      </c>
      <c r="AH340" s="420">
        <v>5</v>
      </c>
      <c r="AI340" s="420">
        <v>4</v>
      </c>
      <c r="AJ340" s="418">
        <v>9</v>
      </c>
      <c r="AK340" s="421" t="s">
        <v>67</v>
      </c>
      <c r="AL340" s="428" t="s">
        <v>68</v>
      </c>
      <c r="AM340" s="422" t="s">
        <v>197</v>
      </c>
      <c r="AN340" s="403" t="s">
        <v>198</v>
      </c>
      <c r="AO340" s="314">
        <f t="shared" si="698"/>
        <v>0.468761574074074</v>
      </c>
      <c r="AP340" s="315">
        <f t="shared" si="699"/>
        <v>99</v>
      </c>
      <c r="AQ340" s="316" t="str">
        <f t="shared" si="700"/>
        <v>MICRO</v>
      </c>
    </row>
    <row r="341" ht="29.25" customHeight="1" outlineLevel="1" spans="1:43">
      <c r="A341" s="363" t="s">
        <v>294</v>
      </c>
      <c r="B341" s="317">
        <v>0.479178240740741</v>
      </c>
      <c r="C341" s="293" t="str">
        <f t="shared" ref="C341:G341" si="706">TEXT(IF($B341=0," ",$B341-C$6),"hh:mm am/pm")</f>
        <v>09:30 001/p1</v>
      </c>
      <c r="D341" s="293" t="str">
        <f t="shared" si="706"/>
        <v>07:30 001/p1</v>
      </c>
      <c r="E341" s="293" t="str">
        <f t="shared" si="706"/>
        <v>08:30 001/p1</v>
      </c>
      <c r="F341" s="293" t="str">
        <f t="shared" si="706"/>
        <v>09:30 001/p1</v>
      </c>
      <c r="G341" s="293" t="str">
        <f t="shared" si="706"/>
        <v>10:30 001/p1</v>
      </c>
      <c r="H341" s="293" t="str">
        <f t="shared" ref="H341:I341" si="707">TEXT(IF($B341=0," ",$B341+H$6),"hh:mm am/pm")</f>
        <v>17:30 001/p1</v>
      </c>
      <c r="I341" s="293" t="str">
        <f t="shared" si="707"/>
        <v>22:30 001/p1</v>
      </c>
      <c r="J341" s="124"/>
      <c r="K341" s="406"/>
      <c r="L341" s="407" t="s">
        <v>200</v>
      </c>
      <c r="M341" s="408" t="s">
        <v>196</v>
      </c>
      <c r="N341" s="409" t="s">
        <v>57</v>
      </c>
      <c r="O341" s="410" t="s">
        <v>74</v>
      </c>
      <c r="P341" s="411" t="s">
        <v>75</v>
      </c>
      <c r="Q341" s="412">
        <f t="shared" si="705"/>
        <v>150</v>
      </c>
      <c r="R341" s="409" t="s">
        <v>60</v>
      </c>
      <c r="S341" s="426"/>
      <c r="T341" s="414">
        <v>0.1</v>
      </c>
      <c r="U341" s="409" t="s">
        <v>62</v>
      </c>
      <c r="V341" s="409">
        <v>1.6</v>
      </c>
      <c r="W341" s="409">
        <v>1.6</v>
      </c>
      <c r="X341" s="415"/>
      <c r="Y341" s="416" t="s">
        <v>79</v>
      </c>
      <c r="Z341" s="409">
        <v>2</v>
      </c>
      <c r="AA341" s="417">
        <v>20000</v>
      </c>
      <c r="AB341" s="417" t="s">
        <v>65</v>
      </c>
      <c r="AC341" s="414">
        <v>0.05</v>
      </c>
      <c r="AD341" s="414">
        <v>0</v>
      </c>
      <c r="AE341" s="418" t="s">
        <v>88</v>
      </c>
      <c r="AF341" s="419">
        <v>10000</v>
      </c>
      <c r="AG341" s="420">
        <v>4</v>
      </c>
      <c r="AH341" s="420">
        <v>4</v>
      </c>
      <c r="AI341" s="420">
        <v>4</v>
      </c>
      <c r="AJ341" s="418">
        <v>9</v>
      </c>
      <c r="AK341" s="429" t="s">
        <v>67</v>
      </c>
      <c r="AL341" s="428" t="s">
        <v>68</v>
      </c>
      <c r="AM341" s="422" t="s">
        <v>197</v>
      </c>
      <c r="AN341" s="403" t="s">
        <v>198</v>
      </c>
      <c r="AO341" s="314">
        <f t="shared" si="698"/>
        <v>0.504178240740741</v>
      </c>
      <c r="AP341" s="315">
        <f t="shared" si="699"/>
        <v>99</v>
      </c>
      <c r="AQ341" s="316" t="str">
        <f t="shared" si="700"/>
        <v>MICRO</v>
      </c>
    </row>
    <row r="342" ht="29.25" customHeight="1" outlineLevel="1" spans="1:43">
      <c r="B342" s="365"/>
      <c r="C342" s="293" t="str">
        <f t="shared" ref="C342:G342" si="708">TEXT(IF($B342=0," ",$B342-C$6),"hh:mm am/pm")</f>
        <v> </v>
      </c>
      <c r="D342" s="293" t="str">
        <f t="shared" si="708"/>
        <v> </v>
      </c>
      <c r="E342" s="293" t="str">
        <f t="shared" si="708"/>
        <v> </v>
      </c>
      <c r="F342" s="293" t="str">
        <f t="shared" si="708"/>
        <v> </v>
      </c>
      <c r="G342" s="293" t="str">
        <f t="shared" si="708"/>
        <v> </v>
      </c>
      <c r="H342" s="293" t="str">
        <f t="shared" ref="H342:I342" si="709">TEXT(IF($B342=0," ",$B342+H$6),"hh:mm am/pm")</f>
        <v> </v>
      </c>
      <c r="I342" s="293" t="str">
        <f t="shared" si="709"/>
        <v> </v>
      </c>
      <c r="J342" s="485"/>
      <c r="K342" s="366"/>
      <c r="L342" s="366"/>
      <c r="M342" s="368"/>
      <c r="N342" s="369"/>
      <c r="O342" s="370"/>
      <c r="P342" s="370"/>
      <c r="Q342" s="369"/>
      <c r="R342" s="369"/>
      <c r="S342" s="369"/>
      <c r="T342" s="371"/>
      <c r="U342" s="369"/>
      <c r="V342" s="369"/>
      <c r="W342" s="369"/>
      <c r="X342" s="372"/>
      <c r="Y342" s="367"/>
      <c r="Z342" s="369"/>
      <c r="AA342" s="372"/>
      <c r="AB342" s="372"/>
      <c r="AC342" s="371"/>
      <c r="AD342" s="371"/>
      <c r="AE342" s="367"/>
      <c r="AF342" s="372"/>
      <c r="AG342" s="367"/>
      <c r="AH342" s="367"/>
      <c r="AI342" s="367"/>
      <c r="AJ342" s="367"/>
      <c r="AK342" s="373"/>
      <c r="AL342" s="373"/>
      <c r="AM342" s="373"/>
      <c r="AN342" s="373"/>
      <c r="AO342" s="314" t="str">
        <f t="shared" si="698"/>
        <v> </v>
      </c>
      <c r="AP342" s="374">
        <f t="shared" si="699"/>
        <v>0</v>
      </c>
      <c r="AQ342" s="316" t="str">
        <f t="shared" si="700"/>
        <v> </v>
      </c>
    </row>
    <row r="343" ht="29.25" customHeight="1" outlineLevel="1" spans="1:43">
      <c r="A343" s="363" t="s">
        <v>294</v>
      </c>
      <c r="B343" s="364">
        <v>0.520844907407407</v>
      </c>
      <c r="C343" s="293" t="str">
        <f t="shared" ref="C343:G343" si="710">TEXT(IF($B343=0," ",$B343-C$6),"hh:mm am/pm")</f>
        <v>10:30 001/p1</v>
      </c>
      <c r="D343" s="293" t="str">
        <f t="shared" si="710"/>
        <v>08:30 001/p1</v>
      </c>
      <c r="E343" s="293" t="str">
        <f t="shared" si="710"/>
        <v>09:30 001/p1</v>
      </c>
      <c r="F343" s="293" t="str">
        <f t="shared" si="710"/>
        <v>10:30 001/p1</v>
      </c>
      <c r="G343" s="293" t="str">
        <f t="shared" si="710"/>
        <v>11:30 001/p1</v>
      </c>
      <c r="H343" s="293" t="str">
        <f t="shared" ref="H343:I343" si="711">TEXT(IF($B343=0," ",$B343+H$6),"hh:mm am/pm")</f>
        <v>18:30 001/p1</v>
      </c>
      <c r="I343" s="293" t="str">
        <f t="shared" si="711"/>
        <v>23:30 001/p1</v>
      </c>
      <c r="J343" s="423" t="str">
        <f>L252</f>
        <v>#AS Battle HR+SPT</v>
      </c>
      <c r="K343" s="424"/>
      <c r="L343" s="425" t="s">
        <v>201</v>
      </c>
      <c r="M343" s="408" t="s">
        <v>196</v>
      </c>
      <c r="N343" s="409" t="s">
        <v>57</v>
      </c>
      <c r="O343" s="410" t="s">
        <v>74</v>
      </c>
      <c r="P343" s="411" t="s">
        <v>59</v>
      </c>
      <c r="Q343" s="412">
        <f>110*4</f>
        <v>440</v>
      </c>
      <c r="R343" s="414" t="s">
        <v>60</v>
      </c>
      <c r="S343" s="413"/>
      <c r="T343" s="414">
        <v>0.1</v>
      </c>
      <c r="U343" s="409" t="s">
        <v>62</v>
      </c>
      <c r="V343" s="409">
        <v>5</v>
      </c>
      <c r="W343" s="409">
        <v>5</v>
      </c>
      <c r="X343" s="415"/>
      <c r="Y343" s="416" t="s">
        <v>79</v>
      </c>
      <c r="Z343" s="409">
        <v>6</v>
      </c>
      <c r="AA343" s="417">
        <v>20000</v>
      </c>
      <c r="AB343" s="417" t="s">
        <v>65</v>
      </c>
      <c r="AC343" s="414">
        <v>0.05</v>
      </c>
      <c r="AD343" s="414">
        <v>0</v>
      </c>
      <c r="AE343" s="418" t="s">
        <v>88</v>
      </c>
      <c r="AF343" s="419">
        <v>10000</v>
      </c>
      <c r="AG343" s="420">
        <v>5</v>
      </c>
      <c r="AH343" s="420">
        <v>5</v>
      </c>
      <c r="AI343" s="420">
        <v>4</v>
      </c>
      <c r="AJ343" s="418">
        <v>9</v>
      </c>
      <c r="AK343" s="421" t="s">
        <v>67</v>
      </c>
      <c r="AL343" s="428" t="s">
        <v>68</v>
      </c>
      <c r="AM343" s="422" t="s">
        <v>197</v>
      </c>
      <c r="AN343" s="403" t="s">
        <v>198</v>
      </c>
      <c r="AO343" s="314">
        <f t="shared" si="698"/>
        <v>0.552094907407407</v>
      </c>
      <c r="AP343" s="315">
        <f t="shared" si="699"/>
        <v>93</v>
      </c>
      <c r="AQ343" s="316" t="str">
        <f t="shared" si="700"/>
        <v>MICRO</v>
      </c>
    </row>
    <row r="344" ht="29.25" customHeight="1" outlineLevel="1" spans="1:43">
      <c r="B344" s="364">
        <v>0.583344907407407</v>
      </c>
      <c r="C344" s="293" t="str">
        <f t="shared" ref="C344:G344" si="712">TEXT(IF($B344=0," ",$B344-C$6),"hh:mm am/pm")</f>
        <v>12:00 001/p1</v>
      </c>
      <c r="D344" s="293" t="str">
        <f t="shared" si="712"/>
        <v>10:00 001/p1</v>
      </c>
      <c r="E344" s="293" t="str">
        <f t="shared" si="712"/>
        <v>11:00 001/p1</v>
      </c>
      <c r="F344" s="293" t="str">
        <f t="shared" si="712"/>
        <v>12:00 001/p1</v>
      </c>
      <c r="G344" s="293" t="str">
        <f t="shared" si="712"/>
        <v>13:00 001/p1</v>
      </c>
      <c r="H344" s="293" t="str">
        <f t="shared" ref="H344:I344" si="713">TEXT(IF($B344=0," ",$B344+H$6),"hh:mm am/pm")</f>
        <v>20:00 001/p1</v>
      </c>
      <c r="I344" s="293" t="str">
        <f t="shared" si="713"/>
        <v>01:00 001/p1</v>
      </c>
      <c r="J344" s="29"/>
      <c r="K344" s="431"/>
      <c r="L344" s="432" t="s">
        <v>202</v>
      </c>
      <c r="M344" s="408" t="s">
        <v>196</v>
      </c>
      <c r="N344" s="409" t="s">
        <v>57</v>
      </c>
      <c r="O344" s="410" t="s">
        <v>74</v>
      </c>
      <c r="P344" s="411" t="s">
        <v>59</v>
      </c>
      <c r="Q344" s="412">
        <f>110*6</f>
        <v>660</v>
      </c>
      <c r="R344" s="414" t="s">
        <v>60</v>
      </c>
      <c r="S344" s="413"/>
      <c r="T344" s="414">
        <v>0.1</v>
      </c>
      <c r="U344" s="409" t="s">
        <v>62</v>
      </c>
      <c r="V344" s="409">
        <v>5</v>
      </c>
      <c r="W344" s="409">
        <v>5</v>
      </c>
      <c r="X344" s="415"/>
      <c r="Y344" s="416" t="s">
        <v>79</v>
      </c>
      <c r="Z344" s="409">
        <v>6</v>
      </c>
      <c r="AA344" s="417">
        <v>20000</v>
      </c>
      <c r="AB344" s="417" t="s">
        <v>65</v>
      </c>
      <c r="AC344" s="414">
        <v>0.05</v>
      </c>
      <c r="AD344" s="414">
        <v>0</v>
      </c>
      <c r="AE344" s="418" t="s">
        <v>88</v>
      </c>
      <c r="AF344" s="419">
        <v>10000</v>
      </c>
      <c r="AG344" s="420">
        <v>5</v>
      </c>
      <c r="AH344" s="420">
        <v>5</v>
      </c>
      <c r="AI344" s="420">
        <v>4</v>
      </c>
      <c r="AJ344" s="418">
        <v>9</v>
      </c>
      <c r="AK344" s="421" t="s">
        <v>67</v>
      </c>
      <c r="AL344" s="428" t="s">
        <v>68</v>
      </c>
      <c r="AM344" s="422" t="s">
        <v>197</v>
      </c>
      <c r="AN344" s="403" t="s">
        <v>198</v>
      </c>
      <c r="AO344" s="314">
        <f t="shared" si="698"/>
        <v>0.614594907407407</v>
      </c>
      <c r="AP344" s="315">
        <f t="shared" si="699"/>
        <v>139</v>
      </c>
      <c r="AQ344" s="316" t="str">
        <f t="shared" si="700"/>
        <v>MICRO</v>
      </c>
    </row>
    <row r="345" ht="29.25" customHeight="1" outlineLevel="1" spans="1:43">
      <c r="B345" s="364">
        <v>0.625011574074074</v>
      </c>
      <c r="C345" s="293" t="str">
        <f t="shared" ref="C345:G345" si="714">TEXT(IF($B345=0," ",$B345-C$6),"hh:mm am/pm")</f>
        <v>13:00 001/p1</v>
      </c>
      <c r="D345" s="293" t="str">
        <f t="shared" si="714"/>
        <v>11:00 001/p1</v>
      </c>
      <c r="E345" s="293" t="str">
        <f t="shared" si="714"/>
        <v>12:00 001/p1</v>
      </c>
      <c r="F345" s="293" t="str">
        <f t="shared" si="714"/>
        <v>13:00 001/p1</v>
      </c>
      <c r="G345" s="293" t="str">
        <f t="shared" si="714"/>
        <v>14:00 001/p1</v>
      </c>
      <c r="H345" s="293" t="str">
        <f t="shared" ref="H345:I345" si="715">TEXT(IF($B345=0," ",$B345+H$6),"hh:mm am/pm")</f>
        <v>21:00 001/p1</v>
      </c>
      <c r="I345" s="293" t="str">
        <f t="shared" si="715"/>
        <v>02:00 001/p1</v>
      </c>
      <c r="J345" s="29"/>
      <c r="K345" s="431"/>
      <c r="L345" s="432" t="s">
        <v>203</v>
      </c>
      <c r="M345" s="408" t="s">
        <v>196</v>
      </c>
      <c r="N345" s="409" t="s">
        <v>57</v>
      </c>
      <c r="O345" s="410" t="s">
        <v>74</v>
      </c>
      <c r="P345" s="411" t="s">
        <v>59</v>
      </c>
      <c r="Q345" s="412">
        <f>110*7</f>
        <v>770</v>
      </c>
      <c r="R345" s="414" t="s">
        <v>60</v>
      </c>
      <c r="S345" s="413"/>
      <c r="T345" s="414">
        <v>0.1</v>
      </c>
      <c r="U345" s="409" t="s">
        <v>62</v>
      </c>
      <c r="V345" s="409">
        <v>6</v>
      </c>
      <c r="W345" s="409">
        <v>6</v>
      </c>
      <c r="X345" s="415"/>
      <c r="Y345" s="416" t="s">
        <v>79</v>
      </c>
      <c r="Z345" s="409">
        <v>6</v>
      </c>
      <c r="AA345" s="417">
        <v>20000</v>
      </c>
      <c r="AB345" s="417" t="s">
        <v>65</v>
      </c>
      <c r="AC345" s="414">
        <v>0.05</v>
      </c>
      <c r="AD345" s="414">
        <v>0</v>
      </c>
      <c r="AE345" s="418" t="s">
        <v>88</v>
      </c>
      <c r="AF345" s="419">
        <v>10000</v>
      </c>
      <c r="AG345" s="420">
        <v>4</v>
      </c>
      <c r="AH345" s="420">
        <v>4</v>
      </c>
      <c r="AI345" s="420">
        <v>4</v>
      </c>
      <c r="AJ345" s="418">
        <v>9</v>
      </c>
      <c r="AK345" s="421" t="s">
        <v>67</v>
      </c>
      <c r="AL345" s="428" t="s">
        <v>68</v>
      </c>
      <c r="AM345" s="422" t="s">
        <v>197</v>
      </c>
      <c r="AN345" s="403" t="s">
        <v>198</v>
      </c>
      <c r="AO345" s="314">
        <f t="shared" si="698"/>
        <v>0.650011574074074</v>
      </c>
      <c r="AP345" s="315">
        <f t="shared" si="699"/>
        <v>136</v>
      </c>
      <c r="AQ345" s="316" t="str">
        <f t="shared" si="700"/>
        <v>LOW</v>
      </c>
    </row>
    <row r="346" ht="29.25" customHeight="1" outlineLevel="1" spans="1:43">
      <c r="A346" s="363" t="s">
        <v>294</v>
      </c>
      <c r="B346" s="364">
        <v>0.666678240740741</v>
      </c>
      <c r="C346" s="293" t="str">
        <f t="shared" ref="C346:G346" si="716">TEXT(IF($B346=0," ",$B346-C$6),"hh:mm am/pm")</f>
        <v>14:00 001/p1</v>
      </c>
      <c r="D346" s="293" t="str">
        <f t="shared" si="716"/>
        <v>12:00 001/p1</v>
      </c>
      <c r="E346" s="293" t="str">
        <f t="shared" si="716"/>
        <v>13:00 001/p1</v>
      </c>
      <c r="F346" s="293" t="str">
        <f t="shared" si="716"/>
        <v>14:00 001/p1</v>
      </c>
      <c r="G346" s="293" t="str">
        <f t="shared" si="716"/>
        <v>15:00 001/p1</v>
      </c>
      <c r="H346" s="293" t="str">
        <f t="shared" ref="H346:I346" si="717">TEXT(IF($B346=0," ",$B346+H$6),"hh:mm am/pm")</f>
        <v>22:00 001/p1</v>
      </c>
      <c r="I346" s="293" t="str">
        <f t="shared" si="717"/>
        <v>03:00 001/p1</v>
      </c>
      <c r="J346" s="29"/>
      <c r="K346" s="431"/>
      <c r="L346" s="432" t="s">
        <v>204</v>
      </c>
      <c r="M346" s="408" t="s">
        <v>196</v>
      </c>
      <c r="N346" s="409" t="s">
        <v>57</v>
      </c>
      <c r="O346" s="410" t="s">
        <v>74</v>
      </c>
      <c r="P346" s="411" t="s">
        <v>59</v>
      </c>
      <c r="Q346" s="412">
        <f>110*8</f>
        <v>880</v>
      </c>
      <c r="R346" s="414" t="s">
        <v>60</v>
      </c>
      <c r="S346" s="413"/>
      <c r="T346" s="414">
        <v>0.1</v>
      </c>
      <c r="U346" s="409" t="s">
        <v>62</v>
      </c>
      <c r="V346" s="409">
        <v>6</v>
      </c>
      <c r="W346" s="409">
        <v>6</v>
      </c>
      <c r="X346" s="415"/>
      <c r="Y346" s="416" t="s">
        <v>79</v>
      </c>
      <c r="Z346" s="409">
        <v>6</v>
      </c>
      <c r="AA346" s="417">
        <v>20000</v>
      </c>
      <c r="AB346" s="417" t="s">
        <v>65</v>
      </c>
      <c r="AC346" s="414">
        <v>0.05</v>
      </c>
      <c r="AD346" s="414">
        <v>0</v>
      </c>
      <c r="AE346" s="418" t="s">
        <v>88</v>
      </c>
      <c r="AF346" s="419">
        <v>10000</v>
      </c>
      <c r="AG346" s="420">
        <v>4</v>
      </c>
      <c r="AH346" s="420">
        <v>4</v>
      </c>
      <c r="AI346" s="420">
        <v>4</v>
      </c>
      <c r="AJ346" s="418">
        <v>9</v>
      </c>
      <c r="AK346" s="421" t="s">
        <v>67</v>
      </c>
      <c r="AL346" s="428" t="s">
        <v>68</v>
      </c>
      <c r="AM346" s="422" t="s">
        <v>197</v>
      </c>
      <c r="AN346" s="403" t="s">
        <v>198</v>
      </c>
      <c r="AO346" s="314">
        <f t="shared" si="698"/>
        <v>0.691678240740741</v>
      </c>
      <c r="AP346" s="315">
        <f t="shared" si="699"/>
        <v>155</v>
      </c>
      <c r="AQ346" s="316" t="str">
        <f t="shared" si="700"/>
        <v>LOW</v>
      </c>
    </row>
    <row r="347" ht="29.25" customHeight="1" outlineLevel="1" spans="1:43">
      <c r="B347" s="364">
        <v>0.729178240740741</v>
      </c>
      <c r="C347" s="293" t="str">
        <f t="shared" ref="C347:G347" si="718">TEXT(IF($B347=0," ",$B347-C$6),"hh:mm am/pm")</f>
        <v>15:30 001/p1</v>
      </c>
      <c r="D347" s="293" t="str">
        <f t="shared" si="718"/>
        <v>13:30 001/p1</v>
      </c>
      <c r="E347" s="293" t="str">
        <f t="shared" si="718"/>
        <v>14:30 001/p1</v>
      </c>
      <c r="F347" s="293" t="str">
        <f t="shared" si="718"/>
        <v>15:30 001/p1</v>
      </c>
      <c r="G347" s="293" t="str">
        <f t="shared" si="718"/>
        <v>16:30 001/p1</v>
      </c>
      <c r="H347" s="293" t="str">
        <f t="shared" ref="H347:I347" si="719">TEXT(IF($B347=0," ",$B347+H$6),"hh:mm am/pm")</f>
        <v>23:30 001/p1</v>
      </c>
      <c r="I347" s="293" t="str">
        <f t="shared" si="719"/>
        <v>04:30 001/p1</v>
      </c>
      <c r="J347" s="124"/>
      <c r="K347" s="406"/>
      <c r="L347" s="407" t="s">
        <v>280</v>
      </c>
      <c r="M347" s="408" t="s">
        <v>196</v>
      </c>
      <c r="N347" s="409" t="s">
        <v>57</v>
      </c>
      <c r="O347" s="410" t="s">
        <v>74</v>
      </c>
      <c r="P347" s="411" t="s">
        <v>59</v>
      </c>
      <c r="Q347" s="412">
        <f>110*15</f>
        <v>1650</v>
      </c>
      <c r="R347" s="414" t="s">
        <v>60</v>
      </c>
      <c r="S347" s="413"/>
      <c r="T347" s="414">
        <v>0.1</v>
      </c>
      <c r="U347" s="409" t="s">
        <v>62</v>
      </c>
      <c r="V347" s="409">
        <v>6</v>
      </c>
      <c r="W347" s="409">
        <v>6</v>
      </c>
      <c r="X347" s="415"/>
      <c r="Y347" s="416" t="s">
        <v>79</v>
      </c>
      <c r="Z347" s="409">
        <v>8</v>
      </c>
      <c r="AA347" s="417">
        <v>20000</v>
      </c>
      <c r="AB347" s="417" t="s">
        <v>65</v>
      </c>
      <c r="AC347" s="414">
        <v>0.05</v>
      </c>
      <c r="AD347" s="414">
        <v>0</v>
      </c>
      <c r="AE347" s="418" t="s">
        <v>88</v>
      </c>
      <c r="AF347" s="419">
        <v>10000</v>
      </c>
      <c r="AG347" s="420">
        <v>4</v>
      </c>
      <c r="AH347" s="420">
        <v>4</v>
      </c>
      <c r="AI347" s="420">
        <v>4</v>
      </c>
      <c r="AJ347" s="418">
        <v>9</v>
      </c>
      <c r="AK347" s="421" t="s">
        <v>67</v>
      </c>
      <c r="AL347" s="428" t="s">
        <v>68</v>
      </c>
      <c r="AM347" s="422" t="s">
        <v>197</v>
      </c>
      <c r="AN347" s="403" t="s">
        <v>198</v>
      </c>
      <c r="AO347" s="314">
        <f t="shared" si="698"/>
        <v>0.754178240740741</v>
      </c>
      <c r="AP347" s="315">
        <f t="shared" si="699"/>
        <v>290</v>
      </c>
      <c r="AQ347" s="316" t="str">
        <f t="shared" si="700"/>
        <v>LOW</v>
      </c>
    </row>
    <row r="348" ht="29.25" customHeight="1" outlineLevel="1" spans="1:43">
      <c r="A348" s="363"/>
      <c r="B348" s="365"/>
      <c r="C348" s="293" t="str">
        <f t="shared" ref="C348:G348" si="720">TEXT(IF($B348=0," ",$B348-C$6),"hh:mm am/pm")</f>
        <v> </v>
      </c>
      <c r="D348" s="293" t="str">
        <f t="shared" si="720"/>
        <v> </v>
      </c>
      <c r="E348" s="293" t="str">
        <f t="shared" si="720"/>
        <v> </v>
      </c>
      <c r="F348" s="293" t="str">
        <f t="shared" si="720"/>
        <v> </v>
      </c>
      <c r="G348" s="293" t="str">
        <f t="shared" si="720"/>
        <v> </v>
      </c>
      <c r="H348" s="293" t="str">
        <f t="shared" ref="H348:I348" si="721">TEXT(IF($B348=0," ",$B348+H$6),"hh:mm am/pm")</f>
        <v> </v>
      </c>
      <c r="I348" s="293" t="str">
        <f t="shared" si="721"/>
        <v> </v>
      </c>
      <c r="J348" s="344"/>
      <c r="K348" s="367"/>
      <c r="L348" s="367"/>
      <c r="M348" s="368"/>
      <c r="N348" s="369"/>
      <c r="O348" s="370"/>
      <c r="P348" s="370"/>
      <c r="Q348" s="369"/>
      <c r="R348" s="369"/>
      <c r="S348" s="369"/>
      <c r="T348" s="371"/>
      <c r="U348" s="369"/>
      <c r="V348" s="369"/>
      <c r="W348" s="369"/>
      <c r="X348" s="372"/>
      <c r="Y348" s="367"/>
      <c r="Z348" s="369"/>
      <c r="AA348" s="372"/>
      <c r="AB348" s="372"/>
      <c r="AC348" s="371"/>
      <c r="AD348" s="371"/>
      <c r="AE348" s="367"/>
      <c r="AF348" s="372"/>
      <c r="AG348" s="367"/>
      <c r="AH348" s="367"/>
      <c r="AI348" s="367"/>
      <c r="AJ348" s="367"/>
      <c r="AK348" s="373"/>
      <c r="AL348" s="373"/>
      <c r="AM348" s="373"/>
      <c r="AN348" s="373"/>
      <c r="AO348" s="383"/>
      <c r="AP348" s="374"/>
      <c r="AQ348" s="383"/>
    </row>
    <row r="349" ht="29.25" customHeight="1" outlineLevel="1" spans="1:43">
      <c r="A349" s="363" t="s">
        <v>294</v>
      </c>
      <c r="B349" s="317">
        <v>0.562511574074074</v>
      </c>
      <c r="C349" s="293" t="str">
        <f t="shared" ref="C349:G349" si="722">TEXT(IF($B349=0," ",$B349-C$6),"hh:mm am/pm")</f>
        <v>11:30 001/p1</v>
      </c>
      <c r="D349" s="293" t="str">
        <f t="shared" si="722"/>
        <v>09:30 001/p1</v>
      </c>
      <c r="E349" s="293" t="str">
        <f t="shared" si="722"/>
        <v>10:30 001/p1</v>
      </c>
      <c r="F349" s="293" t="str">
        <f t="shared" si="722"/>
        <v>11:30 001/p1</v>
      </c>
      <c r="G349" s="293" t="str">
        <f t="shared" si="722"/>
        <v>12:30 001/p1</v>
      </c>
      <c r="H349" s="293" t="str">
        <f t="shared" ref="H349:I349" si="723">TEXT(IF($B349=0," ",$B349+H$6),"hh:mm am/pm")</f>
        <v>19:30 001/p1</v>
      </c>
      <c r="I349" s="293" t="str">
        <f t="shared" si="723"/>
        <v>00:30 001/p1</v>
      </c>
      <c r="J349" s="433" t="str">
        <f>L300</f>
        <v>#AS OmaX PKO</v>
      </c>
      <c r="K349" s="385"/>
      <c r="L349" s="386" t="s">
        <v>207</v>
      </c>
      <c r="M349" s="408" t="s">
        <v>196</v>
      </c>
      <c r="N349" s="409" t="s">
        <v>100</v>
      </c>
      <c r="O349" s="410" t="s">
        <v>74</v>
      </c>
      <c r="P349" s="411" t="s">
        <v>101</v>
      </c>
      <c r="Q349" s="412">
        <f>30*4</f>
        <v>120</v>
      </c>
      <c r="R349" s="414" t="s">
        <v>60</v>
      </c>
      <c r="S349" s="413"/>
      <c r="T349" s="414">
        <v>0.1</v>
      </c>
      <c r="U349" s="409" t="s">
        <v>62</v>
      </c>
      <c r="V349" s="409">
        <v>1.8</v>
      </c>
      <c r="W349" s="409">
        <v>1.8</v>
      </c>
      <c r="X349" s="415"/>
      <c r="Y349" s="416" t="s">
        <v>79</v>
      </c>
      <c r="Z349" s="409">
        <v>1.8</v>
      </c>
      <c r="AA349" s="417">
        <v>20000</v>
      </c>
      <c r="AB349" s="417" t="s">
        <v>65</v>
      </c>
      <c r="AC349" s="414">
        <v>0.05</v>
      </c>
      <c r="AD349" s="414">
        <v>0</v>
      </c>
      <c r="AE349" s="418" t="s">
        <v>88</v>
      </c>
      <c r="AF349" s="419">
        <v>10000</v>
      </c>
      <c r="AG349" s="420">
        <v>4</v>
      </c>
      <c r="AH349" s="420">
        <v>4</v>
      </c>
      <c r="AI349" s="420">
        <v>4</v>
      </c>
      <c r="AJ349" s="418">
        <v>9</v>
      </c>
      <c r="AK349" s="429" t="s">
        <v>67</v>
      </c>
      <c r="AL349" s="428" t="s">
        <v>68</v>
      </c>
      <c r="AM349" s="422" t="s">
        <v>197</v>
      </c>
      <c r="AN349" s="403" t="s">
        <v>198</v>
      </c>
      <c r="AO349" s="314">
        <f>IF(B349=0," ",TIME(,ROUNDDOWN(AG349*AJ349/60,0)*5+(AG349*AJ349),)+B349)</f>
        <v>0.587511574074074</v>
      </c>
      <c r="AP349" s="315">
        <f>IF(Q349=0,,ROUNDUP(Q349/(V349*(1-AC349-AD349)),0))</f>
        <v>71</v>
      </c>
      <c r="AQ349" s="316" t="str">
        <f>IFERROR(IF(V349=0," ",IF(V349&lt;=5,"MICRO",IF(V349&lt;=19.8,"LOW",IF(V349&lt;=99.8,"MEDIUM",IF(V349&lt;=500,"HIGH",IF(V349&gt;500,"SUPER HIGH",)))))),"")</f>
        <v>MICRO</v>
      </c>
    </row>
    <row r="350" ht="29.25" customHeight="1" outlineLevel="1" spans="1:43">
      <c r="B350" s="365"/>
      <c r="C350" s="293" t="str">
        <f t="shared" ref="C350:G350" si="724">TEXT(IF($B350=0," ",$B350-C$6),"hh:mm am/pm")</f>
        <v> </v>
      </c>
      <c r="D350" s="293" t="str">
        <f t="shared" si="724"/>
        <v> </v>
      </c>
      <c r="E350" s="293" t="str">
        <f t="shared" si="724"/>
        <v> </v>
      </c>
      <c r="F350" s="293" t="str">
        <f t="shared" si="724"/>
        <v> </v>
      </c>
      <c r="G350" s="293" t="str">
        <f t="shared" si="724"/>
        <v> </v>
      </c>
      <c r="H350" s="293" t="str">
        <f t="shared" ref="H350:I350" si="725">TEXT(IF($B350=0," ",$B350+H$6),"hh:mm am/pm")</f>
        <v> </v>
      </c>
      <c r="I350" s="293" t="str">
        <f t="shared" si="725"/>
        <v> </v>
      </c>
      <c r="J350" s="344"/>
      <c r="K350" s="367"/>
      <c r="L350" s="367"/>
      <c r="M350" s="368"/>
      <c r="N350" s="369"/>
      <c r="O350" s="370"/>
      <c r="P350" s="370"/>
      <c r="Q350" s="369"/>
      <c r="R350" s="369"/>
      <c r="S350" s="369"/>
      <c r="T350" s="371"/>
      <c r="U350" s="369"/>
      <c r="V350" s="369"/>
      <c r="W350" s="369"/>
      <c r="X350" s="372"/>
      <c r="Y350" s="367"/>
      <c r="Z350" s="369"/>
      <c r="AA350" s="372"/>
      <c r="AB350" s="372"/>
      <c r="AC350" s="371"/>
      <c r="AD350" s="371"/>
      <c r="AE350" s="367"/>
      <c r="AF350" s="372"/>
      <c r="AG350" s="367"/>
      <c r="AH350" s="367"/>
      <c r="AI350" s="367"/>
      <c r="AJ350" s="367"/>
      <c r="AK350" s="373"/>
      <c r="AL350" s="373"/>
      <c r="AM350" s="373"/>
      <c r="AN350" s="373"/>
      <c r="AO350" s="383"/>
      <c r="AP350" s="374"/>
      <c r="AQ350" s="383"/>
    </row>
    <row r="351" ht="29.25" customHeight="1" outlineLevel="1" spans="1:43">
      <c r="B351" s="317">
        <v>0.604178240740741</v>
      </c>
      <c r="C351" s="293" t="str">
        <f t="shared" ref="C351:G351" si="726">TEXT(IF($B351=0," ",$B351-C$6),"hh:mm am/pm")</f>
        <v>12:30 001/p1</v>
      </c>
      <c r="D351" s="293" t="str">
        <f t="shared" si="726"/>
        <v>10:30 001/p1</v>
      </c>
      <c r="E351" s="293" t="str">
        <f t="shared" si="726"/>
        <v>11:30 001/p1</v>
      </c>
      <c r="F351" s="293" t="str">
        <f t="shared" si="726"/>
        <v>12:30 001/p1</v>
      </c>
      <c r="G351" s="293" t="str">
        <f t="shared" si="726"/>
        <v>13:30 001/p1</v>
      </c>
      <c r="H351" s="293" t="str">
        <f t="shared" ref="H351:I351" si="727">TEXT(IF($B351=0," ",$B351+H$6),"hh:mm am/pm")</f>
        <v>20:30 001/p1</v>
      </c>
      <c r="I351" s="293" t="str">
        <f t="shared" si="727"/>
        <v>01:30 001/p1</v>
      </c>
      <c r="J351" s="433" t="str">
        <f>L249</f>
        <v>#AS Battle+SPS</v>
      </c>
      <c r="K351" s="385"/>
      <c r="L351" s="386" t="s">
        <v>347</v>
      </c>
      <c r="M351" s="408" t="s">
        <v>196</v>
      </c>
      <c r="N351" s="409" t="s">
        <v>57</v>
      </c>
      <c r="O351" s="410" t="s">
        <v>74</v>
      </c>
      <c r="P351" s="411" t="s">
        <v>59</v>
      </c>
      <c r="Q351" s="412">
        <f>11*6</f>
        <v>66</v>
      </c>
      <c r="R351" s="414" t="s">
        <v>60</v>
      </c>
      <c r="S351" s="413"/>
      <c r="T351" s="414">
        <v>0.1</v>
      </c>
      <c r="U351" s="409" t="s">
        <v>62</v>
      </c>
      <c r="V351" s="409">
        <v>0.6</v>
      </c>
      <c r="W351" s="409">
        <v>0.6</v>
      </c>
      <c r="X351" s="415"/>
      <c r="Y351" s="416" t="s">
        <v>79</v>
      </c>
      <c r="Z351" s="409">
        <v>0.6</v>
      </c>
      <c r="AA351" s="417">
        <v>20000</v>
      </c>
      <c r="AB351" s="417" t="s">
        <v>65</v>
      </c>
      <c r="AC351" s="414">
        <v>0.05</v>
      </c>
      <c r="AD351" s="414">
        <v>0</v>
      </c>
      <c r="AE351" s="418" t="s">
        <v>88</v>
      </c>
      <c r="AF351" s="419">
        <v>10000</v>
      </c>
      <c r="AG351" s="420">
        <v>4</v>
      </c>
      <c r="AH351" s="420">
        <v>4</v>
      </c>
      <c r="AI351" s="420">
        <v>4</v>
      </c>
      <c r="AJ351" s="418">
        <v>9</v>
      </c>
      <c r="AK351" s="429" t="s">
        <v>67</v>
      </c>
      <c r="AL351" s="428" t="s">
        <v>68</v>
      </c>
      <c r="AM351" s="422" t="s">
        <v>197</v>
      </c>
      <c r="AN351" s="403" t="s">
        <v>198</v>
      </c>
      <c r="AO351" s="314">
        <f t="shared" ref="AO351:AO375" si="728">IF(B351=0," ",TIME(,ROUNDDOWN(AG351*AJ351/60,0)*5+(AG351*AJ351),)+B351)</f>
        <v>0.629178240740741</v>
      </c>
      <c r="AP351" s="315">
        <f t="shared" ref="AP351:AP375" si="729">IF(Q351=0,,ROUNDUP(Q351/(V351*(1-AC351-AD351)),0))</f>
        <v>116</v>
      </c>
      <c r="AQ351" s="316" t="str">
        <f t="shared" ref="AQ351:AQ375" si="730">IFERROR(IF(V351=0," ",IF(V351&lt;=5,"MICRO",IF(V351&lt;=19.8,"LOW",IF(V351&lt;=99.8,"MEDIUM",IF(V351&lt;=500,"HIGH",IF(V351&gt;500,"SUPER HIGH",)))))),"")</f>
        <v>MICRO</v>
      </c>
    </row>
    <row r="352" ht="29.25" customHeight="1" outlineLevel="1" spans="1:43">
      <c r="A352" s="363"/>
      <c r="B352" s="498"/>
      <c r="C352" s="293" t="str">
        <f t="shared" ref="C352:G352" si="731">TEXT(IF($B352=0," ",$B352-C$6),"hh:mm am/pm")</f>
        <v> </v>
      </c>
      <c r="D352" s="293" t="str">
        <f t="shared" si="731"/>
        <v> </v>
      </c>
      <c r="E352" s="293" t="str">
        <f t="shared" si="731"/>
        <v> </v>
      </c>
      <c r="F352" s="293" t="str">
        <f t="shared" si="731"/>
        <v> </v>
      </c>
      <c r="G352" s="293" t="str">
        <f t="shared" si="731"/>
        <v> </v>
      </c>
      <c r="H352" s="293" t="str">
        <f t="shared" ref="H352:I352" si="732">TEXT(IF($B352=0," ",$B352+H$6),"hh:mm am/pm")</f>
        <v> </v>
      </c>
      <c r="I352" s="293" t="str">
        <f t="shared" si="732"/>
        <v> </v>
      </c>
      <c r="J352" s="344"/>
      <c r="K352" s="367"/>
      <c r="L352" s="367"/>
      <c r="M352" s="368"/>
      <c r="N352" s="369"/>
      <c r="O352" s="370"/>
      <c r="P352" s="370"/>
      <c r="Q352" s="369"/>
      <c r="R352" s="369"/>
      <c r="S352" s="369"/>
      <c r="T352" s="371"/>
      <c r="U352" s="369"/>
      <c r="V352" s="369"/>
      <c r="W352" s="369"/>
      <c r="X352" s="372"/>
      <c r="Y352" s="367"/>
      <c r="Z352" s="369"/>
      <c r="AA352" s="372"/>
      <c r="AB352" s="372"/>
      <c r="AC352" s="371"/>
      <c r="AD352" s="371"/>
      <c r="AE352" s="367"/>
      <c r="AF352" s="372"/>
      <c r="AG352" s="367"/>
      <c r="AH352" s="367"/>
      <c r="AI352" s="367"/>
      <c r="AJ352" s="367"/>
      <c r="AK352" s="373"/>
      <c r="AL352" s="373"/>
      <c r="AM352" s="373"/>
      <c r="AN352" s="373"/>
      <c r="AO352" s="314" t="str">
        <f t="shared" si="728"/>
        <v> </v>
      </c>
      <c r="AP352" s="374">
        <f t="shared" si="729"/>
        <v>0</v>
      </c>
      <c r="AQ352" s="316" t="str">
        <f t="shared" si="730"/>
        <v> </v>
      </c>
    </row>
    <row r="353" ht="29.25" customHeight="1" outlineLevel="1" spans="1:43">
      <c r="B353" s="317">
        <v>0.666678240740741</v>
      </c>
      <c r="C353" s="293" t="str">
        <f t="shared" ref="C353:G353" si="733">TEXT(IF($B353=0," ",$B353-C$6),"hh:mm am/pm")</f>
        <v>14:00 001/p1</v>
      </c>
      <c r="D353" s="293" t="str">
        <f t="shared" si="733"/>
        <v>12:00 001/p1</v>
      </c>
      <c r="E353" s="293" t="str">
        <f t="shared" si="733"/>
        <v>13:00 001/p1</v>
      </c>
      <c r="F353" s="293" t="str">
        <f t="shared" si="733"/>
        <v>14:00 001/p1</v>
      </c>
      <c r="G353" s="293" t="str">
        <f t="shared" si="733"/>
        <v>15:00 001/p1</v>
      </c>
      <c r="H353" s="293" t="str">
        <f t="shared" ref="H353:I353" si="734">TEXT(IF($B353=0," ",$B353+H$6),"hh:mm am/pm")</f>
        <v>22:00 001/p1</v>
      </c>
      <c r="I353" s="293" t="str">
        <f t="shared" si="734"/>
        <v>03:00 001/p1</v>
      </c>
      <c r="J353" s="405" t="str">
        <f>L251</f>
        <v>#AS Freeze HR</v>
      </c>
      <c r="K353" s="406"/>
      <c r="L353" s="407" t="s">
        <v>348</v>
      </c>
      <c r="M353" s="408" t="s">
        <v>196</v>
      </c>
      <c r="N353" s="409" t="s">
        <v>57</v>
      </c>
      <c r="O353" s="410" t="s">
        <v>74</v>
      </c>
      <c r="P353" s="411" t="s">
        <v>59</v>
      </c>
      <c r="Q353" s="412">
        <f>30*5</f>
        <v>150</v>
      </c>
      <c r="R353" s="414" t="s">
        <v>60</v>
      </c>
      <c r="S353" s="413"/>
      <c r="T353" s="414">
        <v>0.1</v>
      </c>
      <c r="U353" s="409" t="s">
        <v>62</v>
      </c>
      <c r="V353" s="409">
        <v>1.8</v>
      </c>
      <c r="W353" s="409">
        <v>1.8</v>
      </c>
      <c r="X353" s="415"/>
      <c r="Y353" s="416" t="s">
        <v>79</v>
      </c>
      <c r="Z353" s="409">
        <v>1.8</v>
      </c>
      <c r="AA353" s="417">
        <v>20000</v>
      </c>
      <c r="AB353" s="417" t="s">
        <v>65</v>
      </c>
      <c r="AC353" s="414">
        <v>0.05</v>
      </c>
      <c r="AD353" s="414">
        <v>0</v>
      </c>
      <c r="AE353" s="418" t="s">
        <v>88</v>
      </c>
      <c r="AF353" s="419">
        <v>10000</v>
      </c>
      <c r="AG353" s="420">
        <v>4</v>
      </c>
      <c r="AH353" s="420">
        <v>4</v>
      </c>
      <c r="AI353" s="420">
        <v>4</v>
      </c>
      <c r="AJ353" s="418">
        <v>9</v>
      </c>
      <c r="AK353" s="429" t="s">
        <v>67</v>
      </c>
      <c r="AL353" s="428" t="s">
        <v>68</v>
      </c>
      <c r="AM353" s="422" t="s">
        <v>197</v>
      </c>
      <c r="AN353" s="403" t="s">
        <v>198</v>
      </c>
      <c r="AO353" s="314">
        <f t="shared" si="728"/>
        <v>0.691678240740741</v>
      </c>
      <c r="AP353" s="315">
        <f t="shared" si="729"/>
        <v>88</v>
      </c>
      <c r="AQ353" s="316" t="str">
        <f t="shared" si="730"/>
        <v>MICRO</v>
      </c>
    </row>
    <row r="354" ht="29.25" customHeight="1" outlineLevel="1" spans="1:43">
      <c r="A354" s="363"/>
      <c r="B354" s="498"/>
      <c r="C354" s="293" t="str">
        <f t="shared" ref="C354:G354" si="735">TEXT(IF($B354=0," ",$B354-C$6),"hh:mm am/pm")</f>
        <v> </v>
      </c>
      <c r="D354" s="293" t="str">
        <f t="shared" si="735"/>
        <v> </v>
      </c>
      <c r="E354" s="293" t="str">
        <f t="shared" si="735"/>
        <v> </v>
      </c>
      <c r="F354" s="293" t="str">
        <f t="shared" si="735"/>
        <v> </v>
      </c>
      <c r="G354" s="293" t="str">
        <f t="shared" si="735"/>
        <v> </v>
      </c>
      <c r="H354" s="293" t="str">
        <f t="shared" ref="H354:I354" si="736">TEXT(IF($B354=0," ",$B354+H$6),"hh:mm am/pm")</f>
        <v> </v>
      </c>
      <c r="I354" s="293" t="str">
        <f t="shared" si="736"/>
        <v> </v>
      </c>
      <c r="J354" s="344"/>
      <c r="K354" s="367"/>
      <c r="L354" s="367"/>
      <c r="M354" s="368"/>
      <c r="N354" s="369"/>
      <c r="O354" s="370"/>
      <c r="P354" s="370"/>
      <c r="Q354" s="369"/>
      <c r="R354" s="369"/>
      <c r="S354" s="369"/>
      <c r="T354" s="371"/>
      <c r="U354" s="369"/>
      <c r="V354" s="369"/>
      <c r="W354" s="369"/>
      <c r="X354" s="372"/>
      <c r="Y354" s="367"/>
      <c r="Z354" s="369"/>
      <c r="AA354" s="372"/>
      <c r="AB354" s="372"/>
      <c r="AC354" s="371"/>
      <c r="AD354" s="371"/>
      <c r="AE354" s="367"/>
      <c r="AF354" s="372"/>
      <c r="AG354" s="367"/>
      <c r="AH354" s="367"/>
      <c r="AI354" s="367"/>
      <c r="AJ354" s="367"/>
      <c r="AK354" s="373"/>
      <c r="AL354" s="373"/>
      <c r="AM354" s="373"/>
      <c r="AN354" s="373"/>
      <c r="AO354" s="314" t="str">
        <f t="shared" si="728"/>
        <v> </v>
      </c>
      <c r="AP354" s="374">
        <f t="shared" si="729"/>
        <v>0</v>
      </c>
      <c r="AQ354" s="316" t="str">
        <f t="shared" si="730"/>
        <v> </v>
      </c>
    </row>
    <row r="355" ht="29.25" customHeight="1" outlineLevel="1" spans="1:43">
      <c r="A355" s="363"/>
      <c r="B355" s="317">
        <v>0.666678240740741</v>
      </c>
      <c r="C355" s="293" t="str">
        <f t="shared" ref="C355:G355" si="737">TEXT(IF($B355=0," ",$B355-C$6),"hh:mm am/pm")</f>
        <v>14:00 001/p1</v>
      </c>
      <c r="D355" s="293" t="str">
        <f t="shared" si="737"/>
        <v>12:00 001/p1</v>
      </c>
      <c r="E355" s="293" t="str">
        <f t="shared" si="737"/>
        <v>13:00 001/p1</v>
      </c>
      <c r="F355" s="293" t="str">
        <f t="shared" si="737"/>
        <v>14:00 001/p1</v>
      </c>
      <c r="G355" s="293" t="str">
        <f t="shared" si="737"/>
        <v>15:00 001/p1</v>
      </c>
      <c r="H355" s="293" t="str">
        <f t="shared" ref="H355:I355" si="738">TEXT(IF($B355=0," ",$B355+H$6),"hh:mm am/pm")</f>
        <v>22:00 001/p1</v>
      </c>
      <c r="I355" s="293" t="str">
        <f t="shared" si="738"/>
        <v>03:00 001/p1</v>
      </c>
      <c r="J355" s="405" t="str">
        <f>L250</f>
        <v>#AS Big Plus+SPT</v>
      </c>
      <c r="K355" s="406"/>
      <c r="L355" s="407" t="s">
        <v>349</v>
      </c>
      <c r="M355" s="408" t="s">
        <v>196</v>
      </c>
      <c r="N355" s="409" t="s">
        <v>57</v>
      </c>
      <c r="O355" s="410" t="s">
        <v>74</v>
      </c>
      <c r="P355" s="411" t="s">
        <v>59</v>
      </c>
      <c r="Q355" s="412">
        <f>10*10</f>
        <v>100</v>
      </c>
      <c r="R355" s="414" t="s">
        <v>60</v>
      </c>
      <c r="S355" s="413"/>
      <c r="T355" s="414">
        <v>0.1</v>
      </c>
      <c r="U355" s="409" t="s">
        <v>62</v>
      </c>
      <c r="V355" s="409">
        <v>0.2</v>
      </c>
      <c r="W355" s="409">
        <v>0.4</v>
      </c>
      <c r="X355" s="419">
        <v>10000</v>
      </c>
      <c r="Y355" s="416" t="s">
        <v>79</v>
      </c>
      <c r="Z355" s="409">
        <v>0.6</v>
      </c>
      <c r="AA355" s="417">
        <v>15000</v>
      </c>
      <c r="AB355" s="417" t="s">
        <v>65</v>
      </c>
      <c r="AC355" s="414">
        <v>0.05</v>
      </c>
      <c r="AD355" s="414">
        <v>0</v>
      </c>
      <c r="AE355" s="418" t="s">
        <v>88</v>
      </c>
      <c r="AF355" s="419">
        <v>7500</v>
      </c>
      <c r="AG355" s="420">
        <v>4</v>
      </c>
      <c r="AH355" s="420">
        <v>4</v>
      </c>
      <c r="AI355" s="420">
        <v>4</v>
      </c>
      <c r="AJ355" s="418">
        <v>9</v>
      </c>
      <c r="AK355" s="421" t="s">
        <v>67</v>
      </c>
      <c r="AL355" s="428" t="s">
        <v>68</v>
      </c>
      <c r="AM355" s="422" t="s">
        <v>197</v>
      </c>
      <c r="AN355" s="403" t="s">
        <v>198</v>
      </c>
      <c r="AO355" s="314">
        <f t="shared" si="728"/>
        <v>0.691678240740741</v>
      </c>
      <c r="AP355" s="315">
        <f t="shared" si="729"/>
        <v>527</v>
      </c>
      <c r="AQ355" s="316" t="str">
        <f t="shared" si="730"/>
        <v>MICRO</v>
      </c>
    </row>
    <row r="356" ht="29.25" customHeight="1" outlineLevel="1" spans="1:43">
      <c r="A356" s="363"/>
      <c r="B356" s="498"/>
      <c r="C356" s="293" t="str">
        <f t="shared" ref="C356:G356" si="739">TEXT(IF($B356=0," ",$B356-C$6),"hh:mm am/pm")</f>
        <v> </v>
      </c>
      <c r="D356" s="293" t="str">
        <f t="shared" si="739"/>
        <v> </v>
      </c>
      <c r="E356" s="293" t="str">
        <f t="shared" si="739"/>
        <v> </v>
      </c>
      <c r="F356" s="293" t="str">
        <f t="shared" si="739"/>
        <v> </v>
      </c>
      <c r="G356" s="293" t="str">
        <f t="shared" si="739"/>
        <v> </v>
      </c>
      <c r="H356" s="293" t="str">
        <f t="shared" ref="H356:I356" si="740">TEXT(IF($B356=0," ",$B356+H$6),"hh:mm am/pm")</f>
        <v> </v>
      </c>
      <c r="I356" s="293" t="str">
        <f t="shared" si="740"/>
        <v> </v>
      </c>
      <c r="J356" s="344"/>
      <c r="K356" s="367"/>
      <c r="L356" s="367"/>
      <c r="M356" s="368"/>
      <c r="N356" s="369"/>
      <c r="O356" s="370"/>
      <c r="P356" s="370"/>
      <c r="Q356" s="369"/>
      <c r="R356" s="369"/>
      <c r="S356" s="369"/>
      <c r="T356" s="371"/>
      <c r="U356" s="369"/>
      <c r="V356" s="369"/>
      <c r="W356" s="369"/>
      <c r="X356" s="372"/>
      <c r="Y356" s="367"/>
      <c r="Z356" s="369"/>
      <c r="AA356" s="372"/>
      <c r="AB356" s="372"/>
      <c r="AC356" s="371"/>
      <c r="AD356" s="371"/>
      <c r="AE356" s="367"/>
      <c r="AF356" s="372"/>
      <c r="AG356" s="367"/>
      <c r="AH356" s="367"/>
      <c r="AI356" s="367"/>
      <c r="AJ356" s="367"/>
      <c r="AK356" s="373"/>
      <c r="AL356" s="373"/>
      <c r="AM356" s="373"/>
      <c r="AN356" s="373"/>
      <c r="AO356" s="314" t="str">
        <f t="shared" si="728"/>
        <v> </v>
      </c>
      <c r="AP356" s="374">
        <f t="shared" si="729"/>
        <v>0</v>
      </c>
      <c r="AQ356" s="316" t="str">
        <f t="shared" si="730"/>
        <v> </v>
      </c>
    </row>
    <row r="357" ht="29.25" customHeight="1" outlineLevel="1" spans="1:43">
      <c r="A357" s="363" t="s">
        <v>294</v>
      </c>
      <c r="B357" s="364">
        <v>0.708333333333333</v>
      </c>
      <c r="C357" s="293" t="str">
        <f t="shared" ref="C357:G357" si="741">TEXT(IF($B357=0," ",$B357-C$6),"hh:mm am/pm")</f>
        <v>15:00 001/p1</v>
      </c>
      <c r="D357" s="293" t="str">
        <f t="shared" si="741"/>
        <v>13:00 001/p1</v>
      </c>
      <c r="E357" s="293" t="str">
        <f t="shared" si="741"/>
        <v>14:00 001/p1</v>
      </c>
      <c r="F357" s="293" t="str">
        <f t="shared" si="741"/>
        <v>15:00 001/p1</v>
      </c>
      <c r="G357" s="293" t="str">
        <f t="shared" si="741"/>
        <v>16:00 001/p1</v>
      </c>
      <c r="H357" s="293" t="str">
        <f t="shared" ref="H357:I357" si="742">TEXT(IF($B357=0," ",$B357+H$6),"hh:mm am/pm")</f>
        <v>23:00 001/p1</v>
      </c>
      <c r="I357" s="293" t="str">
        <f t="shared" si="742"/>
        <v>04:00 001/p1</v>
      </c>
      <c r="J357" s="405" t="str">
        <f>L312</f>
        <v>#AS OmaX PKO</v>
      </c>
      <c r="K357" s="406"/>
      <c r="L357" s="407" t="s">
        <v>284</v>
      </c>
      <c r="M357" s="408" t="s">
        <v>196</v>
      </c>
      <c r="N357" s="409" t="s">
        <v>100</v>
      </c>
      <c r="O357" s="410" t="s">
        <v>74</v>
      </c>
      <c r="P357" s="411" t="s">
        <v>101</v>
      </c>
      <c r="Q357" s="412">
        <f>15*6</f>
        <v>90</v>
      </c>
      <c r="R357" s="414" t="s">
        <v>60</v>
      </c>
      <c r="S357" s="413"/>
      <c r="T357" s="414">
        <v>0.1</v>
      </c>
      <c r="U357" s="409" t="s">
        <v>62</v>
      </c>
      <c r="V357" s="409">
        <v>1</v>
      </c>
      <c r="W357" s="409">
        <v>1</v>
      </c>
      <c r="X357" s="415"/>
      <c r="Y357" s="416" t="s">
        <v>79</v>
      </c>
      <c r="Z357" s="409">
        <v>1</v>
      </c>
      <c r="AA357" s="417">
        <v>20000</v>
      </c>
      <c r="AB357" s="417" t="s">
        <v>65</v>
      </c>
      <c r="AC357" s="414">
        <v>0.05</v>
      </c>
      <c r="AD357" s="414">
        <v>0</v>
      </c>
      <c r="AE357" s="418" t="s">
        <v>88</v>
      </c>
      <c r="AF357" s="419">
        <v>10000</v>
      </c>
      <c r="AG357" s="420">
        <v>4</v>
      </c>
      <c r="AH357" s="420">
        <v>4</v>
      </c>
      <c r="AI357" s="420">
        <v>4</v>
      </c>
      <c r="AJ357" s="418">
        <v>9</v>
      </c>
      <c r="AK357" s="421" t="s">
        <v>67</v>
      </c>
      <c r="AL357" s="428" t="s">
        <v>68</v>
      </c>
      <c r="AM357" s="422" t="s">
        <v>197</v>
      </c>
      <c r="AN357" s="403" t="s">
        <v>198</v>
      </c>
      <c r="AO357" s="314">
        <f t="shared" si="728"/>
        <v>0.733333333333333</v>
      </c>
      <c r="AP357" s="315">
        <f t="shared" si="729"/>
        <v>95</v>
      </c>
      <c r="AQ357" s="316" t="str">
        <f t="shared" si="730"/>
        <v>MICRO</v>
      </c>
    </row>
    <row r="358" ht="29.25" customHeight="1" outlineLevel="1" spans="1:43">
      <c r="B358" s="365"/>
      <c r="C358" s="293" t="str">
        <f t="shared" ref="C358:G358" si="743">TEXT(IF($B358=0," ",$B358-C$6),"hh:mm am/pm")</f>
        <v> </v>
      </c>
      <c r="D358" s="293" t="str">
        <f t="shared" si="743"/>
        <v> </v>
      </c>
      <c r="E358" s="293" t="str">
        <f t="shared" si="743"/>
        <v> </v>
      </c>
      <c r="F358" s="293" t="str">
        <f t="shared" si="743"/>
        <v> </v>
      </c>
      <c r="G358" s="293" t="str">
        <f t="shared" si="743"/>
        <v> </v>
      </c>
      <c r="H358" s="293" t="str">
        <f t="shared" ref="H358:I358" si="744">TEXT(IF($B358=0," ",$B358+H$6),"hh:mm am/pm")</f>
        <v> </v>
      </c>
      <c r="I358" s="293" t="str">
        <f t="shared" si="744"/>
        <v> </v>
      </c>
      <c r="J358" s="344"/>
      <c r="K358" s="367"/>
      <c r="L358" s="367"/>
      <c r="M358" s="368"/>
      <c r="N358" s="369"/>
      <c r="O358" s="370"/>
      <c r="P358" s="370"/>
      <c r="Q358" s="369"/>
      <c r="R358" s="369"/>
      <c r="S358" s="369"/>
      <c r="T358" s="371"/>
      <c r="U358" s="369"/>
      <c r="V358" s="369"/>
      <c r="W358" s="369"/>
      <c r="X358" s="372"/>
      <c r="Y358" s="367"/>
      <c r="Z358" s="369"/>
      <c r="AA358" s="372"/>
      <c r="AB358" s="372"/>
      <c r="AC358" s="371"/>
      <c r="AD358" s="371"/>
      <c r="AE358" s="367"/>
      <c r="AF358" s="372"/>
      <c r="AG358" s="367"/>
      <c r="AH358" s="367"/>
      <c r="AI358" s="367"/>
      <c r="AJ358" s="367"/>
      <c r="AK358" s="373"/>
      <c r="AL358" s="373"/>
      <c r="AM358" s="373"/>
      <c r="AN358" s="373"/>
      <c r="AO358" s="314" t="str">
        <f t="shared" si="728"/>
        <v> </v>
      </c>
      <c r="AP358" s="374">
        <f t="shared" si="729"/>
        <v>0</v>
      </c>
      <c r="AQ358" s="316" t="str">
        <f t="shared" si="730"/>
        <v> </v>
      </c>
    </row>
    <row r="359" ht="29.25" customHeight="1" outlineLevel="1" spans="1:43">
      <c r="B359" s="364">
        <v>0.718761574074074</v>
      </c>
      <c r="C359" s="293" t="str">
        <f t="shared" ref="C359:G359" si="745">TEXT(IF($B359=0," ",$B359-C$6),"hh:mm am/pm")</f>
        <v>15:15 001/p1</v>
      </c>
      <c r="D359" s="293" t="str">
        <f t="shared" si="745"/>
        <v>13:15 001/p1</v>
      </c>
      <c r="E359" s="293" t="str">
        <f t="shared" si="745"/>
        <v>14:15 001/p1</v>
      </c>
      <c r="F359" s="293" t="str">
        <f t="shared" si="745"/>
        <v>15:15 001/p1</v>
      </c>
      <c r="G359" s="293" t="str">
        <f t="shared" si="745"/>
        <v>16:15 001/p1</v>
      </c>
      <c r="H359" s="293" t="str">
        <f t="shared" ref="H359:I359" si="746">TEXT(IF($B359=0," ",$B359+H$6),"hh:mm am/pm")</f>
        <v>23:15 001/p1</v>
      </c>
      <c r="I359" s="293" t="str">
        <f t="shared" si="746"/>
        <v>04:15 001/p1</v>
      </c>
      <c r="J359" s="405" t="str">
        <f>L253</f>
        <v>HighS</v>
      </c>
      <c r="K359" s="406"/>
      <c r="L359" s="407" t="s">
        <v>209</v>
      </c>
      <c r="M359" s="408" t="s">
        <v>196</v>
      </c>
      <c r="N359" s="409" t="s">
        <v>57</v>
      </c>
      <c r="O359" s="410" t="s">
        <v>74</v>
      </c>
      <c r="P359" s="411" t="s">
        <v>59</v>
      </c>
      <c r="Q359" s="412">
        <f>220*5</f>
        <v>1100</v>
      </c>
      <c r="R359" s="414" t="s">
        <v>60</v>
      </c>
      <c r="S359" s="413"/>
      <c r="T359" s="414">
        <v>0.1</v>
      </c>
      <c r="U359" s="409" t="s">
        <v>62</v>
      </c>
      <c r="V359" s="409">
        <v>30</v>
      </c>
      <c r="W359" s="409">
        <v>30</v>
      </c>
      <c r="X359" s="415"/>
      <c r="Y359" s="416" t="s">
        <v>79</v>
      </c>
      <c r="Z359" s="426"/>
      <c r="AA359" s="417" t="s">
        <v>64</v>
      </c>
      <c r="AB359" s="417" t="s">
        <v>65</v>
      </c>
      <c r="AC359" s="414">
        <v>0.05</v>
      </c>
      <c r="AD359" s="414">
        <v>0</v>
      </c>
      <c r="AE359" s="418" t="s">
        <v>66</v>
      </c>
      <c r="AF359" s="419">
        <v>20000</v>
      </c>
      <c r="AG359" s="420">
        <v>5</v>
      </c>
      <c r="AH359" s="420">
        <v>5</v>
      </c>
      <c r="AI359" s="420">
        <v>4</v>
      </c>
      <c r="AJ359" s="418">
        <v>9</v>
      </c>
      <c r="AK359" s="421" t="s">
        <v>67</v>
      </c>
      <c r="AL359" s="428" t="s">
        <v>68</v>
      </c>
      <c r="AM359" s="422" t="s">
        <v>197</v>
      </c>
      <c r="AN359" s="403" t="s">
        <v>198</v>
      </c>
      <c r="AO359" s="314">
        <f t="shared" si="728"/>
        <v>0.750011574074074</v>
      </c>
      <c r="AP359" s="315">
        <f t="shared" si="729"/>
        <v>39</v>
      </c>
      <c r="AQ359" s="316" t="str">
        <f t="shared" si="730"/>
        <v>MEDIUM</v>
      </c>
    </row>
    <row r="360" ht="29.25" customHeight="1" outlineLevel="1" spans="1:43">
      <c r="A360" s="363" t="s">
        <v>294</v>
      </c>
      <c r="B360" s="365"/>
      <c r="C360" s="293" t="str">
        <f t="shared" ref="C360:G360" si="747">TEXT(IF($B360=0," ",$B360-C$6),"hh:mm am/pm")</f>
        <v> </v>
      </c>
      <c r="D360" s="293" t="str">
        <f t="shared" si="747"/>
        <v> </v>
      </c>
      <c r="E360" s="293" t="str">
        <f t="shared" si="747"/>
        <v> </v>
      </c>
      <c r="F360" s="293" t="str">
        <f t="shared" si="747"/>
        <v> </v>
      </c>
      <c r="G360" s="293" t="str">
        <f t="shared" si="747"/>
        <v> </v>
      </c>
      <c r="H360" s="293" t="str">
        <f t="shared" ref="H360:I360" si="748">TEXT(IF($B360=0," ",$B360+H$6),"hh:mm am/pm")</f>
        <v> </v>
      </c>
      <c r="I360" s="293" t="str">
        <f t="shared" si="748"/>
        <v> </v>
      </c>
      <c r="J360" s="344"/>
      <c r="K360" s="367"/>
      <c r="L360" s="367"/>
      <c r="M360" s="368"/>
      <c r="N360" s="369"/>
      <c r="O360" s="370"/>
      <c r="P360" s="370"/>
      <c r="Q360" s="369"/>
      <c r="R360" s="369"/>
      <c r="S360" s="369"/>
      <c r="T360" s="371"/>
      <c r="U360" s="369"/>
      <c r="V360" s="369"/>
      <c r="W360" s="369"/>
      <c r="X360" s="372"/>
      <c r="Y360" s="367"/>
      <c r="Z360" s="369"/>
      <c r="AA360" s="372"/>
      <c r="AB360" s="372"/>
      <c r="AC360" s="371"/>
      <c r="AD360" s="371"/>
      <c r="AE360" s="367"/>
      <c r="AF360" s="372"/>
      <c r="AG360" s="367"/>
      <c r="AH360" s="367"/>
      <c r="AI360" s="367"/>
      <c r="AJ360" s="367"/>
      <c r="AK360" s="373"/>
      <c r="AL360" s="373"/>
      <c r="AM360" s="373"/>
      <c r="AN360" s="373"/>
      <c r="AO360" s="314" t="str">
        <f t="shared" si="728"/>
        <v> </v>
      </c>
      <c r="AP360" s="374">
        <f t="shared" si="729"/>
        <v>0</v>
      </c>
      <c r="AQ360" s="316" t="str">
        <f t="shared" si="730"/>
        <v> </v>
      </c>
    </row>
    <row r="361" ht="29.25" customHeight="1" outlineLevel="1" spans="1:43">
      <c r="B361" s="364">
        <v>0.750011574074074</v>
      </c>
      <c r="C361" s="293" t="str">
        <f t="shared" ref="C361:G361" si="749">TEXT(IF($B361=0," ",$B361-C$6),"hh:mm am/pm")</f>
        <v>16:00 001/p1</v>
      </c>
      <c r="D361" s="293" t="str">
        <f t="shared" si="749"/>
        <v>14:00 001/p1</v>
      </c>
      <c r="E361" s="293" t="str">
        <f t="shared" si="749"/>
        <v>15:00 001/p1</v>
      </c>
      <c r="F361" s="293" t="str">
        <f t="shared" si="749"/>
        <v>16:00 001/p1</v>
      </c>
      <c r="G361" s="293" t="str">
        <f t="shared" si="749"/>
        <v>17:00 001/p1</v>
      </c>
      <c r="H361" s="293" t="str">
        <f t="shared" ref="H361:I361" si="750">TEXT(IF($B361=0," ",$B361+H$6),"hh:mm am/pm")</f>
        <v>00:00 001/p1</v>
      </c>
      <c r="I361" s="293" t="str">
        <f t="shared" si="750"/>
        <v>05:00 001/p1</v>
      </c>
      <c r="J361" s="405" t="str">
        <f>L255</f>
        <v>#AS OmaX HR</v>
      </c>
      <c r="K361" s="406"/>
      <c r="L361" s="407" t="s">
        <v>211</v>
      </c>
      <c r="M361" s="408" t="s">
        <v>196</v>
      </c>
      <c r="N361" s="409" t="s">
        <v>100</v>
      </c>
      <c r="O361" s="410" t="s">
        <v>74</v>
      </c>
      <c r="P361" s="411" t="s">
        <v>101</v>
      </c>
      <c r="Q361" s="412">
        <f>150*6</f>
        <v>900</v>
      </c>
      <c r="R361" s="414" t="s">
        <v>60</v>
      </c>
      <c r="S361" s="413"/>
      <c r="T361" s="414">
        <v>0.1</v>
      </c>
      <c r="U361" s="409" t="s">
        <v>62</v>
      </c>
      <c r="V361" s="409">
        <v>8</v>
      </c>
      <c r="W361" s="409">
        <v>8</v>
      </c>
      <c r="X361" s="415"/>
      <c r="Y361" s="416" t="s">
        <v>79</v>
      </c>
      <c r="Z361" s="409">
        <v>10</v>
      </c>
      <c r="AA361" s="417">
        <v>20000</v>
      </c>
      <c r="AB361" s="417" t="s">
        <v>65</v>
      </c>
      <c r="AC361" s="414">
        <v>0.05</v>
      </c>
      <c r="AD361" s="414">
        <v>0</v>
      </c>
      <c r="AE361" s="418" t="s">
        <v>88</v>
      </c>
      <c r="AF361" s="419">
        <v>10000</v>
      </c>
      <c r="AG361" s="420">
        <v>4</v>
      </c>
      <c r="AH361" s="420">
        <v>4</v>
      </c>
      <c r="AI361" s="420">
        <v>4</v>
      </c>
      <c r="AJ361" s="418">
        <v>9</v>
      </c>
      <c r="AK361" s="421" t="s">
        <v>67</v>
      </c>
      <c r="AL361" s="428" t="s">
        <v>68</v>
      </c>
      <c r="AM361" s="422" t="s">
        <v>197</v>
      </c>
      <c r="AN361" s="403" t="s">
        <v>198</v>
      </c>
      <c r="AO361" s="314">
        <f t="shared" si="728"/>
        <v>0.775011574074074</v>
      </c>
      <c r="AP361" s="315">
        <f t="shared" si="729"/>
        <v>119</v>
      </c>
      <c r="AQ361" s="316" t="str">
        <f t="shared" si="730"/>
        <v>LOW</v>
      </c>
    </row>
    <row r="362" ht="29.25" customHeight="1" outlineLevel="1" spans="1:43">
      <c r="B362" s="365"/>
      <c r="C362" s="293" t="str">
        <f t="shared" ref="C362:G362" si="751">TEXT(IF($B362=0," ",$B362-C$6),"hh:mm am/pm")</f>
        <v> </v>
      </c>
      <c r="D362" s="293" t="str">
        <f t="shared" si="751"/>
        <v> </v>
      </c>
      <c r="E362" s="293" t="str">
        <f t="shared" si="751"/>
        <v> </v>
      </c>
      <c r="F362" s="293" t="str">
        <f t="shared" si="751"/>
        <v> </v>
      </c>
      <c r="G362" s="293" t="str">
        <f t="shared" si="751"/>
        <v> </v>
      </c>
      <c r="H362" s="293" t="str">
        <f t="shared" ref="H362:I362" si="752">TEXT(IF($B362=0," ",$B362+H$6),"hh:mm am/pm")</f>
        <v> </v>
      </c>
      <c r="I362" s="293" t="str">
        <f t="shared" si="752"/>
        <v> </v>
      </c>
      <c r="J362" s="344"/>
      <c r="K362" s="367"/>
      <c r="L362" s="367"/>
      <c r="M362" s="368"/>
      <c r="N362" s="369"/>
      <c r="O362" s="370"/>
      <c r="P362" s="370"/>
      <c r="Q362" s="369"/>
      <c r="R362" s="369"/>
      <c r="S362" s="369"/>
      <c r="T362" s="371"/>
      <c r="U362" s="369"/>
      <c r="V362" s="369"/>
      <c r="W362" s="369"/>
      <c r="X362" s="372"/>
      <c r="Y362" s="367"/>
      <c r="Z362" s="369"/>
      <c r="AA362" s="372"/>
      <c r="AB362" s="372"/>
      <c r="AC362" s="371"/>
      <c r="AD362" s="371"/>
      <c r="AE362" s="367"/>
      <c r="AF362" s="372"/>
      <c r="AG362" s="367"/>
      <c r="AH362" s="367"/>
      <c r="AI362" s="367"/>
      <c r="AJ362" s="367"/>
      <c r="AK362" s="373"/>
      <c r="AL362" s="373"/>
      <c r="AM362" s="373"/>
      <c r="AN362" s="373"/>
      <c r="AO362" s="314" t="str">
        <f t="shared" si="728"/>
        <v> </v>
      </c>
      <c r="AP362" s="374">
        <f t="shared" si="729"/>
        <v>0</v>
      </c>
      <c r="AQ362" s="316" t="str">
        <f t="shared" si="730"/>
        <v> </v>
      </c>
    </row>
    <row r="363" ht="29.25" customHeight="1" outlineLevel="1" spans="1:43">
      <c r="A363" s="363" t="s">
        <v>294</v>
      </c>
      <c r="B363" s="364">
        <v>0.750011574074074</v>
      </c>
      <c r="C363" s="293" t="str">
        <f t="shared" ref="C363:G363" si="753">TEXT(IF($B363=0," ",$B363-C$6),"hh:mm am/pm")</f>
        <v>16:00 001/p1</v>
      </c>
      <c r="D363" s="293" t="str">
        <f t="shared" si="753"/>
        <v>14:00 001/p1</v>
      </c>
      <c r="E363" s="293" t="str">
        <f t="shared" si="753"/>
        <v>15:00 001/p1</v>
      </c>
      <c r="F363" s="293" t="str">
        <f t="shared" si="753"/>
        <v>16:00 001/p1</v>
      </c>
      <c r="G363" s="293" t="str">
        <f t="shared" si="753"/>
        <v>17:00 001/p1</v>
      </c>
      <c r="H363" s="293" t="str">
        <f t="shared" ref="H363:I363" si="754">TEXT(IF($B363=0," ",$B363+H$6),"hh:mm am/pm")</f>
        <v>00:00 001/p1</v>
      </c>
      <c r="I363" s="293" t="str">
        <f t="shared" si="754"/>
        <v>05:00 001/p1</v>
      </c>
      <c r="J363" s="405" t="str">
        <f>L254</f>
        <v>#AS Freeze+SPS</v>
      </c>
      <c r="K363" s="406"/>
      <c r="L363" s="407" t="s">
        <v>214</v>
      </c>
      <c r="M363" s="408" t="s">
        <v>196</v>
      </c>
      <c r="N363" s="409" t="s">
        <v>57</v>
      </c>
      <c r="O363" s="410" t="s">
        <v>74</v>
      </c>
      <c r="P363" s="411" t="s">
        <v>59</v>
      </c>
      <c r="Q363" s="412">
        <f>15*5</f>
        <v>75</v>
      </c>
      <c r="R363" s="414" t="s">
        <v>60</v>
      </c>
      <c r="S363" s="413"/>
      <c r="T363" s="414">
        <v>0.1</v>
      </c>
      <c r="U363" s="409" t="s">
        <v>62</v>
      </c>
      <c r="V363" s="409">
        <v>0.8</v>
      </c>
      <c r="W363" s="409">
        <v>0.8</v>
      </c>
      <c r="X363" s="415"/>
      <c r="Y363" s="416" t="s">
        <v>79</v>
      </c>
      <c r="Z363" s="409">
        <v>0.8</v>
      </c>
      <c r="AA363" s="417">
        <v>20000</v>
      </c>
      <c r="AB363" s="417" t="s">
        <v>65</v>
      </c>
      <c r="AC363" s="414">
        <v>0.05</v>
      </c>
      <c r="AD363" s="414">
        <v>0</v>
      </c>
      <c r="AE363" s="418" t="s">
        <v>88</v>
      </c>
      <c r="AF363" s="419">
        <v>10000</v>
      </c>
      <c r="AG363" s="420">
        <v>4</v>
      </c>
      <c r="AH363" s="420">
        <v>4</v>
      </c>
      <c r="AI363" s="420">
        <v>4</v>
      </c>
      <c r="AJ363" s="418">
        <v>9</v>
      </c>
      <c r="AK363" s="421" t="s">
        <v>67</v>
      </c>
      <c r="AL363" s="428" t="s">
        <v>68</v>
      </c>
      <c r="AM363" s="422" t="s">
        <v>197</v>
      </c>
      <c r="AN363" s="403" t="s">
        <v>198</v>
      </c>
      <c r="AO363" s="314">
        <f t="shared" si="728"/>
        <v>0.775011574074074</v>
      </c>
      <c r="AP363" s="315">
        <f t="shared" si="729"/>
        <v>99</v>
      </c>
      <c r="AQ363" s="316" t="str">
        <f t="shared" si="730"/>
        <v>MICRO</v>
      </c>
    </row>
    <row r="364" ht="29.25" customHeight="1" outlineLevel="1" spans="1:43">
      <c r="B364" s="365"/>
      <c r="C364" s="293" t="str">
        <f t="shared" ref="C364:G364" si="755">TEXT(IF($B364=0," ",$B364-C$6),"hh:mm am/pm")</f>
        <v> </v>
      </c>
      <c r="D364" s="293" t="str">
        <f t="shared" si="755"/>
        <v> </v>
      </c>
      <c r="E364" s="293" t="str">
        <f t="shared" si="755"/>
        <v> </v>
      </c>
      <c r="F364" s="293" t="str">
        <f t="shared" si="755"/>
        <v> </v>
      </c>
      <c r="G364" s="293" t="str">
        <f t="shared" si="755"/>
        <v> </v>
      </c>
      <c r="H364" s="293" t="str">
        <f t="shared" ref="H364:I364" si="756">TEXT(IF($B364=0," ",$B364+H$6),"hh:mm am/pm")</f>
        <v> </v>
      </c>
      <c r="I364" s="293" t="str">
        <f t="shared" si="756"/>
        <v> </v>
      </c>
      <c r="J364" s="344"/>
      <c r="K364" s="367"/>
      <c r="L364" s="367"/>
      <c r="M364" s="368"/>
      <c r="N364" s="369"/>
      <c r="O364" s="370"/>
      <c r="P364" s="370"/>
      <c r="Q364" s="369"/>
      <c r="R364" s="369"/>
      <c r="S364" s="369"/>
      <c r="T364" s="371"/>
      <c r="U364" s="369"/>
      <c r="V364" s="369"/>
      <c r="W364" s="369"/>
      <c r="X364" s="372"/>
      <c r="Y364" s="367"/>
      <c r="Z364" s="369"/>
      <c r="AA364" s="372"/>
      <c r="AB364" s="372"/>
      <c r="AC364" s="371"/>
      <c r="AD364" s="371"/>
      <c r="AE364" s="367"/>
      <c r="AF364" s="372"/>
      <c r="AG364" s="367"/>
      <c r="AH364" s="367"/>
      <c r="AI364" s="367"/>
      <c r="AJ364" s="367"/>
      <c r="AK364" s="373"/>
      <c r="AL364" s="373"/>
      <c r="AM364" s="373"/>
      <c r="AN364" s="373"/>
      <c r="AO364" s="314" t="str">
        <f t="shared" si="728"/>
        <v> </v>
      </c>
      <c r="AP364" s="374">
        <f t="shared" si="729"/>
        <v>0</v>
      </c>
      <c r="AQ364" s="316" t="str">
        <f t="shared" si="730"/>
        <v> </v>
      </c>
    </row>
    <row r="365" ht="29.25" customHeight="1" outlineLevel="1" spans="1:43">
      <c r="B365" s="364">
        <v>0.770844907407407</v>
      </c>
      <c r="C365" s="293" t="str">
        <f t="shared" ref="C365:G365" si="757">TEXT(IF($B365=0," ",$B365-C$6),"hh:mm am/pm")</f>
        <v>16:30 001/p1</v>
      </c>
      <c r="D365" s="293" t="str">
        <f t="shared" si="757"/>
        <v>14:30 001/p1</v>
      </c>
      <c r="E365" s="293" t="str">
        <f t="shared" si="757"/>
        <v>15:30 001/p1</v>
      </c>
      <c r="F365" s="293" t="str">
        <f t="shared" si="757"/>
        <v>16:30 001/p1</v>
      </c>
      <c r="G365" s="293" t="str">
        <f t="shared" si="757"/>
        <v>17:30 001/p1</v>
      </c>
      <c r="H365" s="293" t="str">
        <f t="shared" ref="H365:I365" si="758">TEXT(IF($B365=0," ",$B365+H$6),"hh:mm am/pm")</f>
        <v>00:30 001/p1</v>
      </c>
      <c r="I365" s="293" t="str">
        <f t="shared" si="758"/>
        <v>05:30 001/p1</v>
      </c>
      <c r="J365" s="405" t="str">
        <f>L256</f>
        <v>#AS Bounty+SPS</v>
      </c>
      <c r="K365" s="406"/>
      <c r="L365" s="407" t="s">
        <v>281</v>
      </c>
      <c r="M365" s="408" t="s">
        <v>196</v>
      </c>
      <c r="N365" s="409" t="s">
        <v>57</v>
      </c>
      <c r="O365" s="410" t="s">
        <v>74</v>
      </c>
      <c r="P365" s="411" t="s">
        <v>59</v>
      </c>
      <c r="Q365" s="412">
        <f>30*4</f>
        <v>120</v>
      </c>
      <c r="R365" s="414" t="s">
        <v>60</v>
      </c>
      <c r="S365" s="413"/>
      <c r="T365" s="414">
        <v>0.1</v>
      </c>
      <c r="U365" s="409" t="s">
        <v>62</v>
      </c>
      <c r="V365" s="409">
        <v>2</v>
      </c>
      <c r="W365" s="409">
        <v>2</v>
      </c>
      <c r="X365" s="415"/>
      <c r="Y365" s="416" t="s">
        <v>79</v>
      </c>
      <c r="Z365" s="409">
        <v>2</v>
      </c>
      <c r="AA365" s="417">
        <v>20000</v>
      </c>
      <c r="AB365" s="417" t="s">
        <v>65</v>
      </c>
      <c r="AC365" s="414">
        <v>0.05</v>
      </c>
      <c r="AD365" s="414">
        <v>0</v>
      </c>
      <c r="AE365" s="418" t="s">
        <v>88</v>
      </c>
      <c r="AF365" s="419">
        <v>10000</v>
      </c>
      <c r="AG365" s="420">
        <v>4</v>
      </c>
      <c r="AH365" s="420">
        <v>4</v>
      </c>
      <c r="AI365" s="420">
        <v>4</v>
      </c>
      <c r="AJ365" s="418">
        <v>9</v>
      </c>
      <c r="AK365" s="421" t="s">
        <v>67</v>
      </c>
      <c r="AL365" s="428" t="s">
        <v>68</v>
      </c>
      <c r="AM365" s="422" t="s">
        <v>197</v>
      </c>
      <c r="AN365" s="403" t="s">
        <v>198</v>
      </c>
      <c r="AO365" s="314">
        <f t="shared" si="728"/>
        <v>0.795844907407407</v>
      </c>
      <c r="AP365" s="315">
        <f t="shared" si="729"/>
        <v>64</v>
      </c>
      <c r="AQ365" s="316" t="str">
        <f t="shared" si="730"/>
        <v>MICRO</v>
      </c>
    </row>
    <row r="366" ht="29.25" customHeight="1" outlineLevel="1" spans="1:43">
      <c r="A366" s="363" t="s">
        <v>294</v>
      </c>
      <c r="B366" s="365"/>
      <c r="C366" s="293" t="str">
        <f t="shared" ref="C366:G366" si="759">TEXT(IF($B366=0," ",$B366-C$6),"hh:mm am/pm")</f>
        <v> </v>
      </c>
      <c r="D366" s="293" t="str">
        <f t="shared" si="759"/>
        <v> </v>
      </c>
      <c r="E366" s="293" t="str">
        <f t="shared" si="759"/>
        <v> </v>
      </c>
      <c r="F366" s="293" t="str">
        <f t="shared" si="759"/>
        <v> </v>
      </c>
      <c r="G366" s="293" t="str">
        <f t="shared" si="759"/>
        <v> </v>
      </c>
      <c r="H366" s="293" t="str">
        <f t="shared" ref="H366:I366" si="760">TEXT(IF($B366=0," ",$B366+H$6),"hh:mm am/pm")</f>
        <v> </v>
      </c>
      <c r="I366" s="293" t="str">
        <f t="shared" si="760"/>
        <v> </v>
      </c>
      <c r="J366" s="344"/>
      <c r="K366" s="367"/>
      <c r="L366" s="367"/>
      <c r="M366" s="368"/>
      <c r="N366" s="369"/>
      <c r="O366" s="370"/>
      <c r="P366" s="370"/>
      <c r="Q366" s="369"/>
      <c r="R366" s="369"/>
      <c r="S366" s="369"/>
      <c r="T366" s="371"/>
      <c r="U366" s="369"/>
      <c r="V366" s="369"/>
      <c r="W366" s="369"/>
      <c r="X366" s="372"/>
      <c r="Y366" s="367"/>
      <c r="Z366" s="369"/>
      <c r="AA366" s="372"/>
      <c r="AB366" s="372"/>
      <c r="AC366" s="371"/>
      <c r="AD366" s="371"/>
      <c r="AE366" s="367"/>
      <c r="AF366" s="372"/>
      <c r="AG366" s="367"/>
      <c r="AH366" s="367"/>
      <c r="AI366" s="367"/>
      <c r="AJ366" s="367"/>
      <c r="AK366" s="373"/>
      <c r="AL366" s="373"/>
      <c r="AM366" s="373"/>
      <c r="AN366" s="373"/>
      <c r="AO366" s="314" t="str">
        <f t="shared" si="728"/>
        <v> </v>
      </c>
      <c r="AP366" s="374">
        <f t="shared" si="729"/>
        <v>0</v>
      </c>
      <c r="AQ366" s="316" t="str">
        <f t="shared" si="730"/>
        <v> </v>
      </c>
    </row>
    <row r="367" ht="29.25" customHeight="1" outlineLevel="1" spans="1:43">
      <c r="B367" s="364">
        <v>0.812511574074074</v>
      </c>
      <c r="C367" s="293" t="str">
        <f t="shared" ref="C367:G367" si="761">TEXT(IF($B367=0," ",$B367-C$6),"hh:mm am/pm")</f>
        <v>17:30 001/p1</v>
      </c>
      <c r="D367" s="293" t="str">
        <f t="shared" si="761"/>
        <v>15:30 001/p1</v>
      </c>
      <c r="E367" s="293" t="str">
        <f t="shared" si="761"/>
        <v>16:30 001/p1</v>
      </c>
      <c r="F367" s="293" t="str">
        <f t="shared" si="761"/>
        <v>17:30 001/p1</v>
      </c>
      <c r="G367" s="293" t="str">
        <f t="shared" si="761"/>
        <v>18:30 001/p1</v>
      </c>
      <c r="H367" s="293" t="str">
        <f t="shared" ref="H367:I367" si="762">TEXT(IF($B367=0," ",$B367+H$6),"hh:mm am/pm")</f>
        <v>01:30 001/p1</v>
      </c>
      <c r="I367" s="293" t="str">
        <f t="shared" si="762"/>
        <v>06:30 001/p1</v>
      </c>
      <c r="J367" s="405" t="str">
        <f>L325</f>
        <v>#AS OmaX Turbo</v>
      </c>
      <c r="K367" s="406"/>
      <c r="L367" s="407" t="s">
        <v>288</v>
      </c>
      <c r="M367" s="408" t="s">
        <v>196</v>
      </c>
      <c r="N367" s="409" t="s">
        <v>100</v>
      </c>
      <c r="O367" s="410" t="s">
        <v>74</v>
      </c>
      <c r="P367" s="411" t="s">
        <v>101</v>
      </c>
      <c r="Q367" s="412">
        <f>11*6</f>
        <v>66</v>
      </c>
      <c r="R367" s="414" t="s">
        <v>60</v>
      </c>
      <c r="S367" s="413"/>
      <c r="T367" s="414">
        <v>0.1</v>
      </c>
      <c r="U367" s="409" t="s">
        <v>62</v>
      </c>
      <c r="V367" s="409">
        <v>0.6</v>
      </c>
      <c r="W367" s="409">
        <v>0.6</v>
      </c>
      <c r="X367" s="415"/>
      <c r="Y367" s="416" t="s">
        <v>79</v>
      </c>
      <c r="Z367" s="409">
        <v>0.6</v>
      </c>
      <c r="AA367" s="417">
        <v>20000</v>
      </c>
      <c r="AB367" s="417" t="s">
        <v>65</v>
      </c>
      <c r="AC367" s="414">
        <v>0.05</v>
      </c>
      <c r="AD367" s="414">
        <v>0</v>
      </c>
      <c r="AE367" s="417" t="s">
        <v>88</v>
      </c>
      <c r="AF367" s="419">
        <v>10000</v>
      </c>
      <c r="AG367" s="420">
        <v>4</v>
      </c>
      <c r="AH367" s="420">
        <v>4</v>
      </c>
      <c r="AI367" s="420">
        <v>4</v>
      </c>
      <c r="AJ367" s="418">
        <v>9</v>
      </c>
      <c r="AK367" s="421" t="s">
        <v>67</v>
      </c>
      <c r="AL367" s="428" t="s">
        <v>68</v>
      </c>
      <c r="AM367" s="422" t="s">
        <v>197</v>
      </c>
      <c r="AN367" s="403" t="s">
        <v>198</v>
      </c>
      <c r="AO367" s="314">
        <f t="shared" si="728"/>
        <v>0.837511574074074</v>
      </c>
      <c r="AP367" s="315">
        <f t="shared" si="729"/>
        <v>116</v>
      </c>
      <c r="AQ367" s="316" t="str">
        <f t="shared" si="730"/>
        <v>MICRO</v>
      </c>
    </row>
    <row r="368" ht="29.25" customHeight="1" outlineLevel="1" spans="1:43">
      <c r="B368" s="365"/>
      <c r="C368" s="293" t="str">
        <f t="shared" ref="C368:G368" si="763">TEXT(IF($B368=0," ",$B368-C$6),"hh:mm am/pm")</f>
        <v> </v>
      </c>
      <c r="D368" s="293" t="str">
        <f t="shared" si="763"/>
        <v> </v>
      </c>
      <c r="E368" s="293" t="str">
        <f t="shared" si="763"/>
        <v> </v>
      </c>
      <c r="F368" s="293" t="str">
        <f t="shared" si="763"/>
        <v> </v>
      </c>
      <c r="G368" s="293" t="str">
        <f t="shared" si="763"/>
        <v> </v>
      </c>
      <c r="H368" s="293" t="str">
        <f t="shared" ref="H368:I368" si="764">TEXT(IF($B368=0," ",$B368+H$6),"hh:mm am/pm")</f>
        <v> </v>
      </c>
      <c r="I368" s="293" t="str">
        <f t="shared" si="764"/>
        <v> </v>
      </c>
      <c r="J368" s="344"/>
      <c r="K368" s="367"/>
      <c r="L368" s="367"/>
      <c r="M368" s="368"/>
      <c r="N368" s="369"/>
      <c r="O368" s="370"/>
      <c r="P368" s="370"/>
      <c r="Q368" s="369"/>
      <c r="R368" s="369"/>
      <c r="S368" s="369"/>
      <c r="T368" s="371"/>
      <c r="U368" s="369"/>
      <c r="V368" s="369"/>
      <c r="W368" s="369"/>
      <c r="X368" s="372"/>
      <c r="Y368" s="367"/>
      <c r="Z368" s="369"/>
      <c r="AA368" s="372"/>
      <c r="AB368" s="372"/>
      <c r="AC368" s="371"/>
      <c r="AD368" s="371"/>
      <c r="AE368" s="367"/>
      <c r="AF368" s="372"/>
      <c r="AG368" s="367"/>
      <c r="AH368" s="367"/>
      <c r="AI368" s="367"/>
      <c r="AJ368" s="367"/>
      <c r="AK368" s="373"/>
      <c r="AL368" s="373"/>
      <c r="AM368" s="373"/>
      <c r="AN368" s="373"/>
      <c r="AO368" s="314" t="str">
        <f t="shared" si="728"/>
        <v> </v>
      </c>
      <c r="AP368" s="374">
        <f t="shared" si="729"/>
        <v>0</v>
      </c>
      <c r="AQ368" s="316" t="str">
        <f t="shared" si="730"/>
        <v> </v>
      </c>
    </row>
    <row r="369" ht="29.25" customHeight="1" outlineLevel="1" spans="1:43">
      <c r="A369" s="363" t="s">
        <v>294</v>
      </c>
      <c r="B369" s="364">
        <v>0.833344907407407</v>
      </c>
      <c r="C369" s="293" t="str">
        <f t="shared" ref="C369:G369" si="765">TEXT(IF($B369=0," ",$B369-C$6),"hh:mm am/pm")</f>
        <v>18:00 001/p1</v>
      </c>
      <c r="D369" s="293" t="str">
        <f t="shared" si="765"/>
        <v>16:00 001/p1</v>
      </c>
      <c r="E369" s="293" t="str">
        <f t="shared" si="765"/>
        <v>17:00 001/p1</v>
      </c>
      <c r="F369" s="293" t="str">
        <f t="shared" si="765"/>
        <v>18:00 001/p1</v>
      </c>
      <c r="G369" s="293" t="str">
        <f t="shared" si="765"/>
        <v>19:00 001/p1</v>
      </c>
      <c r="H369" s="293" t="str">
        <f t="shared" ref="H369:I369" si="766">TEXT(IF($B369=0," ",$B369+H$6),"hh:mm am/pm")</f>
        <v>02:00 001/p1</v>
      </c>
      <c r="I369" s="293" t="str">
        <f t="shared" si="766"/>
        <v>07:00 001/p1</v>
      </c>
      <c r="J369" s="405" t="str">
        <f>L323</f>
        <v>#AS Battle PKO</v>
      </c>
      <c r="K369" s="406"/>
      <c r="L369" s="407" t="s">
        <v>350</v>
      </c>
      <c r="M369" s="408" t="s">
        <v>196</v>
      </c>
      <c r="N369" s="409" t="s">
        <v>57</v>
      </c>
      <c r="O369" s="410" t="s">
        <v>74</v>
      </c>
      <c r="P369" s="411" t="s">
        <v>59</v>
      </c>
      <c r="Q369" s="412">
        <f>22*3</f>
        <v>66</v>
      </c>
      <c r="R369" s="414" t="s">
        <v>60</v>
      </c>
      <c r="S369" s="413"/>
      <c r="T369" s="414">
        <v>0.1</v>
      </c>
      <c r="U369" s="409" t="s">
        <v>62</v>
      </c>
      <c r="V369" s="409">
        <v>1.2</v>
      </c>
      <c r="W369" s="409">
        <v>1.2</v>
      </c>
      <c r="X369" s="415"/>
      <c r="Y369" s="416" t="s">
        <v>79</v>
      </c>
      <c r="Z369" s="409">
        <v>1.2</v>
      </c>
      <c r="AA369" s="417">
        <v>20000</v>
      </c>
      <c r="AB369" s="417" t="s">
        <v>65</v>
      </c>
      <c r="AC369" s="414">
        <v>0.05</v>
      </c>
      <c r="AD369" s="414">
        <v>0</v>
      </c>
      <c r="AE369" s="418" t="s">
        <v>88</v>
      </c>
      <c r="AF369" s="419">
        <v>10000</v>
      </c>
      <c r="AG369" s="420">
        <v>4</v>
      </c>
      <c r="AH369" s="420">
        <v>4</v>
      </c>
      <c r="AI369" s="420">
        <v>4</v>
      </c>
      <c r="AJ369" s="418">
        <v>9</v>
      </c>
      <c r="AK369" s="421" t="s">
        <v>67</v>
      </c>
      <c r="AL369" s="428" t="s">
        <v>68</v>
      </c>
      <c r="AM369" s="422" t="s">
        <v>197</v>
      </c>
      <c r="AN369" s="403" t="s">
        <v>198</v>
      </c>
      <c r="AO369" s="314">
        <f t="shared" si="728"/>
        <v>0.858344907407407</v>
      </c>
      <c r="AP369" s="315">
        <f t="shared" si="729"/>
        <v>58</v>
      </c>
      <c r="AQ369" s="316" t="str">
        <f t="shared" si="730"/>
        <v>MICRO</v>
      </c>
    </row>
    <row r="370" ht="29.25" customHeight="1" outlineLevel="1" spans="1:43">
      <c r="B370" s="365"/>
      <c r="C370" s="293" t="str">
        <f t="shared" ref="C370:G370" si="767">TEXT(IF($B370=0," ",$B370-C$6),"hh:mm am/pm")</f>
        <v> </v>
      </c>
      <c r="D370" s="293" t="str">
        <f t="shared" si="767"/>
        <v> </v>
      </c>
      <c r="E370" s="293" t="str">
        <f t="shared" si="767"/>
        <v> </v>
      </c>
      <c r="F370" s="293" t="str">
        <f t="shared" si="767"/>
        <v> </v>
      </c>
      <c r="G370" s="293" t="str">
        <f t="shared" si="767"/>
        <v> </v>
      </c>
      <c r="H370" s="293" t="str">
        <f t="shared" ref="H370:I370" si="768">TEXT(IF($B370=0," ",$B370+H$6),"hh:mm am/pm")</f>
        <v> </v>
      </c>
      <c r="I370" s="293" t="str">
        <f t="shared" si="768"/>
        <v> </v>
      </c>
      <c r="J370" s="344"/>
      <c r="K370" s="367"/>
      <c r="L370" s="367"/>
      <c r="M370" s="368"/>
      <c r="N370" s="369"/>
      <c r="O370" s="370"/>
      <c r="P370" s="370"/>
      <c r="Q370" s="369"/>
      <c r="R370" s="369"/>
      <c r="S370" s="369"/>
      <c r="T370" s="371"/>
      <c r="U370" s="369"/>
      <c r="V370" s="369"/>
      <c r="W370" s="369"/>
      <c r="X370" s="372"/>
      <c r="Y370" s="367"/>
      <c r="Z370" s="369"/>
      <c r="AA370" s="372"/>
      <c r="AB370" s="372"/>
      <c r="AC370" s="371"/>
      <c r="AD370" s="371"/>
      <c r="AE370" s="367"/>
      <c r="AF370" s="372"/>
      <c r="AG370" s="367"/>
      <c r="AH370" s="367"/>
      <c r="AI370" s="367"/>
      <c r="AJ370" s="367"/>
      <c r="AK370" s="373"/>
      <c r="AL370" s="373"/>
      <c r="AM370" s="373"/>
      <c r="AN370" s="373"/>
      <c r="AO370" s="314" t="str">
        <f t="shared" si="728"/>
        <v> </v>
      </c>
      <c r="AP370" s="374">
        <f t="shared" si="729"/>
        <v>0</v>
      </c>
      <c r="AQ370" s="316" t="str">
        <f t="shared" si="730"/>
        <v> </v>
      </c>
    </row>
    <row r="371" ht="29.25" customHeight="1" outlineLevel="1" spans="1:43">
      <c r="B371" s="364">
        <v>0.833344907407407</v>
      </c>
      <c r="C371" s="293" t="str">
        <f t="shared" ref="C371:G371" si="769">TEXT(IF($B371=0," ",$B371-C$6),"hh:mm am/pm")</f>
        <v>18:00 001/p1</v>
      </c>
      <c r="D371" s="293" t="str">
        <f t="shared" si="769"/>
        <v>16:00 001/p1</v>
      </c>
      <c r="E371" s="293" t="str">
        <f t="shared" si="769"/>
        <v>17:00 001/p1</v>
      </c>
      <c r="F371" s="293" t="str">
        <f t="shared" si="769"/>
        <v>18:00 001/p1</v>
      </c>
      <c r="G371" s="293" t="str">
        <f t="shared" si="769"/>
        <v>19:00 001/p1</v>
      </c>
      <c r="H371" s="293" t="str">
        <f t="shared" ref="H371:I371" si="770">TEXT(IF($B371=0," ",$B371+H$6),"hh:mm am/pm")</f>
        <v>02:00 001/p1</v>
      </c>
      <c r="I371" s="293" t="str">
        <f t="shared" si="770"/>
        <v>07:00 001/p1</v>
      </c>
      <c r="J371" s="433" t="str">
        <f>L327</f>
        <v>#AS OmaX Night</v>
      </c>
      <c r="K371" s="385"/>
      <c r="L371" s="386" t="s">
        <v>289</v>
      </c>
      <c r="M371" s="408" t="s">
        <v>196</v>
      </c>
      <c r="N371" s="409" t="s">
        <v>100</v>
      </c>
      <c r="O371" s="410" t="s">
        <v>74</v>
      </c>
      <c r="P371" s="411" t="s">
        <v>101</v>
      </c>
      <c r="Q371" s="412">
        <f>50*4</f>
        <v>200</v>
      </c>
      <c r="R371" s="414" t="s">
        <v>60</v>
      </c>
      <c r="S371" s="413"/>
      <c r="T371" s="414">
        <v>0.1</v>
      </c>
      <c r="U371" s="409" t="s">
        <v>62</v>
      </c>
      <c r="V371" s="409">
        <v>3</v>
      </c>
      <c r="W371" s="409">
        <v>3</v>
      </c>
      <c r="X371" s="415"/>
      <c r="Y371" s="416" t="s">
        <v>79</v>
      </c>
      <c r="Z371" s="409">
        <v>3</v>
      </c>
      <c r="AA371" s="417">
        <v>20000</v>
      </c>
      <c r="AB371" s="417" t="s">
        <v>65</v>
      </c>
      <c r="AC371" s="414">
        <v>0.05</v>
      </c>
      <c r="AD371" s="414">
        <v>0</v>
      </c>
      <c r="AE371" s="418" t="s">
        <v>88</v>
      </c>
      <c r="AF371" s="419">
        <v>10000</v>
      </c>
      <c r="AG371" s="420">
        <v>4</v>
      </c>
      <c r="AH371" s="420">
        <v>4</v>
      </c>
      <c r="AI371" s="420">
        <v>4</v>
      </c>
      <c r="AJ371" s="418">
        <v>9</v>
      </c>
      <c r="AK371" s="421" t="s">
        <v>67</v>
      </c>
      <c r="AL371" s="428" t="s">
        <v>68</v>
      </c>
      <c r="AM371" s="422" t="s">
        <v>197</v>
      </c>
      <c r="AN371" s="403" t="s">
        <v>198</v>
      </c>
      <c r="AO371" s="314">
        <f t="shared" si="728"/>
        <v>0.858344907407407</v>
      </c>
      <c r="AP371" s="315">
        <f t="shared" si="729"/>
        <v>71</v>
      </c>
      <c r="AQ371" s="316" t="str">
        <f t="shared" si="730"/>
        <v>MICRO</v>
      </c>
    </row>
    <row r="372" ht="29.25" customHeight="1" outlineLevel="1" spans="1:43">
      <c r="A372" s="363" t="s">
        <v>294</v>
      </c>
      <c r="B372" s="365"/>
      <c r="C372" s="293" t="str">
        <f t="shared" ref="C372:G372" si="771">TEXT(IF($B372=0," ",$B372-C$6),"hh:mm am/pm")</f>
        <v> </v>
      </c>
      <c r="D372" s="293" t="str">
        <f t="shared" si="771"/>
        <v> </v>
      </c>
      <c r="E372" s="293" t="str">
        <f t="shared" si="771"/>
        <v> </v>
      </c>
      <c r="F372" s="293" t="str">
        <f t="shared" si="771"/>
        <v> </v>
      </c>
      <c r="G372" s="293" t="str">
        <f t="shared" si="771"/>
        <v> </v>
      </c>
      <c r="H372" s="293" t="str">
        <f t="shared" ref="H372:I372" si="772">TEXT(IF($B372=0," ",$B372+H$6),"hh:mm am/pm")</f>
        <v> </v>
      </c>
      <c r="I372" s="293" t="str">
        <f t="shared" si="772"/>
        <v> </v>
      </c>
      <c r="J372" s="344"/>
      <c r="K372" s="367"/>
      <c r="L372" s="367"/>
      <c r="M372" s="368"/>
      <c r="N372" s="369"/>
      <c r="O372" s="370"/>
      <c r="P372" s="370"/>
      <c r="Q372" s="369"/>
      <c r="R372" s="369"/>
      <c r="S372" s="369"/>
      <c r="T372" s="371"/>
      <c r="U372" s="369"/>
      <c r="V372" s="369"/>
      <c r="W372" s="369"/>
      <c r="X372" s="372"/>
      <c r="Y372" s="367"/>
      <c r="Z372" s="369"/>
      <c r="AA372" s="372"/>
      <c r="AB372" s="372"/>
      <c r="AC372" s="371"/>
      <c r="AD372" s="371"/>
      <c r="AE372" s="367"/>
      <c r="AF372" s="372"/>
      <c r="AG372" s="367"/>
      <c r="AH372" s="367"/>
      <c r="AI372" s="367"/>
      <c r="AJ372" s="367"/>
      <c r="AK372" s="373"/>
      <c r="AL372" s="373"/>
      <c r="AM372" s="373"/>
      <c r="AN372" s="373"/>
      <c r="AO372" s="314" t="str">
        <f t="shared" si="728"/>
        <v> </v>
      </c>
      <c r="AP372" s="374">
        <f t="shared" si="729"/>
        <v>0</v>
      </c>
      <c r="AQ372" s="316" t="str">
        <f t="shared" si="730"/>
        <v> </v>
      </c>
    </row>
    <row r="373" ht="29.25" customHeight="1" outlineLevel="1" spans="1:43">
      <c r="B373" s="317">
        <v>0.854178240740741</v>
      </c>
      <c r="C373" s="293" t="str">
        <f t="shared" ref="C373:G373" si="773">TEXT(IF($B373=0," ",$B373-C$6),"hh:mm am/pm")</f>
        <v>18:30 001/p1</v>
      </c>
      <c r="D373" s="293" t="str">
        <f t="shared" si="773"/>
        <v>16:30 001/p1</v>
      </c>
      <c r="E373" s="293" t="str">
        <f t="shared" si="773"/>
        <v>17:30 001/p1</v>
      </c>
      <c r="F373" s="293" t="str">
        <f t="shared" si="773"/>
        <v>18:30 001/p1</v>
      </c>
      <c r="G373" s="293" t="str">
        <f t="shared" si="773"/>
        <v>19:30 001/p1</v>
      </c>
      <c r="H373" s="293" t="str">
        <f t="shared" ref="H373:I373" si="774">TEXT(IF($B373=0," ",$B373+H$6),"hh:mm am/pm")</f>
        <v>02:30 001/p1</v>
      </c>
      <c r="I373" s="293" t="str">
        <f t="shared" si="774"/>
        <v>07:30 001/p1</v>
      </c>
      <c r="J373" s="433" t="str">
        <f>L331</f>
        <v>#AS Bounty Night</v>
      </c>
      <c r="K373" s="385"/>
      <c r="L373" s="386" t="s">
        <v>206</v>
      </c>
      <c r="M373" s="408" t="s">
        <v>196</v>
      </c>
      <c r="N373" s="409" t="s">
        <v>57</v>
      </c>
      <c r="O373" s="410" t="s">
        <v>74</v>
      </c>
      <c r="P373" s="411" t="s">
        <v>59</v>
      </c>
      <c r="Q373" s="412">
        <f>11*5</f>
        <v>55</v>
      </c>
      <c r="R373" s="414" t="s">
        <v>60</v>
      </c>
      <c r="S373" s="413"/>
      <c r="T373" s="414">
        <v>0.1</v>
      </c>
      <c r="U373" s="409" t="s">
        <v>62</v>
      </c>
      <c r="V373" s="409">
        <v>0.6</v>
      </c>
      <c r="W373" s="409">
        <v>0.6</v>
      </c>
      <c r="X373" s="415"/>
      <c r="Y373" s="416" t="s">
        <v>79</v>
      </c>
      <c r="Z373" s="409">
        <v>0.6</v>
      </c>
      <c r="AA373" s="417">
        <v>20000</v>
      </c>
      <c r="AB373" s="417" t="s">
        <v>65</v>
      </c>
      <c r="AC373" s="414">
        <v>0.05</v>
      </c>
      <c r="AD373" s="414">
        <v>0</v>
      </c>
      <c r="AE373" s="418" t="s">
        <v>88</v>
      </c>
      <c r="AF373" s="419">
        <v>10000</v>
      </c>
      <c r="AG373" s="420">
        <v>4</v>
      </c>
      <c r="AH373" s="420">
        <v>4</v>
      </c>
      <c r="AI373" s="420">
        <v>4</v>
      </c>
      <c r="AJ373" s="418">
        <v>9</v>
      </c>
      <c r="AK373" s="421" t="s">
        <v>67</v>
      </c>
      <c r="AL373" s="428" t="s">
        <v>68</v>
      </c>
      <c r="AM373" s="422" t="s">
        <v>197</v>
      </c>
      <c r="AN373" s="403" t="s">
        <v>198</v>
      </c>
      <c r="AO373" s="314">
        <f t="shared" si="728"/>
        <v>0.879178240740741</v>
      </c>
      <c r="AP373" s="315">
        <f t="shared" si="729"/>
        <v>97</v>
      </c>
      <c r="AQ373" s="316" t="str">
        <f t="shared" si="730"/>
        <v>MICRO</v>
      </c>
    </row>
    <row r="374" ht="29.25" customHeight="1" outlineLevel="1" spans="1:43">
      <c r="B374" s="365"/>
      <c r="C374" s="293" t="str">
        <f t="shared" ref="C374:G374" si="775">TEXT(IF($B374=0," ",$B374-C$6),"hh:mm am/pm")</f>
        <v> </v>
      </c>
      <c r="D374" s="293" t="str">
        <f t="shared" si="775"/>
        <v> </v>
      </c>
      <c r="E374" s="293" t="str">
        <f t="shared" si="775"/>
        <v> </v>
      </c>
      <c r="F374" s="293" t="str">
        <f t="shared" si="775"/>
        <v> </v>
      </c>
      <c r="G374" s="293" t="str">
        <f t="shared" si="775"/>
        <v> </v>
      </c>
      <c r="H374" s="293" t="str">
        <f t="shared" ref="H374:I374" si="776">TEXT(IF($B374=0," ",$B374+H$6),"hh:mm am/pm")</f>
        <v> </v>
      </c>
      <c r="I374" s="293" t="str">
        <f t="shared" si="776"/>
        <v> </v>
      </c>
      <c r="J374" s="344"/>
      <c r="K374" s="367"/>
      <c r="L374" s="367"/>
      <c r="M374" s="368"/>
      <c r="N374" s="369"/>
      <c r="O374" s="370"/>
      <c r="P374" s="370"/>
      <c r="Q374" s="369"/>
      <c r="R374" s="369"/>
      <c r="S374" s="369"/>
      <c r="T374" s="371"/>
      <c r="U374" s="369"/>
      <c r="V374" s="369"/>
      <c r="W374" s="369"/>
      <c r="X374" s="372"/>
      <c r="Y374" s="367"/>
      <c r="Z374" s="369"/>
      <c r="AA374" s="372"/>
      <c r="AB374" s="372"/>
      <c r="AC374" s="371"/>
      <c r="AD374" s="371"/>
      <c r="AE374" s="367"/>
      <c r="AF374" s="372"/>
      <c r="AG374" s="367"/>
      <c r="AH374" s="367"/>
      <c r="AI374" s="367"/>
      <c r="AJ374" s="367"/>
      <c r="AK374" s="373"/>
      <c r="AL374" s="373"/>
      <c r="AM374" s="373"/>
      <c r="AN374" s="373"/>
      <c r="AO374" s="314" t="str">
        <f t="shared" si="728"/>
        <v> </v>
      </c>
      <c r="AP374" s="374">
        <f t="shared" si="729"/>
        <v>0</v>
      </c>
      <c r="AQ374" s="316" t="str">
        <f t="shared" si="730"/>
        <v> </v>
      </c>
    </row>
    <row r="375" ht="29.25" customHeight="1" outlineLevel="1" spans="1:43">
      <c r="A375" s="363" t="s">
        <v>294</v>
      </c>
      <c r="B375" s="317">
        <v>0.895844907407407</v>
      </c>
      <c r="C375" s="293" t="str">
        <f t="shared" ref="C375:G375" si="777">TEXT(IF($B375=0," ",$B375-C$6),"hh:mm am/pm")</f>
        <v>19:30 001/p1</v>
      </c>
      <c r="D375" s="293" t="str">
        <f t="shared" si="777"/>
        <v>17:30 001/p1</v>
      </c>
      <c r="E375" s="293" t="str">
        <f t="shared" si="777"/>
        <v>18:30 001/p1</v>
      </c>
      <c r="F375" s="293" t="str">
        <f t="shared" si="777"/>
        <v>19:30 001/p1</v>
      </c>
      <c r="G375" s="293" t="str">
        <f t="shared" si="777"/>
        <v>20:30 001/p1</v>
      </c>
      <c r="H375" s="293" t="str">
        <f t="shared" ref="H375:I375" si="778">TEXT(IF($B375=0," ",$B375+H$6),"hh:mm am/pm")</f>
        <v>03:30 001/p1</v>
      </c>
      <c r="I375" s="293" t="str">
        <f t="shared" si="778"/>
        <v>08:30 001/p1</v>
      </c>
      <c r="J375" s="405" t="str">
        <f>L334</f>
        <v>#AS Sonic</v>
      </c>
      <c r="K375" s="406"/>
      <c r="L375" s="407" t="s">
        <v>290</v>
      </c>
      <c r="M375" s="408" t="s">
        <v>196</v>
      </c>
      <c r="N375" s="409" t="s">
        <v>57</v>
      </c>
      <c r="O375" s="410" t="s">
        <v>74</v>
      </c>
      <c r="P375" s="411" t="s">
        <v>59</v>
      </c>
      <c r="Q375" s="412">
        <f>30*2</f>
        <v>60</v>
      </c>
      <c r="R375" s="414" t="s">
        <v>60</v>
      </c>
      <c r="S375" s="413"/>
      <c r="T375" s="414">
        <v>0.1</v>
      </c>
      <c r="U375" s="409" t="s">
        <v>62</v>
      </c>
      <c r="V375" s="409">
        <v>1.6</v>
      </c>
      <c r="W375" s="409">
        <v>1.6</v>
      </c>
      <c r="X375" s="415"/>
      <c r="Y375" s="416" t="s">
        <v>79</v>
      </c>
      <c r="Z375" s="409">
        <v>1.6</v>
      </c>
      <c r="AA375" s="417">
        <v>20000</v>
      </c>
      <c r="AB375" s="417" t="s">
        <v>65</v>
      </c>
      <c r="AC375" s="414">
        <v>0.05</v>
      </c>
      <c r="AD375" s="414">
        <v>0</v>
      </c>
      <c r="AE375" s="418" t="s">
        <v>88</v>
      </c>
      <c r="AF375" s="419">
        <v>10000</v>
      </c>
      <c r="AG375" s="420">
        <v>4</v>
      </c>
      <c r="AH375" s="420">
        <v>4</v>
      </c>
      <c r="AI375" s="420">
        <v>4</v>
      </c>
      <c r="AJ375" s="418">
        <v>9</v>
      </c>
      <c r="AK375" s="421" t="s">
        <v>67</v>
      </c>
      <c r="AL375" s="428" t="s">
        <v>68</v>
      </c>
      <c r="AM375" s="422" t="s">
        <v>197</v>
      </c>
      <c r="AN375" s="403" t="s">
        <v>198</v>
      </c>
      <c r="AO375" s="314">
        <f t="shared" si="728"/>
        <v>0.920844907407407</v>
      </c>
      <c r="AP375" s="315">
        <f t="shared" si="729"/>
        <v>40</v>
      </c>
      <c r="AQ375" s="316" t="str">
        <f t="shared" si="730"/>
        <v>MICRO</v>
      </c>
    </row>
    <row r="376" ht="29.25" customHeight="1" outlineLevel="1" spans="1:43">
      <c r="B376" s="383"/>
      <c r="C376" s="434"/>
      <c r="D376" s="434"/>
      <c r="E376" s="434"/>
      <c r="F376" s="434"/>
      <c r="G376" s="434"/>
      <c r="H376" s="434"/>
      <c r="I376" s="434"/>
      <c r="J376" s="344"/>
      <c r="K376" s="367"/>
      <c r="L376" s="367"/>
      <c r="M376" s="435"/>
      <c r="N376" s="436"/>
      <c r="O376" s="437"/>
      <c r="P376" s="437"/>
      <c r="Q376" s="436"/>
      <c r="R376" s="436"/>
      <c r="S376" s="436"/>
      <c r="T376" s="438"/>
      <c r="U376" s="436"/>
      <c r="V376" s="436"/>
      <c r="W376" s="436"/>
      <c r="X376" s="436"/>
      <c r="Y376" s="366"/>
      <c r="Z376" s="439"/>
      <c r="AA376" s="439"/>
      <c r="AB376" s="439"/>
      <c r="AC376" s="438"/>
      <c r="AD376" s="438"/>
      <c r="AE376" s="366"/>
      <c r="AF376" s="439"/>
      <c r="AG376" s="366"/>
      <c r="AH376" s="366"/>
      <c r="AI376" s="366"/>
      <c r="AJ376" s="366"/>
      <c r="AK376" s="440"/>
      <c r="AL376" s="440"/>
      <c r="AM376" s="440"/>
      <c r="AN376" s="440"/>
      <c r="AO376" s="383"/>
      <c r="AP376" s="374"/>
      <c r="AQ376" s="383"/>
    </row>
    <row r="377" ht="29.25" customHeight="1" outlineLevel="1" spans="1:43">
      <c r="B377" s="292">
        <v>0.375011574074074</v>
      </c>
      <c r="C377" s="293" t="str">
        <f t="shared" ref="C377:G377" si="779">TEXT(IF($B377=0," ",$B377-C$6),"hh:mm am/pm")</f>
        <v>07:00 001/p1</v>
      </c>
      <c r="D377" s="293" t="str">
        <f t="shared" si="779"/>
        <v>05:00 001/p1</v>
      </c>
      <c r="E377" s="293" t="str">
        <f t="shared" si="779"/>
        <v>06:00 001/p1</v>
      </c>
      <c r="F377" s="293" t="str">
        <f t="shared" si="779"/>
        <v>07:00 001/p1</v>
      </c>
      <c r="G377" s="293" t="str">
        <f t="shared" si="779"/>
        <v>08:00 001/p1</v>
      </c>
      <c r="H377" s="293" t="str">
        <f t="shared" ref="H377:I377" si="780">TEXT(IF($B377=0," ",$B377+H$6),"hh:mm am/pm")</f>
        <v>15:00 001/p1</v>
      </c>
      <c r="I377" s="293" t="str">
        <f t="shared" si="780"/>
        <v>20:00 001/p1</v>
      </c>
      <c r="J377" s="423" t="s">
        <v>219</v>
      </c>
      <c r="K377" s="424"/>
      <c r="L377" s="425" t="s">
        <v>220</v>
      </c>
      <c r="M377" s="387" t="s">
        <v>196</v>
      </c>
      <c r="N377" s="442" t="s">
        <v>57</v>
      </c>
      <c r="O377" s="443" t="s">
        <v>74</v>
      </c>
      <c r="P377" s="444" t="s">
        <v>59</v>
      </c>
      <c r="Q377" s="445">
        <f>40*2</f>
        <v>80</v>
      </c>
      <c r="R377" s="446" t="s">
        <v>60</v>
      </c>
      <c r="S377" s="447"/>
      <c r="T377" s="446">
        <v>0.1</v>
      </c>
      <c r="U377" s="442" t="s">
        <v>62</v>
      </c>
      <c r="V377" s="442">
        <v>0.6</v>
      </c>
      <c r="W377" s="442">
        <v>1</v>
      </c>
      <c r="X377" s="499"/>
      <c r="Y377" s="449" t="s">
        <v>79</v>
      </c>
      <c r="Z377" s="442">
        <v>2</v>
      </c>
      <c r="AA377" s="450">
        <v>50000</v>
      </c>
      <c r="AB377" s="450" t="s">
        <v>65</v>
      </c>
      <c r="AC377" s="446">
        <v>0.05</v>
      </c>
      <c r="AD377" s="446">
        <v>0</v>
      </c>
      <c r="AE377" s="451" t="s">
        <v>66</v>
      </c>
      <c r="AF377" s="448">
        <v>30000</v>
      </c>
      <c r="AG377" s="452">
        <v>7</v>
      </c>
      <c r="AH377" s="452">
        <v>6</v>
      </c>
      <c r="AI377" s="452">
        <v>5</v>
      </c>
      <c r="AJ377" s="451">
        <v>13</v>
      </c>
      <c r="AK377" s="453" t="s">
        <v>67</v>
      </c>
      <c r="AL377" s="454" t="s">
        <v>68</v>
      </c>
      <c r="AM377" s="455" t="s">
        <v>197</v>
      </c>
      <c r="AN377" s="455" t="s">
        <v>170</v>
      </c>
      <c r="AO377" s="314">
        <f t="shared" ref="AO377:AO384" si="781">IF(B377=0," ",TIME(,ROUNDDOWN(AG377*AJ377/60,0)*5+(AG377*AJ377),)+B377)</f>
        <v>0.441678240740741</v>
      </c>
      <c r="AP377" s="315">
        <f t="shared" ref="AP377:AP384" si="782">IF(Q377=0,,ROUNDUP(Q377/(V377*(1-AC377-AD377)),0))</f>
        <v>141</v>
      </c>
      <c r="AQ377" s="316" t="str">
        <f t="shared" ref="AQ377:AQ384" si="783">IFERROR(IF(V377=0," ",IF(V377&lt;=5,"MICRO",IF(V377&lt;=19.8,"LOW",IF(V377&lt;=99.8,"MEDIUM",IF(V377&lt;=500,"HIGH",IF(V377&gt;500,"SUPER HIGH",)))))),"")</f>
        <v>MICRO</v>
      </c>
    </row>
    <row r="378" ht="29.25" customHeight="1" outlineLevel="1" spans="1:43">
      <c r="A378" s="363" t="s">
        <v>294</v>
      </c>
      <c r="B378" s="292">
        <v>0.458344907407407</v>
      </c>
      <c r="C378" s="293" t="str">
        <f t="shared" ref="C378:G378" si="784">TEXT(IF($B378=0," ",$B378-C$6),"hh:mm am/pm")</f>
        <v>09:00 001/p1</v>
      </c>
      <c r="D378" s="293" t="str">
        <f t="shared" si="784"/>
        <v>07:00 001/p1</v>
      </c>
      <c r="E378" s="293" t="str">
        <f t="shared" si="784"/>
        <v>08:00 001/p1</v>
      </c>
      <c r="F378" s="293" t="str">
        <f t="shared" si="784"/>
        <v>09:00 001/p1</v>
      </c>
      <c r="G378" s="293" t="str">
        <f t="shared" si="784"/>
        <v>10:00 001/p1</v>
      </c>
      <c r="H378" s="293" t="str">
        <f t="shared" ref="H378:I378" si="785">TEXT(IF($B378=0," ",$B378+H$6),"hh:mm am/pm")</f>
        <v>17:00 001/p1</v>
      </c>
      <c r="I378" s="293" t="str">
        <f t="shared" si="785"/>
        <v>22:00 001/p1</v>
      </c>
      <c r="J378" s="29"/>
      <c r="K378" s="431"/>
      <c r="L378" s="432" t="s">
        <v>221</v>
      </c>
      <c r="M378" s="387" t="s">
        <v>196</v>
      </c>
      <c r="N378" s="442" t="s">
        <v>57</v>
      </c>
      <c r="O378" s="443" t="s">
        <v>74</v>
      </c>
      <c r="P378" s="444" t="s">
        <v>59</v>
      </c>
      <c r="Q378" s="445">
        <f>40*3</f>
        <v>120</v>
      </c>
      <c r="R378" s="446" t="s">
        <v>60</v>
      </c>
      <c r="S378" s="447"/>
      <c r="T378" s="446">
        <v>0.1</v>
      </c>
      <c r="U378" s="442" t="s">
        <v>62</v>
      </c>
      <c r="V378" s="442">
        <v>1</v>
      </c>
      <c r="W378" s="442">
        <v>1</v>
      </c>
      <c r="X378" s="499"/>
      <c r="Y378" s="449" t="s">
        <v>79</v>
      </c>
      <c r="Z378" s="442">
        <v>3</v>
      </c>
      <c r="AA378" s="450">
        <v>50000</v>
      </c>
      <c r="AB378" s="450" t="s">
        <v>65</v>
      </c>
      <c r="AC378" s="446">
        <v>0.05</v>
      </c>
      <c r="AD378" s="446">
        <v>0</v>
      </c>
      <c r="AE378" s="451" t="s">
        <v>66</v>
      </c>
      <c r="AF378" s="448">
        <v>30000</v>
      </c>
      <c r="AG378" s="452">
        <v>7</v>
      </c>
      <c r="AH378" s="452">
        <v>6</v>
      </c>
      <c r="AI378" s="452">
        <v>5</v>
      </c>
      <c r="AJ378" s="451">
        <v>13</v>
      </c>
      <c r="AK378" s="453" t="s">
        <v>67</v>
      </c>
      <c r="AL378" s="454" t="s">
        <v>68</v>
      </c>
      <c r="AM378" s="455" t="s">
        <v>197</v>
      </c>
      <c r="AN378" s="455" t="s">
        <v>170</v>
      </c>
      <c r="AO378" s="314">
        <f t="shared" si="781"/>
        <v>0.525011574074074</v>
      </c>
      <c r="AP378" s="315">
        <f t="shared" si="782"/>
        <v>127</v>
      </c>
      <c r="AQ378" s="316" t="str">
        <f t="shared" si="783"/>
        <v>MICRO</v>
      </c>
    </row>
    <row r="379" ht="29.25" customHeight="1" outlineLevel="1" spans="1:43">
      <c r="B379" s="317">
        <v>0.541678240740741</v>
      </c>
      <c r="C379" s="293" t="str">
        <f t="shared" ref="C379:G379" si="786">TEXT(IF($B379=0," ",$B379-C$6),"hh:mm am/pm")</f>
        <v>11:00 001/p1</v>
      </c>
      <c r="D379" s="293" t="str">
        <f t="shared" si="786"/>
        <v>09:00 001/p1</v>
      </c>
      <c r="E379" s="293" t="str">
        <f t="shared" si="786"/>
        <v>10:00 001/p1</v>
      </c>
      <c r="F379" s="293" t="str">
        <f t="shared" si="786"/>
        <v>11:00 001/p1</v>
      </c>
      <c r="G379" s="293" t="str">
        <f t="shared" si="786"/>
        <v>12:00 001/p1</v>
      </c>
      <c r="H379" s="293" t="str">
        <f t="shared" ref="H379:I379" si="787">TEXT(IF($B379=0," ",$B379+H$6),"hh:mm am/pm")</f>
        <v>19:00 001/p1</v>
      </c>
      <c r="I379" s="293" t="str">
        <f t="shared" si="787"/>
        <v>00:00 001/p1</v>
      </c>
      <c r="J379" s="29"/>
      <c r="K379" s="431"/>
      <c r="L379" s="432" t="s">
        <v>222</v>
      </c>
      <c r="M379" s="387" t="s">
        <v>196</v>
      </c>
      <c r="N379" s="442" t="s">
        <v>57</v>
      </c>
      <c r="O379" s="443" t="s">
        <v>74</v>
      </c>
      <c r="P379" s="444" t="s">
        <v>59</v>
      </c>
      <c r="Q379" s="445">
        <f>40*4</f>
        <v>160</v>
      </c>
      <c r="R379" s="414" t="s">
        <v>60</v>
      </c>
      <c r="S379" s="413"/>
      <c r="T379" s="414">
        <v>0.1</v>
      </c>
      <c r="U379" s="409" t="s">
        <v>62</v>
      </c>
      <c r="V379" s="442">
        <v>2</v>
      </c>
      <c r="W379" s="442">
        <v>2</v>
      </c>
      <c r="X379" s="415"/>
      <c r="Y379" s="416" t="s">
        <v>79</v>
      </c>
      <c r="Z379" s="409">
        <v>3</v>
      </c>
      <c r="AA379" s="417">
        <v>50000</v>
      </c>
      <c r="AB379" s="417" t="s">
        <v>65</v>
      </c>
      <c r="AC379" s="414">
        <v>0.05</v>
      </c>
      <c r="AD379" s="414">
        <v>0</v>
      </c>
      <c r="AE379" s="418" t="s">
        <v>66</v>
      </c>
      <c r="AF379" s="419">
        <v>30000</v>
      </c>
      <c r="AG379" s="420">
        <v>7</v>
      </c>
      <c r="AH379" s="452">
        <v>6</v>
      </c>
      <c r="AI379" s="452">
        <v>5</v>
      </c>
      <c r="AJ379" s="418">
        <v>13</v>
      </c>
      <c r="AK379" s="421" t="s">
        <v>67</v>
      </c>
      <c r="AL379" s="428" t="s">
        <v>68</v>
      </c>
      <c r="AM379" s="422" t="s">
        <v>197</v>
      </c>
      <c r="AN379" s="422" t="s">
        <v>170</v>
      </c>
      <c r="AO379" s="314">
        <f t="shared" si="781"/>
        <v>0.608344907407407</v>
      </c>
      <c r="AP379" s="315">
        <f t="shared" si="782"/>
        <v>85</v>
      </c>
      <c r="AQ379" s="316" t="str">
        <f t="shared" si="783"/>
        <v>MICRO</v>
      </c>
    </row>
    <row r="380" ht="29.25" customHeight="1" outlineLevel="1" spans="1:43">
      <c r="B380" s="317">
        <v>0.625011574074074</v>
      </c>
      <c r="C380" s="293" t="str">
        <f t="shared" ref="C380:G380" si="788">TEXT(IF($B380=0," ",$B380-C$6),"hh:mm am/pm")</f>
        <v>13:00 001/p1</v>
      </c>
      <c r="D380" s="293" t="str">
        <f t="shared" si="788"/>
        <v>11:00 001/p1</v>
      </c>
      <c r="E380" s="293" t="str">
        <f t="shared" si="788"/>
        <v>12:00 001/p1</v>
      </c>
      <c r="F380" s="293" t="str">
        <f t="shared" si="788"/>
        <v>13:00 001/p1</v>
      </c>
      <c r="G380" s="293" t="str">
        <f t="shared" si="788"/>
        <v>14:00 001/p1</v>
      </c>
      <c r="H380" s="293" t="str">
        <f t="shared" ref="H380:I380" si="789">TEXT(IF($B380=0," ",$B380+H$6),"hh:mm am/pm")</f>
        <v>21:00 001/p1</v>
      </c>
      <c r="I380" s="293" t="str">
        <f t="shared" si="789"/>
        <v>02:00 001/p1</v>
      </c>
      <c r="J380" s="29"/>
      <c r="K380" s="431"/>
      <c r="L380" s="432" t="s">
        <v>223</v>
      </c>
      <c r="M380" s="387" t="s">
        <v>196</v>
      </c>
      <c r="N380" s="442" t="s">
        <v>57</v>
      </c>
      <c r="O380" s="443" t="s">
        <v>74</v>
      </c>
      <c r="P380" s="444" t="s">
        <v>59</v>
      </c>
      <c r="Q380" s="445">
        <f t="shared" ref="Q380:Q382" si="790">40*5</f>
        <v>200</v>
      </c>
      <c r="R380" s="414" t="s">
        <v>60</v>
      </c>
      <c r="S380" s="413"/>
      <c r="T380" s="414">
        <v>0.1</v>
      </c>
      <c r="U380" s="409" t="s">
        <v>62</v>
      </c>
      <c r="V380" s="442">
        <v>2</v>
      </c>
      <c r="W380" s="442">
        <v>2</v>
      </c>
      <c r="X380" s="415"/>
      <c r="Y380" s="416" t="s">
        <v>79</v>
      </c>
      <c r="Z380" s="409">
        <v>3</v>
      </c>
      <c r="AA380" s="417">
        <v>50000</v>
      </c>
      <c r="AB380" s="417" t="s">
        <v>65</v>
      </c>
      <c r="AC380" s="414">
        <v>0.05</v>
      </c>
      <c r="AD380" s="414">
        <v>0</v>
      </c>
      <c r="AE380" s="418" t="s">
        <v>66</v>
      </c>
      <c r="AF380" s="419">
        <v>30000</v>
      </c>
      <c r="AG380" s="420">
        <v>7</v>
      </c>
      <c r="AH380" s="452">
        <v>6</v>
      </c>
      <c r="AI380" s="452">
        <v>5</v>
      </c>
      <c r="AJ380" s="418">
        <v>13</v>
      </c>
      <c r="AK380" s="421" t="s">
        <v>67</v>
      </c>
      <c r="AL380" s="428" t="s">
        <v>68</v>
      </c>
      <c r="AM380" s="422" t="s">
        <v>197</v>
      </c>
      <c r="AN380" s="422" t="s">
        <v>170</v>
      </c>
      <c r="AO380" s="314">
        <f t="shared" si="781"/>
        <v>0.691678240740741</v>
      </c>
      <c r="AP380" s="315">
        <f t="shared" si="782"/>
        <v>106</v>
      </c>
      <c r="AQ380" s="316" t="str">
        <f t="shared" si="783"/>
        <v>MICRO</v>
      </c>
    </row>
    <row r="381" ht="29.25" customHeight="1" outlineLevel="1" spans="1:43">
      <c r="A381" s="363" t="s">
        <v>294</v>
      </c>
      <c r="B381" s="317">
        <v>0.708344907407407</v>
      </c>
      <c r="C381" s="293" t="str">
        <f t="shared" ref="C381:G381" si="791">TEXT(IF($B381=0," ",$B381-C$6),"hh:mm am/pm")</f>
        <v>15:00 001/p1</v>
      </c>
      <c r="D381" s="293" t="str">
        <f t="shared" si="791"/>
        <v>13:00 001/p1</v>
      </c>
      <c r="E381" s="293" t="str">
        <f t="shared" si="791"/>
        <v>14:00 001/p1</v>
      </c>
      <c r="F381" s="293" t="str">
        <f t="shared" si="791"/>
        <v>15:00 001/p1</v>
      </c>
      <c r="G381" s="293" t="str">
        <f t="shared" si="791"/>
        <v>16:00 001/p1</v>
      </c>
      <c r="H381" s="293" t="str">
        <f t="shared" ref="H381:I381" si="792">TEXT(IF($B381=0," ",$B381+H$6),"hh:mm am/pm")</f>
        <v>23:00 001/p1</v>
      </c>
      <c r="I381" s="293" t="str">
        <f t="shared" si="792"/>
        <v>04:00 001/p1</v>
      </c>
      <c r="J381" s="29"/>
      <c r="K381" s="431"/>
      <c r="L381" s="432" t="s">
        <v>223</v>
      </c>
      <c r="M381" s="387" t="s">
        <v>196</v>
      </c>
      <c r="N381" s="442" t="s">
        <v>57</v>
      </c>
      <c r="O381" s="443" t="s">
        <v>74</v>
      </c>
      <c r="P381" s="444" t="s">
        <v>59</v>
      </c>
      <c r="Q381" s="445">
        <f t="shared" si="790"/>
        <v>200</v>
      </c>
      <c r="R381" s="414" t="s">
        <v>60</v>
      </c>
      <c r="S381" s="413"/>
      <c r="T381" s="414">
        <v>0.1</v>
      </c>
      <c r="U381" s="409" t="s">
        <v>62</v>
      </c>
      <c r="V381" s="442">
        <v>2</v>
      </c>
      <c r="W381" s="442">
        <v>2</v>
      </c>
      <c r="X381" s="415"/>
      <c r="Y381" s="416" t="s">
        <v>79</v>
      </c>
      <c r="Z381" s="409">
        <v>3</v>
      </c>
      <c r="AA381" s="417">
        <v>50000</v>
      </c>
      <c r="AB381" s="417" t="s">
        <v>65</v>
      </c>
      <c r="AC381" s="414">
        <v>0.05</v>
      </c>
      <c r="AD381" s="414">
        <v>0</v>
      </c>
      <c r="AE381" s="418" t="s">
        <v>66</v>
      </c>
      <c r="AF381" s="419">
        <v>30000</v>
      </c>
      <c r="AG381" s="420">
        <v>7</v>
      </c>
      <c r="AH381" s="452">
        <v>6</v>
      </c>
      <c r="AI381" s="452">
        <v>5</v>
      </c>
      <c r="AJ381" s="418">
        <v>13</v>
      </c>
      <c r="AK381" s="421" t="s">
        <v>67</v>
      </c>
      <c r="AL381" s="428" t="s">
        <v>68</v>
      </c>
      <c r="AM381" s="422" t="s">
        <v>197</v>
      </c>
      <c r="AN381" s="422" t="s">
        <v>170</v>
      </c>
      <c r="AO381" s="314">
        <f t="shared" si="781"/>
        <v>0.775011574074074</v>
      </c>
      <c r="AP381" s="315">
        <f t="shared" si="782"/>
        <v>106</v>
      </c>
      <c r="AQ381" s="316" t="str">
        <f t="shared" si="783"/>
        <v>MICRO</v>
      </c>
    </row>
    <row r="382" ht="29.25" customHeight="1" outlineLevel="1" spans="1:43">
      <c r="B382" s="317">
        <v>0.791678240740741</v>
      </c>
      <c r="C382" s="293" t="str">
        <f t="shared" ref="C382:G382" si="793">TEXT(IF($B382=0," ",$B382-C$6),"hh:mm am/pm")</f>
        <v>17:00 001/p1</v>
      </c>
      <c r="D382" s="293" t="str">
        <f t="shared" si="793"/>
        <v>15:00 001/p1</v>
      </c>
      <c r="E382" s="293" t="str">
        <f t="shared" si="793"/>
        <v>16:00 001/p1</v>
      </c>
      <c r="F382" s="293" t="str">
        <f t="shared" si="793"/>
        <v>17:00 001/p1</v>
      </c>
      <c r="G382" s="293" t="str">
        <f t="shared" si="793"/>
        <v>18:00 001/p1</v>
      </c>
      <c r="H382" s="293" t="str">
        <f t="shared" ref="H382:I382" si="794">TEXT(IF($B382=0," ",$B382+H$6),"hh:mm am/pm")</f>
        <v>01:00 001/p1</v>
      </c>
      <c r="I382" s="293" t="str">
        <f t="shared" si="794"/>
        <v>06:00 001/p1</v>
      </c>
      <c r="J382" s="29"/>
      <c r="K382" s="431"/>
      <c r="L382" s="432" t="s">
        <v>223</v>
      </c>
      <c r="M382" s="387" t="s">
        <v>196</v>
      </c>
      <c r="N382" s="442" t="s">
        <v>57</v>
      </c>
      <c r="O382" s="443" t="s">
        <v>74</v>
      </c>
      <c r="P382" s="444" t="s">
        <v>59</v>
      </c>
      <c r="Q382" s="445">
        <f t="shared" si="790"/>
        <v>200</v>
      </c>
      <c r="R382" s="414" t="s">
        <v>60</v>
      </c>
      <c r="S382" s="413"/>
      <c r="T382" s="414">
        <v>0.1</v>
      </c>
      <c r="U382" s="409" t="s">
        <v>62</v>
      </c>
      <c r="V382" s="442">
        <v>2</v>
      </c>
      <c r="W382" s="442">
        <v>2</v>
      </c>
      <c r="X382" s="415"/>
      <c r="Y382" s="416" t="s">
        <v>79</v>
      </c>
      <c r="Z382" s="409">
        <v>3</v>
      </c>
      <c r="AA382" s="417">
        <v>50000</v>
      </c>
      <c r="AB382" s="417" t="s">
        <v>65</v>
      </c>
      <c r="AC382" s="414">
        <v>0.05</v>
      </c>
      <c r="AD382" s="414">
        <v>0</v>
      </c>
      <c r="AE382" s="418" t="s">
        <v>66</v>
      </c>
      <c r="AF382" s="419">
        <v>30000</v>
      </c>
      <c r="AG382" s="420">
        <v>7</v>
      </c>
      <c r="AH382" s="452">
        <v>6</v>
      </c>
      <c r="AI382" s="452">
        <v>5</v>
      </c>
      <c r="AJ382" s="418">
        <v>13</v>
      </c>
      <c r="AK382" s="421" t="s">
        <v>67</v>
      </c>
      <c r="AL382" s="428" t="s">
        <v>68</v>
      </c>
      <c r="AM382" s="422" t="s">
        <v>197</v>
      </c>
      <c r="AN382" s="422" t="s">
        <v>170</v>
      </c>
      <c r="AO382" s="314">
        <f t="shared" si="781"/>
        <v>0.858344907407407</v>
      </c>
      <c r="AP382" s="315">
        <f t="shared" si="782"/>
        <v>106</v>
      </c>
      <c r="AQ382" s="316" t="str">
        <f t="shared" si="783"/>
        <v>MICRO</v>
      </c>
    </row>
    <row r="383" ht="29.25" customHeight="1" outlineLevel="1" spans="1:43">
      <c r="B383" s="317">
        <v>0.875011574074074</v>
      </c>
      <c r="C383" s="293" t="str">
        <f t="shared" ref="C383:G383" si="795">TEXT(IF($B383=0," ",$B383-C$6),"hh:mm am/pm")</f>
        <v>19:00 001/p1</v>
      </c>
      <c r="D383" s="293" t="str">
        <f t="shared" si="795"/>
        <v>17:00 001/p1</v>
      </c>
      <c r="E383" s="293" t="str">
        <f t="shared" si="795"/>
        <v>18:00 001/p1</v>
      </c>
      <c r="F383" s="293" t="str">
        <f t="shared" si="795"/>
        <v>19:00 001/p1</v>
      </c>
      <c r="G383" s="293" t="str">
        <f t="shared" si="795"/>
        <v>20:00 001/p1</v>
      </c>
      <c r="H383" s="293" t="str">
        <f t="shared" ref="H383:I383" si="796">TEXT(IF($B383=0," ",$B383+H$6),"hh:mm am/pm")</f>
        <v>03:00 001/p1</v>
      </c>
      <c r="I383" s="293" t="str">
        <f t="shared" si="796"/>
        <v>08:00 001/p1</v>
      </c>
      <c r="J383" s="29"/>
      <c r="K383" s="431"/>
      <c r="L383" s="432" t="s">
        <v>351</v>
      </c>
      <c r="M383" s="387" t="s">
        <v>196</v>
      </c>
      <c r="N383" s="442" t="s">
        <v>57</v>
      </c>
      <c r="O383" s="443" t="s">
        <v>74</v>
      </c>
      <c r="P383" s="444" t="s">
        <v>59</v>
      </c>
      <c r="Q383" s="445">
        <f>40*10</f>
        <v>400</v>
      </c>
      <c r="R383" s="414" t="s">
        <v>60</v>
      </c>
      <c r="S383" s="413"/>
      <c r="T383" s="414">
        <v>0.1</v>
      </c>
      <c r="U383" s="409" t="s">
        <v>62</v>
      </c>
      <c r="V383" s="442">
        <v>0</v>
      </c>
      <c r="W383" s="442">
        <v>1</v>
      </c>
      <c r="X383" s="415"/>
      <c r="Y383" s="416" t="s">
        <v>79</v>
      </c>
      <c r="Z383" s="409">
        <v>3</v>
      </c>
      <c r="AA383" s="417">
        <v>50000</v>
      </c>
      <c r="AB383" s="417" t="s">
        <v>65</v>
      </c>
      <c r="AC383" s="414">
        <v>0.05</v>
      </c>
      <c r="AD383" s="414">
        <v>0</v>
      </c>
      <c r="AE383" s="418" t="s">
        <v>66</v>
      </c>
      <c r="AF383" s="419">
        <v>30000</v>
      </c>
      <c r="AG383" s="420">
        <v>7</v>
      </c>
      <c r="AH383" s="452">
        <v>6</v>
      </c>
      <c r="AI383" s="452">
        <v>5</v>
      </c>
      <c r="AJ383" s="418">
        <v>13</v>
      </c>
      <c r="AK383" s="421" t="s">
        <v>67</v>
      </c>
      <c r="AL383" s="428" t="s">
        <v>68</v>
      </c>
      <c r="AM383" s="422" t="s">
        <v>197</v>
      </c>
      <c r="AN383" s="422" t="s">
        <v>170</v>
      </c>
      <c r="AO383" s="314">
        <f t="shared" si="781"/>
        <v>0.941678240740741</v>
      </c>
      <c r="AP383" s="315" t="e">
        <f t="shared" si="782"/>
        <v>#DIV/0!</v>
      </c>
      <c r="AQ383" s="316" t="str">
        <f t="shared" si="783"/>
        <v> </v>
      </c>
    </row>
    <row r="384" ht="29.25" customHeight="1" outlineLevel="1" spans="1:43">
      <c r="A384" s="363" t="s">
        <v>294</v>
      </c>
      <c r="B384" s="317">
        <v>0.958344907407407</v>
      </c>
      <c r="C384" s="293" t="str">
        <f t="shared" ref="C384:G384" si="797">TEXT(IF($B384=0," ",$B384-C$6),"hh:mm am/pm")</f>
        <v>21:00 001/p1</v>
      </c>
      <c r="D384" s="293" t="str">
        <f t="shared" si="797"/>
        <v>19:00 001/p1</v>
      </c>
      <c r="E384" s="293" t="str">
        <f t="shared" si="797"/>
        <v>20:00 001/p1</v>
      </c>
      <c r="F384" s="293" t="str">
        <f t="shared" si="797"/>
        <v>21:00 001/p1</v>
      </c>
      <c r="G384" s="293" t="str">
        <f t="shared" si="797"/>
        <v>22:00 001/p1</v>
      </c>
      <c r="H384" s="293" t="str">
        <f t="shared" ref="H384:I384" si="798">TEXT(IF($B384=0," ",$B384+H$6),"hh:mm am/pm")</f>
        <v>05:00 001/p1</v>
      </c>
      <c r="I384" s="293" t="str">
        <f t="shared" si="798"/>
        <v>10:00 001/p1</v>
      </c>
      <c r="J384" s="124"/>
      <c r="K384" s="406"/>
      <c r="L384" s="407" t="s">
        <v>220</v>
      </c>
      <c r="M384" s="387" t="s">
        <v>196</v>
      </c>
      <c r="N384" s="442" t="s">
        <v>57</v>
      </c>
      <c r="O384" s="443" t="s">
        <v>74</v>
      </c>
      <c r="P384" s="444" t="s">
        <v>59</v>
      </c>
      <c r="Q384" s="445">
        <f>40*2</f>
        <v>80</v>
      </c>
      <c r="R384" s="446" t="s">
        <v>60</v>
      </c>
      <c r="S384" s="447"/>
      <c r="T384" s="446">
        <v>0.1</v>
      </c>
      <c r="U384" s="442" t="s">
        <v>62</v>
      </c>
      <c r="V384" s="442">
        <v>0.6</v>
      </c>
      <c r="W384" s="442">
        <v>1</v>
      </c>
      <c r="X384" s="499"/>
      <c r="Y384" s="449" t="s">
        <v>79</v>
      </c>
      <c r="Z384" s="442">
        <v>2</v>
      </c>
      <c r="AA384" s="450">
        <v>50000</v>
      </c>
      <c r="AB384" s="450" t="s">
        <v>65</v>
      </c>
      <c r="AC384" s="446">
        <v>0.05</v>
      </c>
      <c r="AD384" s="446">
        <v>0</v>
      </c>
      <c r="AE384" s="451" t="s">
        <v>66</v>
      </c>
      <c r="AF384" s="448">
        <v>30000</v>
      </c>
      <c r="AG384" s="452">
        <v>6</v>
      </c>
      <c r="AH384" s="452">
        <v>5</v>
      </c>
      <c r="AI384" s="452">
        <v>5</v>
      </c>
      <c r="AJ384" s="451">
        <v>13</v>
      </c>
      <c r="AK384" s="453" t="s">
        <v>67</v>
      </c>
      <c r="AL384" s="454" t="s">
        <v>68</v>
      </c>
      <c r="AM384" s="455" t="s">
        <v>197</v>
      </c>
      <c r="AN384" s="455" t="s">
        <v>170</v>
      </c>
      <c r="AO384" s="314">
        <f t="shared" si="781"/>
        <v>1.0159837962963</v>
      </c>
      <c r="AP384" s="315">
        <f t="shared" si="782"/>
        <v>141</v>
      </c>
      <c r="AQ384" s="316" t="str">
        <f t="shared" si="783"/>
        <v>MICRO</v>
      </c>
    </row>
    <row r="385" ht="29.25" customHeight="1" outlineLevel="1" spans="1:43">
      <c r="B385" s="383"/>
      <c r="C385" s="293" t="str">
        <f t="shared" ref="C385:G385" si="799">TEXT(IF($B385=0," ",$B385-C$6),"hh:mm am/pm")</f>
        <v> </v>
      </c>
      <c r="D385" s="293" t="str">
        <f t="shared" si="799"/>
        <v> </v>
      </c>
      <c r="E385" s="293" t="str">
        <f t="shared" si="799"/>
        <v> </v>
      </c>
      <c r="F385" s="293" t="str">
        <f t="shared" si="799"/>
        <v> </v>
      </c>
      <c r="G385" s="293" t="str">
        <f t="shared" si="799"/>
        <v> </v>
      </c>
      <c r="H385" s="293" t="str">
        <f t="shared" ref="H385:I385" si="800">TEXT(IF($B385=0," ",$B385+H$6),"hh:mm am/pm")</f>
        <v> </v>
      </c>
      <c r="I385" s="293" t="str">
        <f t="shared" si="800"/>
        <v> </v>
      </c>
      <c r="J385" s="344"/>
      <c r="K385" s="367"/>
      <c r="L385" s="367"/>
      <c r="M385" s="435"/>
      <c r="N385" s="436"/>
      <c r="O385" s="437"/>
      <c r="P385" s="437"/>
      <c r="Q385" s="436"/>
      <c r="R385" s="436"/>
      <c r="S385" s="436"/>
      <c r="T385" s="438"/>
      <c r="U385" s="436"/>
      <c r="V385" s="436"/>
      <c r="W385" s="436"/>
      <c r="X385" s="436"/>
      <c r="Y385" s="366"/>
      <c r="Z385" s="439"/>
      <c r="AA385" s="439"/>
      <c r="AB385" s="439"/>
      <c r="AC385" s="438"/>
      <c r="AD385" s="438"/>
      <c r="AE385" s="366"/>
      <c r="AF385" s="439"/>
      <c r="AG385" s="366"/>
      <c r="AH385" s="366"/>
      <c r="AI385" s="366"/>
      <c r="AJ385" s="366"/>
      <c r="AK385" s="440"/>
      <c r="AL385" s="440"/>
      <c r="AM385" s="440"/>
      <c r="AN385" s="440"/>
      <c r="AO385" s="383"/>
      <c r="AP385" s="374"/>
      <c r="AQ385" s="383"/>
    </row>
    <row r="386" ht="29.25" customHeight="1" outlineLevel="1" spans="1:43">
      <c r="B386" s="292">
        <v>0.500011574074074</v>
      </c>
      <c r="C386" s="293" t="str">
        <f t="shared" ref="C386:G386" si="801">TEXT(IF($B386=0," ",$B386-C$6),"hh:mm am/pm")</f>
        <v>10:00 001/p1</v>
      </c>
      <c r="D386" s="293" t="str">
        <f t="shared" si="801"/>
        <v>08:00 001/p1</v>
      </c>
      <c r="E386" s="293" t="str">
        <f t="shared" si="801"/>
        <v>09:00 001/p1</v>
      </c>
      <c r="F386" s="293" t="str">
        <f t="shared" si="801"/>
        <v>10:00 001/p1</v>
      </c>
      <c r="G386" s="293" t="str">
        <f t="shared" si="801"/>
        <v>11:00 001/p1</v>
      </c>
      <c r="H386" s="293" t="str">
        <f t="shared" ref="H386:I386" si="802">TEXT(IF($B386=0," ",$B386+H$6),"hh:mm am/pm")</f>
        <v>18:00 001/p1</v>
      </c>
      <c r="I386" s="293" t="str">
        <f t="shared" si="802"/>
        <v>23:00 001/p1</v>
      </c>
      <c r="J386" s="423" t="s">
        <v>215</v>
      </c>
      <c r="K386" s="424"/>
      <c r="L386" s="425" t="s">
        <v>216</v>
      </c>
      <c r="M386" s="387" t="s">
        <v>196</v>
      </c>
      <c r="N386" s="442" t="s">
        <v>57</v>
      </c>
      <c r="O386" s="443" t="s">
        <v>74</v>
      </c>
      <c r="P386" s="444" t="s">
        <v>59</v>
      </c>
      <c r="Q386" s="445">
        <f t="shared" ref="Q386:Q391" si="803">15*4</f>
        <v>60</v>
      </c>
      <c r="R386" s="446" t="s">
        <v>60</v>
      </c>
      <c r="S386" s="447"/>
      <c r="T386" s="446">
        <v>0.1</v>
      </c>
      <c r="U386" s="442" t="s">
        <v>62</v>
      </c>
      <c r="V386" s="442">
        <v>0.6</v>
      </c>
      <c r="W386" s="442">
        <v>1</v>
      </c>
      <c r="X386" s="448">
        <v>25000</v>
      </c>
      <c r="Y386" s="449" t="s">
        <v>79</v>
      </c>
      <c r="Z386" s="442">
        <v>1</v>
      </c>
      <c r="AA386" s="450">
        <v>40000</v>
      </c>
      <c r="AB386" s="450" t="s">
        <v>65</v>
      </c>
      <c r="AC386" s="446">
        <v>0.05</v>
      </c>
      <c r="AD386" s="446">
        <v>0</v>
      </c>
      <c r="AE386" s="451" t="s">
        <v>66</v>
      </c>
      <c r="AF386" s="448">
        <v>20000</v>
      </c>
      <c r="AG386" s="452">
        <v>7</v>
      </c>
      <c r="AH386" s="452">
        <v>6</v>
      </c>
      <c r="AI386" s="452">
        <v>5</v>
      </c>
      <c r="AJ386" s="451">
        <v>13</v>
      </c>
      <c r="AK386" s="453" t="s">
        <v>67</v>
      </c>
      <c r="AL386" s="454" t="s">
        <v>68</v>
      </c>
      <c r="AM386" s="455" t="s">
        <v>197</v>
      </c>
      <c r="AN386" s="455" t="s">
        <v>198</v>
      </c>
      <c r="AO386" s="314">
        <f t="shared" ref="AO386:AO391" si="804">IF(B386=0," ",TIME(,ROUNDDOWN(AG386*AJ386/60,0)*5+(AG386*AJ386),)+B386)</f>
        <v>0.566678240740741</v>
      </c>
      <c r="AP386" s="315">
        <f t="shared" ref="AP386:AP391" si="805">IF(Q386=0,,ROUNDUP(Q386/(V386*(1-AC386-AD386)),0))</f>
        <v>106</v>
      </c>
      <c r="AQ386" s="316" t="str">
        <f t="shared" ref="AQ386:AQ391" si="806">IFERROR(IF(V386=0," ",IF(V386&lt;=5,"MICRO",IF(V386&lt;=19.8,"LOW",IF(V386&lt;=99.8,"MEDIUM",IF(V386&lt;=500,"HIGH",IF(V386&gt;500,"SUPER HIGH",)))))),"")</f>
        <v>MICRO</v>
      </c>
    </row>
    <row r="387" ht="29.25" customHeight="1" outlineLevel="1" spans="1:43">
      <c r="A387" s="363" t="s">
        <v>294</v>
      </c>
      <c r="B387" s="292">
        <v>0.583344907407407</v>
      </c>
      <c r="C387" s="293" t="str">
        <f t="shared" ref="C387:G387" si="807">TEXT(IF($B387=0," ",$B387-C$6),"hh:mm am/pm")</f>
        <v>12:00 001/p1</v>
      </c>
      <c r="D387" s="293" t="str">
        <f t="shared" si="807"/>
        <v>10:00 001/p1</v>
      </c>
      <c r="E387" s="293" t="str">
        <f t="shared" si="807"/>
        <v>11:00 001/p1</v>
      </c>
      <c r="F387" s="293" t="str">
        <f t="shared" si="807"/>
        <v>12:00 001/p1</v>
      </c>
      <c r="G387" s="293" t="str">
        <f t="shared" si="807"/>
        <v>13:00 001/p1</v>
      </c>
      <c r="H387" s="293" t="str">
        <f t="shared" ref="H387:I387" si="808">TEXT(IF($B387=0," ",$B387+H$6),"hh:mm am/pm")</f>
        <v>20:00 001/p1</v>
      </c>
      <c r="I387" s="293" t="str">
        <f t="shared" si="808"/>
        <v>01:00 001/p1</v>
      </c>
      <c r="J387" s="29"/>
      <c r="K387" s="431"/>
      <c r="L387" s="432" t="s">
        <v>216</v>
      </c>
      <c r="M387" s="387" t="s">
        <v>196</v>
      </c>
      <c r="N387" s="442" t="s">
        <v>57</v>
      </c>
      <c r="O387" s="443" t="s">
        <v>74</v>
      </c>
      <c r="P387" s="444" t="s">
        <v>59</v>
      </c>
      <c r="Q387" s="445">
        <f t="shared" si="803"/>
        <v>60</v>
      </c>
      <c r="R387" s="446" t="s">
        <v>60</v>
      </c>
      <c r="S387" s="447"/>
      <c r="T387" s="446">
        <v>0.1</v>
      </c>
      <c r="U387" s="442" t="s">
        <v>62</v>
      </c>
      <c r="V387" s="442">
        <v>0.6</v>
      </c>
      <c r="W387" s="442">
        <v>1</v>
      </c>
      <c r="X387" s="448">
        <v>25000</v>
      </c>
      <c r="Y387" s="449" t="s">
        <v>79</v>
      </c>
      <c r="Z387" s="442">
        <v>1</v>
      </c>
      <c r="AA387" s="450">
        <v>40000</v>
      </c>
      <c r="AB387" s="450" t="s">
        <v>65</v>
      </c>
      <c r="AC387" s="446">
        <v>0.05</v>
      </c>
      <c r="AD387" s="446">
        <v>0</v>
      </c>
      <c r="AE387" s="451" t="s">
        <v>66</v>
      </c>
      <c r="AF387" s="448">
        <v>20000</v>
      </c>
      <c r="AG387" s="452">
        <v>7</v>
      </c>
      <c r="AH387" s="452">
        <v>6</v>
      </c>
      <c r="AI387" s="452">
        <v>5</v>
      </c>
      <c r="AJ387" s="451">
        <v>13</v>
      </c>
      <c r="AK387" s="453" t="s">
        <v>67</v>
      </c>
      <c r="AL387" s="454" t="s">
        <v>68</v>
      </c>
      <c r="AM387" s="455" t="s">
        <v>197</v>
      </c>
      <c r="AN387" s="455" t="s">
        <v>198</v>
      </c>
      <c r="AO387" s="314">
        <f t="shared" si="804"/>
        <v>0.650011574074074</v>
      </c>
      <c r="AP387" s="315">
        <f t="shared" si="805"/>
        <v>106</v>
      </c>
      <c r="AQ387" s="316" t="str">
        <f t="shared" si="806"/>
        <v>MICRO</v>
      </c>
    </row>
    <row r="388" ht="29.25" customHeight="1" outlineLevel="1" spans="1:43">
      <c r="B388" s="292">
        <v>0.666678240740741</v>
      </c>
      <c r="C388" s="293" t="str">
        <f t="shared" ref="C388:G388" si="809">TEXT(IF($B388=0," ",$B388-C$6),"hh:mm am/pm")</f>
        <v>14:00 001/p1</v>
      </c>
      <c r="D388" s="293" t="str">
        <f t="shared" si="809"/>
        <v>12:00 001/p1</v>
      </c>
      <c r="E388" s="293" t="str">
        <f t="shared" si="809"/>
        <v>13:00 001/p1</v>
      </c>
      <c r="F388" s="293" t="str">
        <f t="shared" si="809"/>
        <v>14:00 001/p1</v>
      </c>
      <c r="G388" s="293" t="str">
        <f t="shared" si="809"/>
        <v>15:00 001/p1</v>
      </c>
      <c r="H388" s="293" t="str">
        <f t="shared" ref="H388:I388" si="810">TEXT(IF($B388=0," ",$B388+H$6),"hh:mm am/pm")</f>
        <v>22:00 001/p1</v>
      </c>
      <c r="I388" s="293" t="str">
        <f t="shared" si="810"/>
        <v>03:00 001/p1</v>
      </c>
      <c r="J388" s="29"/>
      <c r="K388" s="431"/>
      <c r="L388" s="432" t="s">
        <v>216</v>
      </c>
      <c r="M388" s="387" t="s">
        <v>196</v>
      </c>
      <c r="N388" s="442" t="s">
        <v>57</v>
      </c>
      <c r="O388" s="443" t="s">
        <v>74</v>
      </c>
      <c r="P388" s="444" t="s">
        <v>59</v>
      </c>
      <c r="Q388" s="445">
        <f t="shared" si="803"/>
        <v>60</v>
      </c>
      <c r="R388" s="446" t="s">
        <v>60</v>
      </c>
      <c r="S388" s="447"/>
      <c r="T388" s="446">
        <v>0.1</v>
      </c>
      <c r="U388" s="442" t="s">
        <v>62</v>
      </c>
      <c r="V388" s="442">
        <v>0.6</v>
      </c>
      <c r="W388" s="442">
        <v>1</v>
      </c>
      <c r="X388" s="448">
        <v>25000</v>
      </c>
      <c r="Y388" s="449" t="s">
        <v>79</v>
      </c>
      <c r="Z388" s="442">
        <v>1</v>
      </c>
      <c r="AA388" s="450">
        <v>40000</v>
      </c>
      <c r="AB388" s="450" t="s">
        <v>65</v>
      </c>
      <c r="AC388" s="446">
        <v>0.05</v>
      </c>
      <c r="AD388" s="446">
        <v>0</v>
      </c>
      <c r="AE388" s="451" t="s">
        <v>66</v>
      </c>
      <c r="AF388" s="448">
        <v>20000</v>
      </c>
      <c r="AG388" s="452">
        <v>7</v>
      </c>
      <c r="AH388" s="452">
        <v>6</v>
      </c>
      <c r="AI388" s="452">
        <v>5</v>
      </c>
      <c r="AJ388" s="451">
        <v>13</v>
      </c>
      <c r="AK388" s="453" t="s">
        <v>67</v>
      </c>
      <c r="AL388" s="454" t="s">
        <v>68</v>
      </c>
      <c r="AM388" s="455" t="s">
        <v>197</v>
      </c>
      <c r="AN388" s="455" t="s">
        <v>198</v>
      </c>
      <c r="AO388" s="314">
        <f t="shared" si="804"/>
        <v>0.733344907407407</v>
      </c>
      <c r="AP388" s="315">
        <f t="shared" si="805"/>
        <v>106</v>
      </c>
      <c r="AQ388" s="316" t="str">
        <f t="shared" si="806"/>
        <v>MICRO</v>
      </c>
    </row>
    <row r="389" ht="29.25" customHeight="1" outlineLevel="1" spans="1:43">
      <c r="B389" s="292">
        <v>0.750011574074074</v>
      </c>
      <c r="C389" s="293" t="str">
        <f t="shared" ref="C389:G389" si="811">TEXT(IF($B389=0," ",$B389-C$6),"hh:mm am/pm")</f>
        <v>16:00 001/p1</v>
      </c>
      <c r="D389" s="293" t="str">
        <f t="shared" si="811"/>
        <v>14:00 001/p1</v>
      </c>
      <c r="E389" s="293" t="str">
        <f t="shared" si="811"/>
        <v>15:00 001/p1</v>
      </c>
      <c r="F389" s="293" t="str">
        <f t="shared" si="811"/>
        <v>16:00 001/p1</v>
      </c>
      <c r="G389" s="293" t="str">
        <f t="shared" si="811"/>
        <v>17:00 001/p1</v>
      </c>
      <c r="H389" s="293" t="str">
        <f t="shared" ref="H389:I389" si="812">TEXT(IF($B389=0," ",$B389+H$6),"hh:mm am/pm")</f>
        <v>00:00 001/p1</v>
      </c>
      <c r="I389" s="293" t="str">
        <f t="shared" si="812"/>
        <v>05:00 001/p1</v>
      </c>
      <c r="J389" s="29"/>
      <c r="K389" s="431"/>
      <c r="L389" s="432" t="s">
        <v>216</v>
      </c>
      <c r="M389" s="387" t="s">
        <v>196</v>
      </c>
      <c r="N389" s="442" t="s">
        <v>57</v>
      </c>
      <c r="O389" s="443" t="s">
        <v>74</v>
      </c>
      <c r="P389" s="444" t="s">
        <v>59</v>
      </c>
      <c r="Q389" s="445">
        <f t="shared" si="803"/>
        <v>60</v>
      </c>
      <c r="R389" s="446" t="s">
        <v>60</v>
      </c>
      <c r="S389" s="447"/>
      <c r="T389" s="446">
        <v>0.1</v>
      </c>
      <c r="U389" s="442" t="s">
        <v>62</v>
      </c>
      <c r="V389" s="442">
        <v>0.6</v>
      </c>
      <c r="W389" s="442">
        <v>1</v>
      </c>
      <c r="X389" s="448">
        <v>25000</v>
      </c>
      <c r="Y389" s="449" t="s">
        <v>79</v>
      </c>
      <c r="Z389" s="442">
        <v>1</v>
      </c>
      <c r="AA389" s="450">
        <v>40000</v>
      </c>
      <c r="AB389" s="450" t="s">
        <v>65</v>
      </c>
      <c r="AC389" s="446">
        <v>0.05</v>
      </c>
      <c r="AD389" s="446">
        <v>0</v>
      </c>
      <c r="AE389" s="451" t="s">
        <v>66</v>
      </c>
      <c r="AF389" s="448">
        <v>20000</v>
      </c>
      <c r="AG389" s="452">
        <v>7</v>
      </c>
      <c r="AH389" s="452">
        <v>6</v>
      </c>
      <c r="AI389" s="452">
        <v>5</v>
      </c>
      <c r="AJ389" s="451">
        <v>13</v>
      </c>
      <c r="AK389" s="453" t="s">
        <v>67</v>
      </c>
      <c r="AL389" s="454" t="s">
        <v>68</v>
      </c>
      <c r="AM389" s="455" t="s">
        <v>197</v>
      </c>
      <c r="AN389" s="455" t="s">
        <v>198</v>
      </c>
      <c r="AO389" s="314">
        <f t="shared" si="804"/>
        <v>0.816678240740741</v>
      </c>
      <c r="AP389" s="315">
        <f t="shared" si="805"/>
        <v>106</v>
      </c>
      <c r="AQ389" s="316" t="str">
        <f t="shared" si="806"/>
        <v>MICRO</v>
      </c>
    </row>
    <row r="390" ht="29.25" customHeight="1" outlineLevel="1" spans="1:43">
      <c r="B390" s="292">
        <v>0.833344907407407</v>
      </c>
      <c r="C390" s="293" t="str">
        <f t="shared" ref="C390:G390" si="813">TEXT(IF($B390=0," ",$B390-C$6),"hh:mm am/pm")</f>
        <v>18:00 001/p1</v>
      </c>
      <c r="D390" s="293" t="str">
        <f t="shared" si="813"/>
        <v>16:00 001/p1</v>
      </c>
      <c r="E390" s="293" t="str">
        <f t="shared" si="813"/>
        <v>17:00 001/p1</v>
      </c>
      <c r="F390" s="293" t="str">
        <f t="shared" si="813"/>
        <v>18:00 001/p1</v>
      </c>
      <c r="G390" s="293" t="str">
        <f t="shared" si="813"/>
        <v>19:00 001/p1</v>
      </c>
      <c r="H390" s="293" t="str">
        <f t="shared" ref="H390:I390" si="814">TEXT(IF($B390=0," ",$B390+H$6),"hh:mm am/pm")</f>
        <v>02:00 001/p1</v>
      </c>
      <c r="I390" s="293" t="str">
        <f t="shared" si="814"/>
        <v>07:00 001/p1</v>
      </c>
      <c r="J390" s="29"/>
      <c r="K390" s="431"/>
      <c r="L390" s="432" t="s">
        <v>216</v>
      </c>
      <c r="M390" s="387" t="s">
        <v>196</v>
      </c>
      <c r="N390" s="442" t="s">
        <v>57</v>
      </c>
      <c r="O390" s="443" t="s">
        <v>74</v>
      </c>
      <c r="P390" s="444" t="s">
        <v>59</v>
      </c>
      <c r="Q390" s="445">
        <f t="shared" si="803"/>
        <v>60</v>
      </c>
      <c r="R390" s="446" t="s">
        <v>60</v>
      </c>
      <c r="S390" s="447"/>
      <c r="T390" s="446">
        <v>0.1</v>
      </c>
      <c r="U390" s="442" t="s">
        <v>62</v>
      </c>
      <c r="V390" s="442">
        <v>0.6</v>
      </c>
      <c r="W390" s="442">
        <v>1</v>
      </c>
      <c r="X390" s="448">
        <v>25000</v>
      </c>
      <c r="Y390" s="449" t="s">
        <v>79</v>
      </c>
      <c r="Z390" s="442">
        <v>1</v>
      </c>
      <c r="AA390" s="450">
        <v>40000</v>
      </c>
      <c r="AB390" s="450" t="s">
        <v>65</v>
      </c>
      <c r="AC390" s="446">
        <v>0.05</v>
      </c>
      <c r="AD390" s="446">
        <v>0</v>
      </c>
      <c r="AE390" s="451" t="s">
        <v>66</v>
      </c>
      <c r="AF390" s="448">
        <v>20000</v>
      </c>
      <c r="AG390" s="452">
        <v>7</v>
      </c>
      <c r="AH390" s="452">
        <v>6</v>
      </c>
      <c r="AI390" s="452">
        <v>5</v>
      </c>
      <c r="AJ390" s="451">
        <v>13</v>
      </c>
      <c r="AK390" s="453" t="s">
        <v>67</v>
      </c>
      <c r="AL390" s="454" t="s">
        <v>68</v>
      </c>
      <c r="AM390" s="455" t="s">
        <v>197</v>
      </c>
      <c r="AN390" s="455" t="s">
        <v>198</v>
      </c>
      <c r="AO390" s="314">
        <f t="shared" si="804"/>
        <v>0.900011574074074</v>
      </c>
      <c r="AP390" s="315">
        <f t="shared" si="805"/>
        <v>106</v>
      </c>
      <c r="AQ390" s="316" t="str">
        <f t="shared" si="806"/>
        <v>MICRO</v>
      </c>
    </row>
    <row r="391" ht="29.25" customHeight="1" outlineLevel="1" spans="1:43">
      <c r="B391" s="292">
        <v>0.916678240740741</v>
      </c>
      <c r="C391" s="293" t="str">
        <f t="shared" ref="C391:G391" si="815">TEXT(IF($B391=0," ",$B391-C$6),"hh:mm am/pm")</f>
        <v>20:00 001/p1</v>
      </c>
      <c r="D391" s="293" t="str">
        <f t="shared" si="815"/>
        <v>18:00 001/p1</v>
      </c>
      <c r="E391" s="293" t="str">
        <f t="shared" si="815"/>
        <v>19:00 001/p1</v>
      </c>
      <c r="F391" s="293" t="str">
        <f t="shared" si="815"/>
        <v>20:00 001/p1</v>
      </c>
      <c r="G391" s="293" t="str">
        <f t="shared" si="815"/>
        <v>21:00 001/p1</v>
      </c>
      <c r="H391" s="293" t="str">
        <f t="shared" ref="H391:I391" si="816">TEXT(IF($B391=0," ",$B391+H$6),"hh:mm am/pm")</f>
        <v>04:00 001/p1</v>
      </c>
      <c r="I391" s="293" t="str">
        <f t="shared" si="816"/>
        <v>09:00 001/p1</v>
      </c>
      <c r="J391" s="124"/>
      <c r="K391" s="406"/>
      <c r="L391" s="407" t="s">
        <v>216</v>
      </c>
      <c r="M391" s="387" t="s">
        <v>196</v>
      </c>
      <c r="N391" s="442" t="s">
        <v>57</v>
      </c>
      <c r="O391" s="443" t="s">
        <v>74</v>
      </c>
      <c r="P391" s="444" t="s">
        <v>59</v>
      </c>
      <c r="Q391" s="445">
        <f t="shared" si="803"/>
        <v>60</v>
      </c>
      <c r="R391" s="446" t="s">
        <v>60</v>
      </c>
      <c r="S391" s="447"/>
      <c r="T391" s="446">
        <v>0.1</v>
      </c>
      <c r="U391" s="442" t="s">
        <v>62</v>
      </c>
      <c r="V391" s="442">
        <v>0.6</v>
      </c>
      <c r="W391" s="442">
        <v>1</v>
      </c>
      <c r="X391" s="448">
        <v>25000</v>
      </c>
      <c r="Y391" s="449" t="s">
        <v>79</v>
      </c>
      <c r="Z391" s="442">
        <v>1</v>
      </c>
      <c r="AA391" s="450">
        <v>40000</v>
      </c>
      <c r="AB391" s="450" t="s">
        <v>65</v>
      </c>
      <c r="AC391" s="446">
        <v>0.05</v>
      </c>
      <c r="AD391" s="446">
        <v>0</v>
      </c>
      <c r="AE391" s="451" t="s">
        <v>66</v>
      </c>
      <c r="AF391" s="448">
        <v>20000</v>
      </c>
      <c r="AG391" s="452">
        <v>7</v>
      </c>
      <c r="AH391" s="452">
        <v>6</v>
      </c>
      <c r="AI391" s="452">
        <v>5</v>
      </c>
      <c r="AJ391" s="451">
        <v>13</v>
      </c>
      <c r="AK391" s="453" t="s">
        <v>67</v>
      </c>
      <c r="AL391" s="454" t="s">
        <v>68</v>
      </c>
      <c r="AM391" s="455" t="s">
        <v>197</v>
      </c>
      <c r="AN391" s="455" t="s">
        <v>198</v>
      </c>
      <c r="AO391" s="314">
        <f t="shared" si="804"/>
        <v>0.983344907407407</v>
      </c>
      <c r="AP391" s="315">
        <f t="shared" si="805"/>
        <v>106</v>
      </c>
      <c r="AQ391" s="316" t="str">
        <f t="shared" si="806"/>
        <v>MICRO</v>
      </c>
    </row>
    <row r="392" ht="29.25" customHeight="1" outlineLevel="1" spans="1:43">
      <c r="B392" s="486"/>
      <c r="C392" s="293" t="str">
        <f t="shared" ref="C392:G392" si="817">TEXT(IF($B392=0," ",$B392-C$6),"hh:mm am/pm")</f>
        <v> </v>
      </c>
      <c r="D392" s="293" t="str">
        <f t="shared" si="817"/>
        <v> </v>
      </c>
      <c r="E392" s="293" t="str">
        <f t="shared" si="817"/>
        <v> </v>
      </c>
      <c r="F392" s="293" t="str">
        <f t="shared" si="817"/>
        <v> </v>
      </c>
      <c r="G392" s="293" t="str">
        <f t="shared" si="817"/>
        <v> </v>
      </c>
      <c r="H392" s="293" t="str">
        <f t="shared" ref="H392:I392" si="818">TEXT(IF($B392=0," ",$B392+H$6),"hh:mm am/pm")</f>
        <v> </v>
      </c>
      <c r="I392" s="293" t="str">
        <f t="shared" si="818"/>
        <v> </v>
      </c>
      <c r="J392" s="500"/>
      <c r="K392" s="501"/>
      <c r="L392" s="501"/>
      <c r="M392" s="502"/>
      <c r="N392" s="503"/>
      <c r="O392" s="504"/>
      <c r="P392" s="504"/>
      <c r="Q392" s="503"/>
      <c r="R392" s="503"/>
      <c r="S392" s="503"/>
      <c r="T392" s="505"/>
      <c r="U392" s="503"/>
      <c r="V392" s="503"/>
      <c r="W392" s="503"/>
      <c r="X392" s="503"/>
      <c r="Y392" s="506"/>
      <c r="Z392" s="507"/>
      <c r="AA392" s="507"/>
      <c r="AB392" s="507"/>
      <c r="AC392" s="505"/>
      <c r="AD392" s="505"/>
      <c r="AE392" s="506"/>
      <c r="AF392" s="507"/>
      <c r="AG392" s="506"/>
      <c r="AH392" s="506"/>
      <c r="AI392" s="506"/>
      <c r="AJ392" s="506"/>
      <c r="AK392" s="508"/>
      <c r="AL392" s="508"/>
      <c r="AM392" s="508"/>
      <c r="AN392" s="508"/>
      <c r="AO392" s="486"/>
      <c r="AP392" s="509"/>
      <c r="AQ392" s="486"/>
    </row>
    <row r="393" ht="24" customHeight="1" spans="1:43">
      <c r="A393" s="458" t="s">
        <v>352</v>
      </c>
      <c r="C393" s="459"/>
      <c r="D393" s="459"/>
      <c r="E393" s="459"/>
      <c r="F393" s="459"/>
      <c r="G393" s="459"/>
      <c r="H393" s="459"/>
      <c r="I393" s="460"/>
      <c r="J393" s="380" t="s">
        <v>352</v>
      </c>
      <c r="K393" s="380"/>
      <c r="L393" s="380" t="s">
        <v>352</v>
      </c>
      <c r="O393" s="380"/>
      <c r="Q393" s="380" t="s">
        <v>352</v>
      </c>
      <c r="V393" s="380" t="s">
        <v>352</v>
      </c>
      <c r="AB393" s="380" t="s">
        <v>352</v>
      </c>
      <c r="AE393" s="380" t="s">
        <v>352</v>
      </c>
      <c r="AF393" s="380"/>
      <c r="AG393" s="380"/>
      <c r="AH393" s="380"/>
      <c r="AI393" s="380"/>
      <c r="AJ393" s="380" t="s">
        <v>352</v>
      </c>
      <c r="AM393" s="314"/>
      <c r="AN393" s="314"/>
      <c r="AO393" s="314"/>
      <c r="AP393" s="463"/>
      <c r="AQ393" s="464"/>
    </row>
    <row r="394" ht="29.25" customHeight="1" outlineLevel="1" spans="1:43">
      <c r="A394" s="291" t="s">
        <v>352</v>
      </c>
      <c r="B394" s="292">
        <v>0.583344907407407</v>
      </c>
      <c r="C394" s="293" t="str">
        <f t="shared" ref="C394:G394" si="819">TEXT(IF($B394=0," ",$B394-C$6),"hh:mm am/pm")</f>
        <v>12:00 001/p1</v>
      </c>
      <c r="D394" s="293" t="str">
        <f t="shared" si="819"/>
        <v>10:00 001/p1</v>
      </c>
      <c r="E394" s="293" t="str">
        <f t="shared" si="819"/>
        <v>11:00 001/p1</v>
      </c>
      <c r="F394" s="293" t="str">
        <f t="shared" si="819"/>
        <v>12:00 001/p1</v>
      </c>
      <c r="G394" s="293" t="str">
        <f t="shared" si="819"/>
        <v>13:00 001/p1</v>
      </c>
      <c r="H394" s="293" t="str">
        <f t="shared" ref="H394:I394" si="820">TEXT(IF($B394=0," ",$B394+H$6),"hh:mm am/pm")</f>
        <v>20:00 001/p1</v>
      </c>
      <c r="I394" s="293" t="str">
        <f t="shared" si="820"/>
        <v>01:00 001/p1</v>
      </c>
      <c r="J394" s="294" t="s">
        <v>353</v>
      </c>
      <c r="K394" s="295"/>
      <c r="L394" s="296" t="s">
        <v>55</v>
      </c>
      <c r="M394" s="297" t="s">
        <v>56</v>
      </c>
      <c r="N394" s="298" t="s">
        <v>57</v>
      </c>
      <c r="O394" s="299" t="s">
        <v>58</v>
      </c>
      <c r="P394" s="300" t="s">
        <v>59</v>
      </c>
      <c r="Q394" s="301">
        <v>4000</v>
      </c>
      <c r="R394" s="302" t="s">
        <v>60</v>
      </c>
      <c r="S394" s="303"/>
      <c r="T394" s="304" t="s">
        <v>92</v>
      </c>
      <c r="U394" s="298" t="s">
        <v>62</v>
      </c>
      <c r="V394" s="298">
        <v>22</v>
      </c>
      <c r="W394" s="298">
        <v>22</v>
      </c>
      <c r="X394" s="305"/>
      <c r="Y394" s="306" t="s">
        <v>63</v>
      </c>
      <c r="Z394" s="303"/>
      <c r="AA394" s="307" t="s">
        <v>64</v>
      </c>
      <c r="AB394" s="307" t="s">
        <v>65</v>
      </c>
      <c r="AC394" s="308">
        <v>0.1</v>
      </c>
      <c r="AD394" s="308">
        <v>0.02</v>
      </c>
      <c r="AE394" s="307" t="s">
        <v>66</v>
      </c>
      <c r="AF394" s="309">
        <v>50000</v>
      </c>
      <c r="AG394" s="310">
        <v>12</v>
      </c>
      <c r="AH394" s="310">
        <v>10</v>
      </c>
      <c r="AI394" s="310">
        <v>10</v>
      </c>
      <c r="AJ394" s="304">
        <v>15</v>
      </c>
      <c r="AK394" s="311" t="s">
        <v>67</v>
      </c>
      <c r="AL394" s="312" t="s">
        <v>68</v>
      </c>
      <c r="AM394" s="313" t="s">
        <v>69</v>
      </c>
      <c r="AN394" s="313" t="s">
        <v>70</v>
      </c>
      <c r="AO394" s="314">
        <f t="shared" ref="AO394:AO480" si="821">IF(B394=0," ",TIME(,ROUNDDOWN(AG394*AJ394/60,0)*5+(AG394*AJ394),)+B394)</f>
        <v>0.718761574074074</v>
      </c>
      <c r="AP394" s="315">
        <f t="shared" ref="AP394:AP480" si="822">IF(Q394=0,,ROUNDUP(Q394/(V394*(1-AC394-AD394)),0))</f>
        <v>207</v>
      </c>
      <c r="AQ394" s="316" t="str">
        <f t="shared" ref="AQ394:AQ480" si="823">IFERROR(IF(V394=0," ",IF(V394&lt;=5,"MICRO",IF(V394&lt;=19.8,"LOW",IF(V394&lt;=99.8,"MEDIUM",IF(V394&lt;=500,"HIGH",IF(V394&gt;500,"SUPER HIGH",)))))),"")</f>
        <v>MEDIUM</v>
      </c>
    </row>
    <row r="395" ht="29.25" customHeight="1" outlineLevel="1" spans="1:43">
      <c r="A395" s="291" t="s">
        <v>71</v>
      </c>
      <c r="B395" s="292">
        <v>0.666678240740741</v>
      </c>
      <c r="C395" s="293" t="str">
        <f t="shared" ref="C395:G395" si="824">TEXT(IF($B395=0," ",$B395-C$6),"hh:mm am/pm")</f>
        <v>14:00 001/p1</v>
      </c>
      <c r="D395" s="293" t="str">
        <f t="shared" si="824"/>
        <v>12:00 001/p1</v>
      </c>
      <c r="E395" s="293" t="str">
        <f t="shared" si="824"/>
        <v>13:00 001/p1</v>
      </c>
      <c r="F395" s="293" t="str">
        <f t="shared" si="824"/>
        <v>14:00 001/p1</v>
      </c>
      <c r="G395" s="293" t="str">
        <f t="shared" si="824"/>
        <v>15:00 001/p1</v>
      </c>
      <c r="H395" s="293" t="str">
        <f t="shared" ref="H395:I395" si="825">TEXT(IF($B395=0," ",$B395+H$6),"hh:mm am/pm")</f>
        <v>22:00 001/p1</v>
      </c>
      <c r="I395" s="293" t="str">
        <f t="shared" si="825"/>
        <v>03:00 001/p1</v>
      </c>
      <c r="J395" s="510" t="s">
        <v>354</v>
      </c>
      <c r="K395" s="381"/>
      <c r="L395" s="466" t="s">
        <v>355</v>
      </c>
      <c r="M395" s="467" t="s">
        <v>56</v>
      </c>
      <c r="N395" s="468" t="s">
        <v>57</v>
      </c>
      <c r="O395" s="469" t="s">
        <v>74</v>
      </c>
      <c r="P395" s="470" t="s">
        <v>59</v>
      </c>
      <c r="Q395" s="471">
        <v>7200</v>
      </c>
      <c r="R395" s="325" t="s">
        <v>76</v>
      </c>
      <c r="S395" s="473"/>
      <c r="T395" s="360" t="s">
        <v>77</v>
      </c>
      <c r="U395" s="468" t="s">
        <v>78</v>
      </c>
      <c r="V395" s="468">
        <v>15</v>
      </c>
      <c r="W395" s="468">
        <v>15</v>
      </c>
      <c r="X395" s="355"/>
      <c r="Y395" s="474" t="s">
        <v>79</v>
      </c>
      <c r="Z395" s="468">
        <v>15</v>
      </c>
      <c r="AA395" s="356">
        <v>80000</v>
      </c>
      <c r="AB395" s="356" t="s">
        <v>65</v>
      </c>
      <c r="AC395" s="357">
        <v>0.1</v>
      </c>
      <c r="AD395" s="357">
        <v>0.02</v>
      </c>
      <c r="AE395" s="356" t="s">
        <v>66</v>
      </c>
      <c r="AF395" s="358">
        <v>40000</v>
      </c>
      <c r="AG395" s="359">
        <v>10</v>
      </c>
      <c r="AH395" s="359">
        <v>10</v>
      </c>
      <c r="AI395" s="359">
        <v>10</v>
      </c>
      <c r="AJ395" s="360">
        <v>15</v>
      </c>
      <c r="AK395" s="475" t="s">
        <v>67</v>
      </c>
      <c r="AL395" s="475" t="s">
        <v>68</v>
      </c>
      <c r="AM395" s="376" t="s">
        <v>69</v>
      </c>
      <c r="AN395" s="376" t="s">
        <v>70</v>
      </c>
      <c r="AO395" s="314">
        <f t="shared" si="821"/>
        <v>0.777789351851852</v>
      </c>
      <c r="AP395" s="315">
        <f t="shared" si="822"/>
        <v>546</v>
      </c>
      <c r="AQ395" s="316" t="str">
        <f t="shared" si="823"/>
        <v>LOW</v>
      </c>
    </row>
    <row r="396" ht="29.25" customHeight="1" outlineLevel="1" spans="1:43">
      <c r="A396" s="291">
        <f>COUNTIF(M394:M480,"Side event")</f>
        <v>76</v>
      </c>
      <c r="B396" s="317">
        <v>0.750011574074074</v>
      </c>
      <c r="C396" s="293" t="str">
        <f t="shared" ref="C396:G396" si="826">TEXT(IF($B396=0," ",$B396-C$6),"hh:mm am/pm")</f>
        <v>16:00 001/p1</v>
      </c>
      <c r="D396" s="293" t="str">
        <f t="shared" si="826"/>
        <v>14:00 001/p1</v>
      </c>
      <c r="E396" s="293" t="str">
        <f t="shared" si="826"/>
        <v>15:00 001/p1</v>
      </c>
      <c r="F396" s="293" t="str">
        <f t="shared" si="826"/>
        <v>16:00 001/p1</v>
      </c>
      <c r="G396" s="293" t="str">
        <f t="shared" si="826"/>
        <v>17:00 001/p1</v>
      </c>
      <c r="H396" s="293" t="str">
        <f t="shared" ref="H396:I396" si="827">TEXT(IF($B396=0," ",$B396+H$6),"hh:mm am/pm")</f>
        <v>00:00 001/p1</v>
      </c>
      <c r="I396" s="293" t="str">
        <f t="shared" si="827"/>
        <v>05:00 001/p1</v>
      </c>
      <c r="J396" s="294" t="s">
        <v>356</v>
      </c>
      <c r="K396" s="295"/>
      <c r="L396" s="296" t="s">
        <v>86</v>
      </c>
      <c r="M396" s="297" t="s">
        <v>56</v>
      </c>
      <c r="N396" s="298" t="s">
        <v>57</v>
      </c>
      <c r="O396" s="299" t="s">
        <v>74</v>
      </c>
      <c r="P396" s="300" t="s">
        <v>59</v>
      </c>
      <c r="Q396" s="301">
        <v>11700</v>
      </c>
      <c r="R396" s="302" t="s">
        <v>87</v>
      </c>
      <c r="S396" s="303"/>
      <c r="T396" s="304" t="s">
        <v>77</v>
      </c>
      <c r="U396" s="298" t="s">
        <v>78</v>
      </c>
      <c r="V396" s="298">
        <v>3</v>
      </c>
      <c r="W396" s="298">
        <v>3</v>
      </c>
      <c r="X396" s="305"/>
      <c r="Y396" s="306" t="s">
        <v>79</v>
      </c>
      <c r="Z396" s="298">
        <v>4</v>
      </c>
      <c r="AA396" s="307">
        <v>250000</v>
      </c>
      <c r="AB396" s="307" t="s">
        <v>65</v>
      </c>
      <c r="AC396" s="308">
        <v>0.1</v>
      </c>
      <c r="AD396" s="308">
        <v>0.02</v>
      </c>
      <c r="AE396" s="307" t="s">
        <v>88</v>
      </c>
      <c r="AF396" s="309">
        <v>50000</v>
      </c>
      <c r="AG396" s="310">
        <v>10</v>
      </c>
      <c r="AH396" s="310">
        <v>10</v>
      </c>
      <c r="AI396" s="310">
        <v>10</v>
      </c>
      <c r="AJ396" s="304">
        <v>15</v>
      </c>
      <c r="AK396" s="311" t="s">
        <v>67</v>
      </c>
      <c r="AL396" s="311" t="s">
        <v>68</v>
      </c>
      <c r="AM396" s="313" t="s">
        <v>69</v>
      </c>
      <c r="AN396" s="313" t="s">
        <v>70</v>
      </c>
      <c r="AO396" s="314">
        <f t="shared" si="821"/>
        <v>0.861122685185185</v>
      </c>
      <c r="AP396" s="315">
        <f t="shared" si="822"/>
        <v>4432</v>
      </c>
      <c r="AQ396" s="316" t="str">
        <f t="shared" si="823"/>
        <v>MICRO</v>
      </c>
    </row>
    <row r="397" ht="29.25" customHeight="1" outlineLevel="1" spans="1:43">
      <c r="A397" s="291" t="s">
        <v>56</v>
      </c>
      <c r="B397" s="364">
        <v>0.750011574074074</v>
      </c>
      <c r="C397" s="293" t="str">
        <f t="shared" ref="C397:G397" si="828">TEXT(IF($B397=0," ",$B397-C$6),"hh:mm am/pm")</f>
        <v>16:00 001/p1</v>
      </c>
      <c r="D397" s="293" t="str">
        <f t="shared" si="828"/>
        <v>14:00 001/p1</v>
      </c>
      <c r="E397" s="293" t="str">
        <f t="shared" si="828"/>
        <v>15:00 001/p1</v>
      </c>
      <c r="F397" s="293" t="str">
        <f t="shared" si="828"/>
        <v>16:00 001/p1</v>
      </c>
      <c r="G397" s="293" t="str">
        <f t="shared" si="828"/>
        <v>17:00 001/p1</v>
      </c>
      <c r="H397" s="293" t="str">
        <f t="shared" ref="H397:I397" si="829">TEXT(IF($B397=0," ",$B397+H$6),"hh:mm am/pm")</f>
        <v>00:00 001/p1</v>
      </c>
      <c r="I397" s="293" t="str">
        <f t="shared" si="829"/>
        <v>05:00 001/p1</v>
      </c>
      <c r="J397" s="318" t="s">
        <v>297</v>
      </c>
      <c r="K397" s="295"/>
      <c r="L397" s="466" t="s">
        <v>91</v>
      </c>
      <c r="M397" s="467" t="s">
        <v>56</v>
      </c>
      <c r="N397" s="468" t="s">
        <v>57</v>
      </c>
      <c r="O397" s="469" t="s">
        <v>58</v>
      </c>
      <c r="P397" s="470" t="s">
        <v>75</v>
      </c>
      <c r="Q397" s="471">
        <v>10200</v>
      </c>
      <c r="R397" s="325" t="s">
        <v>76</v>
      </c>
      <c r="S397" s="473"/>
      <c r="T397" s="360" t="s">
        <v>92</v>
      </c>
      <c r="U397" s="468" t="s">
        <v>62</v>
      </c>
      <c r="V397" s="468">
        <v>11</v>
      </c>
      <c r="W397" s="468">
        <v>11</v>
      </c>
      <c r="X397" s="355"/>
      <c r="Y397" s="474" t="s">
        <v>63</v>
      </c>
      <c r="Z397" s="473"/>
      <c r="AA397" s="356" t="s">
        <v>64</v>
      </c>
      <c r="AB397" s="356" t="s">
        <v>65</v>
      </c>
      <c r="AC397" s="357">
        <v>0.1</v>
      </c>
      <c r="AD397" s="357">
        <v>0.02</v>
      </c>
      <c r="AE397" s="360" t="s">
        <v>66</v>
      </c>
      <c r="AF397" s="358">
        <v>50000</v>
      </c>
      <c r="AG397" s="359">
        <v>12</v>
      </c>
      <c r="AH397" s="359">
        <v>10</v>
      </c>
      <c r="AI397" s="359">
        <v>10</v>
      </c>
      <c r="AJ397" s="360">
        <v>15</v>
      </c>
      <c r="AK397" s="475" t="s">
        <v>67</v>
      </c>
      <c r="AL397" s="476" t="s">
        <v>68</v>
      </c>
      <c r="AM397" s="376" t="s">
        <v>69</v>
      </c>
      <c r="AN397" s="376" t="s">
        <v>70</v>
      </c>
      <c r="AO397" s="314">
        <f t="shared" si="821"/>
        <v>0.885428240740741</v>
      </c>
      <c r="AP397" s="315">
        <f t="shared" si="822"/>
        <v>1054</v>
      </c>
      <c r="AQ397" s="316" t="str">
        <f t="shared" si="823"/>
        <v>LOW</v>
      </c>
    </row>
    <row r="398" ht="29.25" customHeight="1" outlineLevel="1" spans="1:43">
      <c r="A398" s="291">
        <f>COUNTIF(M394:M480,"Main Event")</f>
        <v>9</v>
      </c>
      <c r="B398" s="364">
        <v>0.750011574074074</v>
      </c>
      <c r="C398" s="293" t="str">
        <f t="shared" ref="C398:G398" si="830">TEXT(IF($B398=0," ",$B398-C$6),"hh:mm am/pm")</f>
        <v>16:00 001/p1</v>
      </c>
      <c r="D398" s="293" t="str">
        <f t="shared" si="830"/>
        <v>14:00 001/p1</v>
      </c>
      <c r="E398" s="293" t="str">
        <f t="shared" si="830"/>
        <v>15:00 001/p1</v>
      </c>
      <c r="F398" s="293" t="str">
        <f t="shared" si="830"/>
        <v>16:00 001/p1</v>
      </c>
      <c r="G398" s="293" t="str">
        <f t="shared" si="830"/>
        <v>17:00 001/p1</v>
      </c>
      <c r="H398" s="293" t="str">
        <f t="shared" ref="H398:I398" si="831">TEXT(IF($B398=0," ",$B398+H$6),"hh:mm am/pm")</f>
        <v>00:00 001/p1</v>
      </c>
      <c r="I398" s="293" t="str">
        <f t="shared" si="831"/>
        <v>05:00 001/p1</v>
      </c>
      <c r="J398" s="294" t="s">
        <v>357</v>
      </c>
      <c r="K398" s="295"/>
      <c r="L398" s="296" t="s">
        <v>358</v>
      </c>
      <c r="M398" s="297" t="s">
        <v>56</v>
      </c>
      <c r="N398" s="298" t="s">
        <v>57</v>
      </c>
      <c r="O398" s="299" t="s">
        <v>233</v>
      </c>
      <c r="P398" s="300" t="s">
        <v>59</v>
      </c>
      <c r="Q398" s="301">
        <v>15000</v>
      </c>
      <c r="R398" s="302" t="s">
        <v>60</v>
      </c>
      <c r="S398" s="303"/>
      <c r="T398" s="304" t="s">
        <v>61</v>
      </c>
      <c r="U398" s="298" t="s">
        <v>62</v>
      </c>
      <c r="V398" s="298">
        <v>110</v>
      </c>
      <c r="W398" s="298">
        <v>110</v>
      </c>
      <c r="X398" s="305"/>
      <c r="Y398" s="306" t="s">
        <v>63</v>
      </c>
      <c r="Z398" s="303"/>
      <c r="AA398" s="307" t="s">
        <v>64</v>
      </c>
      <c r="AB398" s="307" t="s">
        <v>65</v>
      </c>
      <c r="AC398" s="308">
        <v>0.1</v>
      </c>
      <c r="AD398" s="308">
        <v>0.02</v>
      </c>
      <c r="AE398" s="307" t="s">
        <v>66</v>
      </c>
      <c r="AF398" s="309">
        <v>50000</v>
      </c>
      <c r="AG398" s="310">
        <v>12</v>
      </c>
      <c r="AH398" s="310">
        <v>12</v>
      </c>
      <c r="AI398" s="310">
        <v>10</v>
      </c>
      <c r="AJ398" s="304">
        <v>15</v>
      </c>
      <c r="AK398" s="311" t="s">
        <v>67</v>
      </c>
      <c r="AL398" s="312" t="s">
        <v>68</v>
      </c>
      <c r="AM398" s="313" t="s">
        <v>69</v>
      </c>
      <c r="AN398" s="313" t="s">
        <v>70</v>
      </c>
      <c r="AO398" s="314">
        <f t="shared" si="821"/>
        <v>0.885428240740741</v>
      </c>
      <c r="AP398" s="315">
        <f t="shared" si="822"/>
        <v>155</v>
      </c>
      <c r="AQ398" s="316" t="str">
        <f t="shared" si="823"/>
        <v>HIGH</v>
      </c>
    </row>
    <row r="399" ht="29.25" customHeight="1" outlineLevel="1" spans="1:43">
      <c r="A399" s="291" t="s">
        <v>89</v>
      </c>
      <c r="B399" s="364">
        <v>0.791678240740741</v>
      </c>
      <c r="C399" s="293" t="str">
        <f t="shared" ref="C399:G399" si="832">TEXT(IF($B399=0," ",$B399-C$6),"hh:mm am/pm")</f>
        <v>17:00 001/p1</v>
      </c>
      <c r="D399" s="293" t="str">
        <f t="shared" si="832"/>
        <v>15:00 001/p1</v>
      </c>
      <c r="E399" s="293" t="str">
        <f t="shared" si="832"/>
        <v>16:00 001/p1</v>
      </c>
      <c r="F399" s="293" t="str">
        <f t="shared" si="832"/>
        <v>17:00 001/p1</v>
      </c>
      <c r="G399" s="293" t="str">
        <f t="shared" si="832"/>
        <v>18:00 001/p1</v>
      </c>
      <c r="H399" s="293" t="str">
        <f t="shared" ref="H399:I399" si="833">TEXT(IF($B399=0," ",$B399+H$6),"hh:mm am/pm")</f>
        <v>01:00 001/p1</v>
      </c>
      <c r="I399" s="293" t="str">
        <f t="shared" si="833"/>
        <v>06:00 001/p1</v>
      </c>
      <c r="J399" s="318" t="s">
        <v>359</v>
      </c>
      <c r="K399" s="295"/>
      <c r="L399" s="466" t="s">
        <v>96</v>
      </c>
      <c r="M399" s="467" t="s">
        <v>56</v>
      </c>
      <c r="N399" s="468" t="s">
        <v>57</v>
      </c>
      <c r="O399" s="469" t="s">
        <v>82</v>
      </c>
      <c r="P399" s="470" t="s">
        <v>59</v>
      </c>
      <c r="Q399" s="471">
        <v>40300</v>
      </c>
      <c r="R399" s="325" t="s">
        <v>97</v>
      </c>
      <c r="S399" s="473"/>
      <c r="T399" s="360" t="s">
        <v>92</v>
      </c>
      <c r="U399" s="468" t="s">
        <v>62</v>
      </c>
      <c r="V399" s="468">
        <v>40</v>
      </c>
      <c r="W399" s="468">
        <v>40</v>
      </c>
      <c r="X399" s="358">
        <v>60000</v>
      </c>
      <c r="Y399" s="474" t="s">
        <v>63</v>
      </c>
      <c r="Z399" s="473"/>
      <c r="AA399" s="356" t="s">
        <v>64</v>
      </c>
      <c r="AB399" s="356" t="s">
        <v>65</v>
      </c>
      <c r="AC399" s="357">
        <v>0.1</v>
      </c>
      <c r="AD399" s="357">
        <v>0.02</v>
      </c>
      <c r="AE399" s="360" t="s">
        <v>66</v>
      </c>
      <c r="AF399" s="358">
        <v>50000</v>
      </c>
      <c r="AG399" s="359">
        <v>12</v>
      </c>
      <c r="AH399" s="359">
        <v>12</v>
      </c>
      <c r="AI399" s="359">
        <v>12</v>
      </c>
      <c r="AJ399" s="360">
        <v>15</v>
      </c>
      <c r="AK399" s="475" t="s">
        <v>67</v>
      </c>
      <c r="AL399" s="476" t="s">
        <v>68</v>
      </c>
      <c r="AM399" s="376" t="s">
        <v>69</v>
      </c>
      <c r="AN399" s="376" t="s">
        <v>70</v>
      </c>
      <c r="AO399" s="314">
        <f t="shared" si="821"/>
        <v>0.927094907407407</v>
      </c>
      <c r="AP399" s="315">
        <f t="shared" si="822"/>
        <v>1145</v>
      </c>
      <c r="AQ399" s="316" t="str">
        <f t="shared" si="823"/>
        <v>MEDIUM</v>
      </c>
    </row>
    <row r="400" ht="29.25" customHeight="1" outlineLevel="1" spans="1:43">
      <c r="A400" s="361">
        <f>SUM(Q394:Q480,Q482:Q540)</f>
        <v>202305</v>
      </c>
      <c r="B400" s="317">
        <v>0.791678240740741</v>
      </c>
      <c r="C400" s="293" t="str">
        <f t="shared" ref="C400:G400" si="834">TEXT(IF($B400=0," ",$B400-C$6),"hh:mm am/pm")</f>
        <v>17:00 001/p1</v>
      </c>
      <c r="D400" s="293" t="str">
        <f t="shared" si="834"/>
        <v>15:00 001/p1</v>
      </c>
      <c r="E400" s="293" t="str">
        <f t="shared" si="834"/>
        <v>16:00 001/p1</v>
      </c>
      <c r="F400" s="293" t="str">
        <f t="shared" si="834"/>
        <v>17:00 001/p1</v>
      </c>
      <c r="G400" s="293" t="str">
        <f t="shared" si="834"/>
        <v>18:00 001/p1</v>
      </c>
      <c r="H400" s="293" t="str">
        <f t="shared" ref="H400:I400" si="835">TEXT(IF($B400=0," ",$B400+H$6),"hh:mm am/pm")</f>
        <v>01:00 001/p1</v>
      </c>
      <c r="I400" s="293" t="str">
        <f t="shared" si="835"/>
        <v>06:00 001/p1</v>
      </c>
      <c r="J400" s="294" t="s">
        <v>253</v>
      </c>
      <c r="K400" s="295"/>
      <c r="L400" s="296" t="s">
        <v>157</v>
      </c>
      <c r="M400" s="297" t="s">
        <v>56</v>
      </c>
      <c r="N400" s="298" t="s">
        <v>100</v>
      </c>
      <c r="O400" s="299" t="s">
        <v>82</v>
      </c>
      <c r="P400" s="300" t="s">
        <v>101</v>
      </c>
      <c r="Q400" s="301">
        <v>5000</v>
      </c>
      <c r="R400" s="302" t="s">
        <v>60</v>
      </c>
      <c r="S400" s="303"/>
      <c r="T400" s="304" t="s">
        <v>92</v>
      </c>
      <c r="U400" s="298" t="s">
        <v>62</v>
      </c>
      <c r="V400" s="298">
        <v>15</v>
      </c>
      <c r="W400" s="298">
        <v>15</v>
      </c>
      <c r="X400" s="305"/>
      <c r="Y400" s="306" t="s">
        <v>63</v>
      </c>
      <c r="Z400" s="303"/>
      <c r="AA400" s="307" t="s">
        <v>64</v>
      </c>
      <c r="AB400" s="307" t="s">
        <v>65</v>
      </c>
      <c r="AC400" s="308">
        <v>0.1</v>
      </c>
      <c r="AD400" s="308">
        <v>0.02</v>
      </c>
      <c r="AE400" s="307" t="s">
        <v>66</v>
      </c>
      <c r="AF400" s="309">
        <v>50000</v>
      </c>
      <c r="AG400" s="310">
        <v>12</v>
      </c>
      <c r="AH400" s="310">
        <v>10</v>
      </c>
      <c r="AI400" s="310">
        <v>10</v>
      </c>
      <c r="AJ400" s="304">
        <v>15</v>
      </c>
      <c r="AK400" s="311" t="s">
        <v>67</v>
      </c>
      <c r="AL400" s="312" t="s">
        <v>68</v>
      </c>
      <c r="AM400" s="313" t="s">
        <v>69</v>
      </c>
      <c r="AN400" s="313" t="s">
        <v>70</v>
      </c>
      <c r="AO400" s="314">
        <f t="shared" si="821"/>
        <v>0.927094907407407</v>
      </c>
      <c r="AP400" s="315">
        <f t="shared" si="822"/>
        <v>379</v>
      </c>
      <c r="AQ400" s="316" t="str">
        <f t="shared" si="823"/>
        <v>LOW</v>
      </c>
    </row>
    <row r="401" ht="29.25" customHeight="1" outlineLevel="1" spans="1:43">
      <c r="A401" s="511"/>
      <c r="B401" s="317">
        <v>0.791678240740741</v>
      </c>
      <c r="C401" s="293" t="str">
        <f t="shared" ref="C401:G401" si="836">TEXT(IF($B401=0," ",$B401-C$6),"hh:mm am/pm")</f>
        <v>17:00 001/p1</v>
      </c>
      <c r="D401" s="293" t="str">
        <f t="shared" si="836"/>
        <v>15:00 001/p1</v>
      </c>
      <c r="E401" s="293" t="str">
        <f t="shared" si="836"/>
        <v>16:00 001/p1</v>
      </c>
      <c r="F401" s="293" t="str">
        <f t="shared" si="836"/>
        <v>17:00 001/p1</v>
      </c>
      <c r="G401" s="293" t="str">
        <f t="shared" si="836"/>
        <v>18:00 001/p1</v>
      </c>
      <c r="H401" s="293" t="str">
        <f t="shared" ref="H401:I401" si="837">TEXT(IF($B401=0," ",$B401+H$6),"hh:mm am/pm")</f>
        <v>01:00 001/p1</v>
      </c>
      <c r="I401" s="293" t="str">
        <f t="shared" si="837"/>
        <v>06:00 001/p1</v>
      </c>
      <c r="J401" s="294" t="s">
        <v>360</v>
      </c>
      <c r="K401" s="295"/>
      <c r="L401" s="466" t="s">
        <v>361</v>
      </c>
      <c r="M401" s="467" t="s">
        <v>56</v>
      </c>
      <c r="N401" s="468" t="s">
        <v>100</v>
      </c>
      <c r="O401" s="469" t="s">
        <v>82</v>
      </c>
      <c r="P401" s="470" t="s">
        <v>101</v>
      </c>
      <c r="Q401" s="471">
        <v>20000</v>
      </c>
      <c r="R401" s="472" t="s">
        <v>60</v>
      </c>
      <c r="S401" s="473"/>
      <c r="T401" s="360" t="s">
        <v>92</v>
      </c>
      <c r="U401" s="468" t="s">
        <v>62</v>
      </c>
      <c r="V401" s="468">
        <v>300</v>
      </c>
      <c r="W401" s="468">
        <v>300</v>
      </c>
      <c r="X401" s="358">
        <v>60000</v>
      </c>
      <c r="Y401" s="474" t="s">
        <v>63</v>
      </c>
      <c r="Z401" s="473"/>
      <c r="AA401" s="356" t="s">
        <v>64</v>
      </c>
      <c r="AB401" s="356" t="s">
        <v>65</v>
      </c>
      <c r="AC401" s="357">
        <v>0.1</v>
      </c>
      <c r="AD401" s="357">
        <v>0</v>
      </c>
      <c r="AE401" s="360" t="s">
        <v>66</v>
      </c>
      <c r="AF401" s="358">
        <v>50000</v>
      </c>
      <c r="AG401" s="359">
        <v>15</v>
      </c>
      <c r="AH401" s="359">
        <v>12</v>
      </c>
      <c r="AI401" s="359">
        <v>12</v>
      </c>
      <c r="AJ401" s="360">
        <v>14</v>
      </c>
      <c r="AK401" s="475" t="s">
        <v>67</v>
      </c>
      <c r="AL401" s="476" t="s">
        <v>68</v>
      </c>
      <c r="AM401" s="376" t="s">
        <v>69</v>
      </c>
      <c r="AN401" s="376" t="s">
        <v>70</v>
      </c>
      <c r="AO401" s="314">
        <f t="shared" si="821"/>
        <v>0.947928240740741</v>
      </c>
      <c r="AP401" s="315">
        <f t="shared" si="822"/>
        <v>75</v>
      </c>
      <c r="AQ401" s="316" t="str">
        <f t="shared" si="823"/>
        <v>HIGH</v>
      </c>
    </row>
    <row r="402" ht="29.25" customHeight="1" outlineLevel="1" spans="1:43">
      <c r="A402" s="363" t="s">
        <v>352</v>
      </c>
      <c r="B402" s="317">
        <v>0.791678240740741</v>
      </c>
      <c r="C402" s="293" t="str">
        <f t="shared" ref="C402:G402" si="838">TEXT(IF($B402=0," ",$B402-C$6),"hh:mm am/pm")</f>
        <v>17:00 001/p1</v>
      </c>
      <c r="D402" s="293" t="str">
        <f t="shared" si="838"/>
        <v>15:00 001/p1</v>
      </c>
      <c r="E402" s="293" t="str">
        <f t="shared" si="838"/>
        <v>16:00 001/p1</v>
      </c>
      <c r="F402" s="293" t="str">
        <f t="shared" si="838"/>
        <v>17:00 001/p1</v>
      </c>
      <c r="G402" s="293" t="str">
        <f t="shared" si="838"/>
        <v>18:00 001/p1</v>
      </c>
      <c r="H402" s="293" t="str">
        <f t="shared" ref="H402:I402" si="839">TEXT(IF($B402=0," ",$B402+H$6),"hh:mm am/pm")</f>
        <v>01:00 001/p1</v>
      </c>
      <c r="I402" s="293" t="str">
        <f t="shared" si="839"/>
        <v>06:00 001/p1</v>
      </c>
      <c r="J402" s="294" t="s">
        <v>362</v>
      </c>
      <c r="K402" s="295"/>
      <c r="L402" s="296" t="s">
        <v>362</v>
      </c>
      <c r="M402" s="512"/>
      <c r="N402" s="298" t="s">
        <v>57</v>
      </c>
      <c r="O402" s="299" t="s">
        <v>82</v>
      </c>
      <c r="P402" s="300" t="s">
        <v>59</v>
      </c>
      <c r="Q402" s="303"/>
      <c r="R402" s="302" t="s">
        <v>60</v>
      </c>
      <c r="S402" s="303"/>
      <c r="T402" s="304" t="s">
        <v>92</v>
      </c>
      <c r="U402" s="298" t="s">
        <v>62</v>
      </c>
      <c r="V402" s="298">
        <v>160</v>
      </c>
      <c r="W402" s="298">
        <v>160</v>
      </c>
      <c r="X402" s="309">
        <v>60000</v>
      </c>
      <c r="Y402" s="306" t="s">
        <v>63</v>
      </c>
      <c r="Z402" s="303"/>
      <c r="AA402" s="307" t="s">
        <v>64</v>
      </c>
      <c r="AB402" s="307" t="s">
        <v>65</v>
      </c>
      <c r="AC402" s="308">
        <v>0.1</v>
      </c>
      <c r="AD402" s="308">
        <v>0</v>
      </c>
      <c r="AE402" s="307" t="s">
        <v>66</v>
      </c>
      <c r="AF402" s="309">
        <v>50000</v>
      </c>
      <c r="AG402" s="310">
        <v>12</v>
      </c>
      <c r="AH402" s="310">
        <v>12</v>
      </c>
      <c r="AI402" s="310">
        <v>12</v>
      </c>
      <c r="AJ402" s="304">
        <v>15</v>
      </c>
      <c r="AK402" s="311" t="s">
        <v>67</v>
      </c>
      <c r="AL402" s="312" t="s">
        <v>68</v>
      </c>
      <c r="AM402" s="313" t="s">
        <v>69</v>
      </c>
      <c r="AN402" s="313" t="s">
        <v>70</v>
      </c>
      <c r="AO402" s="314">
        <f t="shared" si="821"/>
        <v>0.927094907407407</v>
      </c>
      <c r="AP402" s="374">
        <f t="shared" si="822"/>
        <v>0</v>
      </c>
      <c r="AQ402" s="316" t="str">
        <f t="shared" si="823"/>
        <v>HIGH</v>
      </c>
    </row>
    <row r="403" ht="29.25" customHeight="1" outlineLevel="1" spans="1:43">
      <c r="B403" s="317">
        <v>0.833344907407407</v>
      </c>
      <c r="C403" s="293" t="str">
        <f t="shared" ref="C403:G403" si="840">TEXT(IF($B403=0," ",$B403-C$6),"hh:mm am/pm")</f>
        <v>18:00 001/p1</v>
      </c>
      <c r="D403" s="293" t="str">
        <f t="shared" si="840"/>
        <v>16:00 001/p1</v>
      </c>
      <c r="E403" s="293" t="str">
        <f t="shared" si="840"/>
        <v>17:00 001/p1</v>
      </c>
      <c r="F403" s="293" t="str">
        <f t="shared" si="840"/>
        <v>18:00 001/p1</v>
      </c>
      <c r="G403" s="293" t="str">
        <f t="shared" si="840"/>
        <v>19:00 001/p1</v>
      </c>
      <c r="H403" s="293" t="str">
        <f t="shared" ref="H403:I403" si="841">TEXT(IF($B403=0," ",$B403+H$6),"hh:mm am/pm")</f>
        <v>02:00 001/p1</v>
      </c>
      <c r="I403" s="293" t="str">
        <f t="shared" si="841"/>
        <v>07:00 001/p1</v>
      </c>
      <c r="J403" s="294" t="s">
        <v>363</v>
      </c>
      <c r="K403" s="295"/>
      <c r="L403" s="466" t="s">
        <v>99</v>
      </c>
      <c r="M403" s="467" t="s">
        <v>56</v>
      </c>
      <c r="N403" s="468" t="s">
        <v>100</v>
      </c>
      <c r="O403" s="469" t="s">
        <v>82</v>
      </c>
      <c r="P403" s="470" t="s">
        <v>101</v>
      </c>
      <c r="Q403" s="471">
        <v>8000</v>
      </c>
      <c r="R403" s="472" t="s">
        <v>60</v>
      </c>
      <c r="S403" s="473"/>
      <c r="T403" s="360" t="s">
        <v>92</v>
      </c>
      <c r="U403" s="468" t="s">
        <v>62</v>
      </c>
      <c r="V403" s="468">
        <v>70</v>
      </c>
      <c r="W403" s="468">
        <v>70</v>
      </c>
      <c r="X403" s="358">
        <v>60000</v>
      </c>
      <c r="Y403" s="474" t="s">
        <v>63</v>
      </c>
      <c r="Z403" s="473"/>
      <c r="AA403" s="356" t="s">
        <v>64</v>
      </c>
      <c r="AB403" s="356" t="s">
        <v>65</v>
      </c>
      <c r="AC403" s="357">
        <v>0.1</v>
      </c>
      <c r="AD403" s="357">
        <v>0.02</v>
      </c>
      <c r="AE403" s="356" t="s">
        <v>66</v>
      </c>
      <c r="AF403" s="358">
        <v>50000</v>
      </c>
      <c r="AG403" s="359">
        <v>12</v>
      </c>
      <c r="AH403" s="359">
        <v>10</v>
      </c>
      <c r="AI403" s="359">
        <v>10</v>
      </c>
      <c r="AJ403" s="360">
        <v>15</v>
      </c>
      <c r="AK403" s="475" t="s">
        <v>67</v>
      </c>
      <c r="AL403" s="476" t="s">
        <v>68</v>
      </c>
      <c r="AM403" s="376" t="s">
        <v>69</v>
      </c>
      <c r="AN403" s="376" t="s">
        <v>70</v>
      </c>
      <c r="AO403" s="314">
        <f t="shared" si="821"/>
        <v>0.968761574074074</v>
      </c>
      <c r="AP403" s="315">
        <f t="shared" si="822"/>
        <v>130</v>
      </c>
      <c r="AQ403" s="316" t="str">
        <f t="shared" si="823"/>
        <v>MEDIUM</v>
      </c>
    </row>
    <row r="404" ht="29.25" customHeight="1" outlineLevel="1" spans="1:43">
      <c r="B404" s="365"/>
      <c r="C404" s="293" t="str">
        <f t="shared" ref="C404:G404" si="842">TEXT(IF($B404=0," ",$B404-C$6),"hh:mm am/pm")</f>
        <v> </v>
      </c>
      <c r="D404" s="293" t="str">
        <f t="shared" si="842"/>
        <v> </v>
      </c>
      <c r="E404" s="293" t="str">
        <f t="shared" si="842"/>
        <v> </v>
      </c>
      <c r="F404" s="293" t="str">
        <f t="shared" si="842"/>
        <v> </v>
      </c>
      <c r="G404" s="293" t="str">
        <f t="shared" si="842"/>
        <v> </v>
      </c>
      <c r="H404" s="293" t="str">
        <f t="shared" ref="H404:I404" si="843">TEXT(IF($B404=0," ",$B404+H$6),"hh:mm am/pm")</f>
        <v> </v>
      </c>
      <c r="I404" s="293" t="str">
        <f t="shared" si="843"/>
        <v> </v>
      </c>
      <c r="J404" s="295"/>
      <c r="K404" s="366"/>
      <c r="L404" s="367"/>
      <c r="M404" s="368"/>
      <c r="N404" s="369"/>
      <c r="O404" s="370"/>
      <c r="P404" s="370"/>
      <c r="Q404" s="369"/>
      <c r="R404" s="369"/>
      <c r="S404" s="369"/>
      <c r="T404" s="371"/>
      <c r="U404" s="369"/>
      <c r="V404" s="369"/>
      <c r="W404" s="369"/>
      <c r="X404" s="372"/>
      <c r="Y404" s="367"/>
      <c r="Z404" s="369"/>
      <c r="AA404" s="372"/>
      <c r="AB404" s="372"/>
      <c r="AC404" s="371"/>
      <c r="AD404" s="371"/>
      <c r="AE404" s="372"/>
      <c r="AF404" s="372"/>
      <c r="AG404" s="367"/>
      <c r="AH404" s="367"/>
      <c r="AI404" s="367"/>
      <c r="AJ404" s="367"/>
      <c r="AK404" s="373"/>
      <c r="AL404" s="373"/>
      <c r="AM404" s="373"/>
      <c r="AN404" s="373"/>
      <c r="AO404" s="314" t="str">
        <f t="shared" si="821"/>
        <v> </v>
      </c>
      <c r="AP404" s="374">
        <f t="shared" si="822"/>
        <v>0</v>
      </c>
      <c r="AQ404" s="316" t="str">
        <f t="shared" si="823"/>
        <v> </v>
      </c>
    </row>
    <row r="405" ht="29.25" customHeight="1" outlineLevel="1" spans="1:43">
      <c r="A405" s="363" t="s">
        <v>352</v>
      </c>
      <c r="B405" s="292">
        <v>1.15740740740741e-5</v>
      </c>
      <c r="C405" s="293" t="e">
        <f t="shared" ref="C405:G405" si="844">TEXT(IF($B405=0," ",$B405-C$6),"hh:mm am/pm")</f>
        <v>#VALUE!</v>
      </c>
      <c r="D405" s="293" t="e">
        <f t="shared" si="844"/>
        <v>#VALUE!</v>
      </c>
      <c r="E405" s="293" t="e">
        <f t="shared" si="844"/>
        <v>#VALUE!</v>
      </c>
      <c r="F405" s="293" t="e">
        <f t="shared" si="844"/>
        <v>#VALUE!</v>
      </c>
      <c r="G405" s="293" t="e">
        <f t="shared" si="844"/>
        <v>#VALUE!</v>
      </c>
      <c r="H405" s="293" t="str">
        <f t="shared" ref="H405:I405" si="845">TEXT(IF($B405=0," ",$B405+H$6),"hh:mm am/pm")</f>
        <v>06:00 001/p1</v>
      </c>
      <c r="I405" s="293" t="str">
        <f t="shared" si="845"/>
        <v>11:00 001/p1</v>
      </c>
      <c r="J405" s="318" t="s">
        <v>309</v>
      </c>
      <c r="K405" s="295"/>
      <c r="L405" s="513" t="s">
        <v>106</v>
      </c>
      <c r="M405" s="514" t="s">
        <v>71</v>
      </c>
      <c r="N405" s="515" t="s">
        <v>57</v>
      </c>
      <c r="O405" s="516" t="s">
        <v>74</v>
      </c>
      <c r="P405" s="517" t="s">
        <v>101</v>
      </c>
      <c r="Q405" s="518">
        <v>1800</v>
      </c>
      <c r="R405" s="325" t="s">
        <v>76</v>
      </c>
      <c r="S405" s="519"/>
      <c r="T405" s="520" t="s">
        <v>61</v>
      </c>
      <c r="U405" s="515" t="s">
        <v>78</v>
      </c>
      <c r="V405" s="515">
        <v>7</v>
      </c>
      <c r="W405" s="515">
        <v>7</v>
      </c>
      <c r="X405" s="521"/>
      <c r="Y405" s="522" t="s">
        <v>79</v>
      </c>
      <c r="Z405" s="519"/>
      <c r="AA405" s="523" t="s">
        <v>64</v>
      </c>
      <c r="AB405" s="523" t="s">
        <v>65</v>
      </c>
      <c r="AC405" s="520">
        <v>0.1</v>
      </c>
      <c r="AD405" s="520">
        <v>0.02</v>
      </c>
      <c r="AE405" s="523" t="s">
        <v>88</v>
      </c>
      <c r="AF405" s="524">
        <v>50000</v>
      </c>
      <c r="AG405" s="525">
        <v>6</v>
      </c>
      <c r="AH405" s="525">
        <v>5</v>
      </c>
      <c r="AI405" s="525">
        <v>5</v>
      </c>
      <c r="AJ405" s="526">
        <v>13</v>
      </c>
      <c r="AK405" s="527" t="s">
        <v>67</v>
      </c>
      <c r="AL405" s="527" t="s">
        <v>68</v>
      </c>
      <c r="AM405" s="528" t="s">
        <v>69</v>
      </c>
      <c r="AN405" s="528" t="s">
        <v>70</v>
      </c>
      <c r="AO405" s="314">
        <f t="shared" si="821"/>
        <v>0.057650462962963</v>
      </c>
      <c r="AP405" s="315">
        <f t="shared" si="822"/>
        <v>293</v>
      </c>
      <c r="AQ405" s="316" t="str">
        <f t="shared" si="823"/>
        <v>LOW</v>
      </c>
    </row>
    <row r="406" ht="29.25" customHeight="1" outlineLevel="1" spans="1:43">
      <c r="B406" s="317">
        <v>1.15740740740741e-5</v>
      </c>
      <c r="C406" s="293" t="e">
        <f t="shared" ref="C406:G406" si="846">TEXT(IF($B406=0," ",$B406-C$6),"hh:mm am/pm")</f>
        <v>#VALUE!</v>
      </c>
      <c r="D406" s="293" t="e">
        <f t="shared" si="846"/>
        <v>#VALUE!</v>
      </c>
      <c r="E406" s="293" t="e">
        <f t="shared" si="846"/>
        <v>#VALUE!</v>
      </c>
      <c r="F406" s="293" t="e">
        <f t="shared" si="846"/>
        <v>#VALUE!</v>
      </c>
      <c r="G406" s="293" t="e">
        <f t="shared" si="846"/>
        <v>#VALUE!</v>
      </c>
      <c r="H406" s="293" t="str">
        <f t="shared" ref="H406:I406" si="847">TEXT(IF($B406=0," ",$B406+H$6),"hh:mm am/pm")</f>
        <v>06:00 001/p1</v>
      </c>
      <c r="I406" s="293" t="str">
        <f t="shared" si="847"/>
        <v>11:00 001/p1</v>
      </c>
      <c r="J406" s="294" t="s">
        <v>310</v>
      </c>
      <c r="K406" s="295"/>
      <c r="L406" s="337" t="s">
        <v>108</v>
      </c>
      <c r="M406" s="338" t="s">
        <v>71</v>
      </c>
      <c r="N406" s="339" t="s">
        <v>100</v>
      </c>
      <c r="O406" s="340" t="s">
        <v>109</v>
      </c>
      <c r="P406" s="341" t="s">
        <v>101</v>
      </c>
      <c r="Q406" s="342">
        <v>300</v>
      </c>
      <c r="R406" s="343" t="s">
        <v>60</v>
      </c>
      <c r="S406" s="344"/>
      <c r="T406" s="345" t="s">
        <v>61</v>
      </c>
      <c r="U406" s="339" t="s">
        <v>62</v>
      </c>
      <c r="V406" s="339">
        <v>2</v>
      </c>
      <c r="W406" s="339">
        <v>2</v>
      </c>
      <c r="X406" s="354"/>
      <c r="Y406" s="347" t="s">
        <v>63</v>
      </c>
      <c r="Z406" s="344"/>
      <c r="AA406" s="348" t="s">
        <v>64</v>
      </c>
      <c r="AB406" s="348" t="s">
        <v>65</v>
      </c>
      <c r="AC406" s="349">
        <v>0.1</v>
      </c>
      <c r="AD406" s="349">
        <v>0</v>
      </c>
      <c r="AE406" s="348" t="s">
        <v>88</v>
      </c>
      <c r="AF406" s="346">
        <v>60000</v>
      </c>
      <c r="AG406" s="350">
        <v>6</v>
      </c>
      <c r="AH406" s="350">
        <v>5</v>
      </c>
      <c r="AI406" s="350">
        <v>5</v>
      </c>
      <c r="AJ406" s="345">
        <v>12</v>
      </c>
      <c r="AK406" s="351" t="s">
        <v>67</v>
      </c>
      <c r="AL406" s="352" t="s">
        <v>68</v>
      </c>
      <c r="AM406" s="353" t="s">
        <v>69</v>
      </c>
      <c r="AN406" s="353" t="s">
        <v>70</v>
      </c>
      <c r="AO406" s="314">
        <f t="shared" si="821"/>
        <v>0.0534837962962963</v>
      </c>
      <c r="AP406" s="315">
        <f t="shared" si="822"/>
        <v>167</v>
      </c>
      <c r="AQ406" s="316" t="str">
        <f t="shared" si="823"/>
        <v>MICRO</v>
      </c>
    </row>
    <row r="407" ht="29.25" customHeight="1" outlineLevel="1" spans="1:43">
      <c r="B407" s="317">
        <v>0.013900462962963</v>
      </c>
      <c r="C407" s="293" t="e">
        <f t="shared" ref="C407:G407" si="848">TEXT(IF($B407=0," ",$B407-C$6),"hh:mm am/pm")</f>
        <v>#VALUE!</v>
      </c>
      <c r="D407" s="293" t="e">
        <f t="shared" si="848"/>
        <v>#VALUE!</v>
      </c>
      <c r="E407" s="293" t="e">
        <f t="shared" si="848"/>
        <v>#VALUE!</v>
      </c>
      <c r="F407" s="293" t="e">
        <f t="shared" si="848"/>
        <v>#VALUE!</v>
      </c>
      <c r="G407" s="293" t="e">
        <f t="shared" si="848"/>
        <v>#VALUE!</v>
      </c>
      <c r="H407" s="293" t="str">
        <f t="shared" ref="H407:I407" si="849">TEXT(IF($B407=0," ",$B407+H$6),"hh:mm am/pm")</f>
        <v>06:20 001/p1</v>
      </c>
      <c r="I407" s="293" t="str">
        <f t="shared" si="849"/>
        <v>11:20 001/p1</v>
      </c>
      <c r="J407" s="294" t="s">
        <v>110</v>
      </c>
      <c r="K407" s="295"/>
      <c r="L407" s="319" t="s">
        <v>111</v>
      </c>
      <c r="M407" s="320" t="s">
        <v>71</v>
      </c>
      <c r="N407" s="321" t="s">
        <v>57</v>
      </c>
      <c r="O407" s="322" t="s">
        <v>109</v>
      </c>
      <c r="P407" s="323" t="s">
        <v>75</v>
      </c>
      <c r="Q407" s="324">
        <v>120</v>
      </c>
      <c r="R407" s="375" t="s">
        <v>60</v>
      </c>
      <c r="S407" s="326"/>
      <c r="T407" s="327" t="s">
        <v>61</v>
      </c>
      <c r="U407" s="321" t="s">
        <v>62</v>
      </c>
      <c r="V407" s="321">
        <v>1</v>
      </c>
      <c r="W407" s="321">
        <v>1</v>
      </c>
      <c r="X407" s="328"/>
      <c r="Y407" s="329" t="s">
        <v>63</v>
      </c>
      <c r="Z407" s="326"/>
      <c r="AA407" s="330" t="s">
        <v>64</v>
      </c>
      <c r="AB407" s="330" t="s">
        <v>65</v>
      </c>
      <c r="AC407" s="331">
        <v>0.1</v>
      </c>
      <c r="AD407" s="331">
        <v>0</v>
      </c>
      <c r="AE407" s="330" t="s">
        <v>112</v>
      </c>
      <c r="AF407" s="332">
        <v>15000</v>
      </c>
      <c r="AG407" s="333">
        <v>6</v>
      </c>
      <c r="AH407" s="333">
        <v>5</v>
      </c>
      <c r="AI407" s="333">
        <v>5</v>
      </c>
      <c r="AJ407" s="327">
        <v>13</v>
      </c>
      <c r="AK407" s="334" t="s">
        <v>67</v>
      </c>
      <c r="AL407" s="335" t="s">
        <v>68</v>
      </c>
      <c r="AM407" s="336" t="s">
        <v>69</v>
      </c>
      <c r="AN407" s="336" t="s">
        <v>70</v>
      </c>
      <c r="AO407" s="314">
        <f t="shared" si="821"/>
        <v>0.0715393518518519</v>
      </c>
      <c r="AP407" s="315">
        <f t="shared" si="822"/>
        <v>134</v>
      </c>
      <c r="AQ407" s="316" t="str">
        <f t="shared" si="823"/>
        <v>MICRO</v>
      </c>
    </row>
    <row r="408" ht="29.25" customHeight="1" outlineLevel="1" spans="1:43">
      <c r="A408" s="363" t="s">
        <v>352</v>
      </c>
      <c r="B408" s="317">
        <v>0.0208449074074074</v>
      </c>
      <c r="C408" s="293" t="e">
        <f t="shared" ref="C408:G408" si="850">TEXT(IF($B408=0," ",$B408-C$6),"hh:mm am/pm")</f>
        <v>#VALUE!</v>
      </c>
      <c r="D408" s="293" t="e">
        <f t="shared" si="850"/>
        <v>#VALUE!</v>
      </c>
      <c r="E408" s="293" t="e">
        <f t="shared" si="850"/>
        <v>#VALUE!</v>
      </c>
      <c r="F408" s="293" t="e">
        <f t="shared" si="850"/>
        <v>#VALUE!</v>
      </c>
      <c r="G408" s="293" t="e">
        <f t="shared" si="850"/>
        <v>#VALUE!</v>
      </c>
      <c r="H408" s="293" t="str">
        <f t="shared" ref="H408:I408" si="851">TEXT(IF($B408=0," ",$B408+H$6),"hh:mm am/pm")</f>
        <v>06:30 001/p1</v>
      </c>
      <c r="I408" s="293" t="str">
        <f t="shared" si="851"/>
        <v>11:30 001/p1</v>
      </c>
      <c r="J408" s="294" t="s">
        <v>364</v>
      </c>
      <c r="K408" s="295"/>
      <c r="L408" s="337" t="s">
        <v>259</v>
      </c>
      <c r="M408" s="338" t="s">
        <v>71</v>
      </c>
      <c r="N408" s="339" t="s">
        <v>57</v>
      </c>
      <c r="O408" s="340" t="s">
        <v>74</v>
      </c>
      <c r="P408" s="341" t="s">
        <v>75</v>
      </c>
      <c r="Q408" s="342">
        <v>600</v>
      </c>
      <c r="R408" s="343" t="s">
        <v>60</v>
      </c>
      <c r="S408" s="344"/>
      <c r="T408" s="345" t="s">
        <v>77</v>
      </c>
      <c r="U408" s="339" t="s">
        <v>78</v>
      </c>
      <c r="V408" s="339">
        <v>1.2</v>
      </c>
      <c r="W408" s="339">
        <v>1.2</v>
      </c>
      <c r="X408" s="354"/>
      <c r="Y408" s="347" t="s">
        <v>79</v>
      </c>
      <c r="Z408" s="339">
        <v>1.2</v>
      </c>
      <c r="AA408" s="348">
        <v>60000</v>
      </c>
      <c r="AB408" s="348" t="s">
        <v>65</v>
      </c>
      <c r="AC408" s="349">
        <v>0.1</v>
      </c>
      <c r="AD408" s="349">
        <v>0.02</v>
      </c>
      <c r="AE408" s="348" t="s">
        <v>66</v>
      </c>
      <c r="AF408" s="346">
        <v>30000</v>
      </c>
      <c r="AG408" s="350">
        <v>5</v>
      </c>
      <c r="AH408" s="350">
        <v>5</v>
      </c>
      <c r="AI408" s="350">
        <v>5</v>
      </c>
      <c r="AJ408" s="345">
        <v>13</v>
      </c>
      <c r="AK408" s="351" t="s">
        <v>67</v>
      </c>
      <c r="AL408" s="352" t="s">
        <v>68</v>
      </c>
      <c r="AM408" s="353" t="s">
        <v>69</v>
      </c>
      <c r="AN408" s="353" t="s">
        <v>70</v>
      </c>
      <c r="AO408" s="314">
        <f t="shared" si="821"/>
        <v>0.0694560185185185</v>
      </c>
      <c r="AP408" s="315">
        <f t="shared" si="822"/>
        <v>569</v>
      </c>
      <c r="AQ408" s="316" t="str">
        <f t="shared" si="823"/>
        <v>MICRO</v>
      </c>
    </row>
    <row r="409" ht="29.25" customHeight="1" outlineLevel="1" spans="1:43">
      <c r="B409" s="317">
        <v>0.0208449074074074</v>
      </c>
      <c r="C409" s="293" t="e">
        <f t="shared" ref="C409:G409" si="852">TEXT(IF($B409=0," ",$B409-C$6),"hh:mm am/pm")</f>
        <v>#VALUE!</v>
      </c>
      <c r="D409" s="293" t="e">
        <f t="shared" si="852"/>
        <v>#VALUE!</v>
      </c>
      <c r="E409" s="293" t="e">
        <f t="shared" si="852"/>
        <v>#VALUE!</v>
      </c>
      <c r="F409" s="293" t="e">
        <f t="shared" si="852"/>
        <v>#VALUE!</v>
      </c>
      <c r="G409" s="293" t="e">
        <f t="shared" si="852"/>
        <v>#VALUE!</v>
      </c>
      <c r="H409" s="293" t="str">
        <f t="shared" ref="H409:I409" si="853">TEXT(IF($B409=0," ",$B409+H$6),"hh:mm am/pm")</f>
        <v>06:30 001/p1</v>
      </c>
      <c r="I409" s="293" t="str">
        <f t="shared" si="853"/>
        <v>11:30 001/p1</v>
      </c>
      <c r="J409" s="294" t="s">
        <v>312</v>
      </c>
      <c r="K409" s="295"/>
      <c r="L409" s="319" t="s">
        <v>117</v>
      </c>
      <c r="M409" s="320" t="s">
        <v>71</v>
      </c>
      <c r="N409" s="321" t="s">
        <v>100</v>
      </c>
      <c r="O409" s="322" t="s">
        <v>74</v>
      </c>
      <c r="P409" s="323" t="s">
        <v>101</v>
      </c>
      <c r="Q409" s="324">
        <v>200</v>
      </c>
      <c r="R409" s="375" t="s">
        <v>60</v>
      </c>
      <c r="S409" s="326"/>
      <c r="T409" s="327" t="s">
        <v>61</v>
      </c>
      <c r="U409" s="321" t="s">
        <v>62</v>
      </c>
      <c r="V409" s="321">
        <v>1</v>
      </c>
      <c r="W409" s="321">
        <v>1</v>
      </c>
      <c r="X409" s="328"/>
      <c r="Y409" s="329" t="s">
        <v>79</v>
      </c>
      <c r="Z409" s="321">
        <v>1</v>
      </c>
      <c r="AA409" s="330">
        <v>70000</v>
      </c>
      <c r="AB409" s="330" t="s">
        <v>65</v>
      </c>
      <c r="AC409" s="331">
        <v>0.1</v>
      </c>
      <c r="AD409" s="331">
        <v>0.02</v>
      </c>
      <c r="AE409" s="330" t="s">
        <v>88</v>
      </c>
      <c r="AF409" s="332">
        <v>30000</v>
      </c>
      <c r="AG409" s="333">
        <v>6</v>
      </c>
      <c r="AH409" s="333">
        <v>5</v>
      </c>
      <c r="AI409" s="333">
        <v>5</v>
      </c>
      <c r="AJ409" s="327">
        <v>12</v>
      </c>
      <c r="AK409" s="334" t="s">
        <v>67</v>
      </c>
      <c r="AL409" s="335" t="s">
        <v>68</v>
      </c>
      <c r="AM409" s="336" t="s">
        <v>69</v>
      </c>
      <c r="AN409" s="336" t="s">
        <v>70</v>
      </c>
      <c r="AO409" s="314">
        <f t="shared" si="821"/>
        <v>0.0743171296296296</v>
      </c>
      <c r="AP409" s="315">
        <f t="shared" si="822"/>
        <v>228</v>
      </c>
      <c r="AQ409" s="316" t="str">
        <f t="shared" si="823"/>
        <v>MICRO</v>
      </c>
    </row>
    <row r="410" ht="29.25" customHeight="1" outlineLevel="1" spans="1:43">
      <c r="B410" s="317">
        <v>0.0416782407407407</v>
      </c>
      <c r="C410" s="293" t="e">
        <f t="shared" ref="C410:G410" si="854">TEXT(IF($B410=0," ",$B410-C$6),"hh:mm am/pm")</f>
        <v>#VALUE!</v>
      </c>
      <c r="D410" s="293" t="e">
        <f t="shared" si="854"/>
        <v>#VALUE!</v>
      </c>
      <c r="E410" s="293" t="e">
        <f t="shared" si="854"/>
        <v>#VALUE!</v>
      </c>
      <c r="F410" s="293" t="e">
        <f t="shared" si="854"/>
        <v>#VALUE!</v>
      </c>
      <c r="G410" s="293" t="str">
        <f t="shared" si="854"/>
        <v>00:00 001/p1</v>
      </c>
      <c r="H410" s="293" t="str">
        <f t="shared" ref="H410:I410" si="855">TEXT(IF($B410=0," ",$B410+H$6),"hh:mm am/pm")</f>
        <v>07:00 001/p1</v>
      </c>
      <c r="I410" s="293" t="str">
        <f t="shared" si="855"/>
        <v>12:00 001/p1</v>
      </c>
      <c r="J410" s="318" t="s">
        <v>365</v>
      </c>
      <c r="K410" s="295"/>
      <c r="L410" s="337" t="s">
        <v>73</v>
      </c>
      <c r="M410" s="338" t="s">
        <v>71</v>
      </c>
      <c r="N410" s="339" t="s">
        <v>57</v>
      </c>
      <c r="O410" s="340" t="s">
        <v>74</v>
      </c>
      <c r="P410" s="341" t="s">
        <v>101</v>
      </c>
      <c r="Q410" s="342">
        <v>2200</v>
      </c>
      <c r="R410" s="325" t="s">
        <v>76</v>
      </c>
      <c r="S410" s="344"/>
      <c r="T410" s="345" t="s">
        <v>115</v>
      </c>
      <c r="U410" s="339" t="s">
        <v>62</v>
      </c>
      <c r="V410" s="339">
        <v>3</v>
      </c>
      <c r="W410" s="339">
        <v>3</v>
      </c>
      <c r="X410" s="354"/>
      <c r="Y410" s="347" t="s">
        <v>79</v>
      </c>
      <c r="Z410" s="339">
        <v>3</v>
      </c>
      <c r="AA410" s="348">
        <v>100000</v>
      </c>
      <c r="AB410" s="348" t="s">
        <v>65</v>
      </c>
      <c r="AC410" s="349">
        <v>0.1</v>
      </c>
      <c r="AD410" s="349">
        <v>0.02</v>
      </c>
      <c r="AE410" s="348" t="s">
        <v>88</v>
      </c>
      <c r="AF410" s="346">
        <v>40000</v>
      </c>
      <c r="AG410" s="350">
        <v>6</v>
      </c>
      <c r="AH410" s="350">
        <v>5</v>
      </c>
      <c r="AI410" s="350">
        <v>5</v>
      </c>
      <c r="AJ410" s="345">
        <v>13</v>
      </c>
      <c r="AK410" s="352" t="s">
        <v>67</v>
      </c>
      <c r="AL410" s="352" t="s">
        <v>68</v>
      </c>
      <c r="AM410" s="353" t="s">
        <v>69</v>
      </c>
      <c r="AN410" s="353" t="s">
        <v>70</v>
      </c>
      <c r="AO410" s="314">
        <f t="shared" si="821"/>
        <v>0.0993171296296296</v>
      </c>
      <c r="AP410" s="315">
        <f t="shared" si="822"/>
        <v>834</v>
      </c>
      <c r="AQ410" s="316" t="str">
        <f t="shared" si="823"/>
        <v>MICRO</v>
      </c>
    </row>
    <row r="411" ht="29.25" customHeight="1" outlineLevel="1" spans="1:43">
      <c r="A411" s="363" t="s">
        <v>352</v>
      </c>
      <c r="B411" s="317">
        <v>0.0416782407407407</v>
      </c>
      <c r="C411" s="293" t="e">
        <f t="shared" ref="C411:G411" si="856">TEXT(IF($B411=0," ",$B411-C$6),"hh:mm am/pm")</f>
        <v>#VALUE!</v>
      </c>
      <c r="D411" s="293" t="e">
        <f t="shared" si="856"/>
        <v>#VALUE!</v>
      </c>
      <c r="E411" s="293" t="e">
        <f t="shared" si="856"/>
        <v>#VALUE!</v>
      </c>
      <c r="F411" s="293" t="e">
        <f t="shared" si="856"/>
        <v>#VALUE!</v>
      </c>
      <c r="G411" s="293" t="str">
        <f t="shared" si="856"/>
        <v>00:00 001/p1</v>
      </c>
      <c r="H411" s="293" t="str">
        <f t="shared" ref="H411:I411" si="857">TEXT(IF($B411=0," ",$B411+H$6),"hh:mm am/pm")</f>
        <v>07:00 001/p1</v>
      </c>
      <c r="I411" s="293" t="str">
        <f t="shared" si="857"/>
        <v>12:00 001/p1</v>
      </c>
      <c r="J411" s="294" t="s">
        <v>252</v>
      </c>
      <c r="K411" s="295"/>
      <c r="L411" s="319" t="s">
        <v>121</v>
      </c>
      <c r="M411" s="320" t="s">
        <v>71</v>
      </c>
      <c r="N411" s="321" t="s">
        <v>122</v>
      </c>
      <c r="O411" s="322" t="s">
        <v>109</v>
      </c>
      <c r="P411" s="323" t="s">
        <v>101</v>
      </c>
      <c r="Q411" s="324">
        <v>400</v>
      </c>
      <c r="R411" s="375" t="s">
        <v>60</v>
      </c>
      <c r="S411" s="326"/>
      <c r="T411" s="327" t="s">
        <v>61</v>
      </c>
      <c r="U411" s="321" t="s">
        <v>62</v>
      </c>
      <c r="V411" s="321">
        <v>10</v>
      </c>
      <c r="W411" s="321">
        <v>10</v>
      </c>
      <c r="X411" s="328"/>
      <c r="Y411" s="329" t="s">
        <v>63</v>
      </c>
      <c r="Z411" s="326"/>
      <c r="AA411" s="330" t="s">
        <v>64</v>
      </c>
      <c r="AB411" s="330" t="s">
        <v>65</v>
      </c>
      <c r="AC411" s="331">
        <v>0.1</v>
      </c>
      <c r="AD411" s="331">
        <v>0.02</v>
      </c>
      <c r="AE411" s="330" t="s">
        <v>66</v>
      </c>
      <c r="AF411" s="332">
        <v>40000</v>
      </c>
      <c r="AG411" s="333">
        <v>7</v>
      </c>
      <c r="AH411" s="333">
        <v>6</v>
      </c>
      <c r="AI411" s="333">
        <v>6</v>
      </c>
      <c r="AJ411" s="327">
        <v>14</v>
      </c>
      <c r="AK411" s="334" t="s">
        <v>67</v>
      </c>
      <c r="AL411" s="335" t="s">
        <v>68</v>
      </c>
      <c r="AM411" s="336" t="s">
        <v>69</v>
      </c>
      <c r="AN411" s="336" t="s">
        <v>70</v>
      </c>
      <c r="AO411" s="314">
        <f t="shared" si="821"/>
        <v>0.113206018518519</v>
      </c>
      <c r="AP411" s="315">
        <f t="shared" si="822"/>
        <v>46</v>
      </c>
      <c r="AQ411" s="316" t="str">
        <f t="shared" si="823"/>
        <v>LOW</v>
      </c>
    </row>
    <row r="412" ht="29.25" customHeight="1" outlineLevel="1" spans="1:43">
      <c r="B412" s="317">
        <v>0.0625115740740741</v>
      </c>
      <c r="C412" s="293" t="e">
        <f t="shared" ref="C412:G412" si="858">TEXT(IF($B412=0," ",$B412-C$6),"hh:mm am/pm")</f>
        <v>#VALUE!</v>
      </c>
      <c r="D412" s="293" t="e">
        <f t="shared" si="858"/>
        <v>#VALUE!</v>
      </c>
      <c r="E412" s="293" t="e">
        <f t="shared" si="858"/>
        <v>#VALUE!</v>
      </c>
      <c r="F412" s="293" t="e">
        <f t="shared" si="858"/>
        <v>#VALUE!</v>
      </c>
      <c r="G412" s="293" t="str">
        <f t="shared" si="858"/>
        <v>00:30 001/p1</v>
      </c>
      <c r="H412" s="293" t="str">
        <f t="shared" ref="H412:I412" si="859">TEXT(IF($B412=0," ",$B412+H$6),"hh:mm am/pm")</f>
        <v>07:30 001/p1</v>
      </c>
      <c r="I412" s="293" t="str">
        <f t="shared" si="859"/>
        <v>12:30 001/p1</v>
      </c>
      <c r="J412" s="294" t="s">
        <v>123</v>
      </c>
      <c r="K412" s="295"/>
      <c r="L412" s="337" t="s">
        <v>124</v>
      </c>
      <c r="M412" s="338" t="s">
        <v>71</v>
      </c>
      <c r="N412" s="339" t="s">
        <v>100</v>
      </c>
      <c r="O412" s="340" t="s">
        <v>82</v>
      </c>
      <c r="P412" s="341" t="s">
        <v>101</v>
      </c>
      <c r="Q412" s="342">
        <v>100</v>
      </c>
      <c r="R412" s="343" t="s">
        <v>60</v>
      </c>
      <c r="S412" s="344"/>
      <c r="T412" s="345" t="s">
        <v>61</v>
      </c>
      <c r="U412" s="339" t="s">
        <v>62</v>
      </c>
      <c r="V412" s="339">
        <v>0.6</v>
      </c>
      <c r="W412" s="339">
        <v>0.6</v>
      </c>
      <c r="X412" s="354"/>
      <c r="Y412" s="347" t="s">
        <v>63</v>
      </c>
      <c r="Z412" s="344"/>
      <c r="AA412" s="348" t="s">
        <v>64</v>
      </c>
      <c r="AB412" s="348" t="s">
        <v>65</v>
      </c>
      <c r="AC412" s="349">
        <v>0.1</v>
      </c>
      <c r="AD412" s="349">
        <v>0</v>
      </c>
      <c r="AE412" s="348" t="s">
        <v>66</v>
      </c>
      <c r="AF412" s="346">
        <v>30000</v>
      </c>
      <c r="AG412" s="350">
        <v>5</v>
      </c>
      <c r="AH412" s="350">
        <v>5</v>
      </c>
      <c r="AI412" s="350">
        <v>5</v>
      </c>
      <c r="AJ412" s="345">
        <v>13</v>
      </c>
      <c r="AK412" s="352" t="s">
        <v>67</v>
      </c>
      <c r="AL412" s="352" t="s">
        <v>68</v>
      </c>
      <c r="AM412" s="353" t="s">
        <v>69</v>
      </c>
      <c r="AN412" s="353" t="s">
        <v>70</v>
      </c>
      <c r="AO412" s="314">
        <f t="shared" si="821"/>
        <v>0.111122685185185</v>
      </c>
      <c r="AP412" s="315">
        <f t="shared" si="822"/>
        <v>186</v>
      </c>
      <c r="AQ412" s="316" t="str">
        <f t="shared" si="823"/>
        <v>MICRO</v>
      </c>
    </row>
    <row r="413" ht="29.25" customHeight="1" outlineLevel="1" spans="1:43">
      <c r="B413" s="317">
        <v>0.0833449074074074</v>
      </c>
      <c r="C413" s="293" t="str">
        <f t="shared" ref="C413:G413" si="860">TEXT(IF($B413=0," ",$B413-C$6),"hh:mm am/pm")</f>
        <v>00:00 001/p1</v>
      </c>
      <c r="D413" s="293" t="e">
        <f t="shared" si="860"/>
        <v>#VALUE!</v>
      </c>
      <c r="E413" s="293" t="e">
        <f t="shared" si="860"/>
        <v>#VALUE!</v>
      </c>
      <c r="F413" s="293" t="str">
        <f t="shared" si="860"/>
        <v>00:00 001/p1</v>
      </c>
      <c r="G413" s="293" t="str">
        <f t="shared" si="860"/>
        <v>01:00 001/p1</v>
      </c>
      <c r="H413" s="293" t="str">
        <f t="shared" ref="H413:I413" si="861">TEXT(IF($B413=0," ",$B413+H$6),"hh:mm am/pm")</f>
        <v>08:00 001/p1</v>
      </c>
      <c r="I413" s="293" t="str">
        <f t="shared" si="861"/>
        <v>13:00 001/p1</v>
      </c>
      <c r="J413" s="294" t="s">
        <v>125</v>
      </c>
      <c r="K413" s="295"/>
      <c r="L413" s="319" t="s">
        <v>126</v>
      </c>
      <c r="M413" s="320" t="s">
        <v>71</v>
      </c>
      <c r="N413" s="321" t="s">
        <v>57</v>
      </c>
      <c r="O413" s="322" t="s">
        <v>82</v>
      </c>
      <c r="P413" s="323" t="s">
        <v>59</v>
      </c>
      <c r="Q413" s="324">
        <v>1000</v>
      </c>
      <c r="R413" s="375" t="s">
        <v>60</v>
      </c>
      <c r="S413" s="326"/>
      <c r="T413" s="327" t="s">
        <v>61</v>
      </c>
      <c r="U413" s="321" t="s">
        <v>62</v>
      </c>
      <c r="V413" s="321">
        <v>7</v>
      </c>
      <c r="W413" s="321">
        <v>7</v>
      </c>
      <c r="X413" s="328"/>
      <c r="Y413" s="329" t="s">
        <v>63</v>
      </c>
      <c r="Z413" s="326"/>
      <c r="AA413" s="330" t="s">
        <v>64</v>
      </c>
      <c r="AB413" s="330" t="s">
        <v>65</v>
      </c>
      <c r="AC413" s="331">
        <v>0.1</v>
      </c>
      <c r="AD413" s="331">
        <v>0.02</v>
      </c>
      <c r="AE413" s="330" t="s">
        <v>88</v>
      </c>
      <c r="AF413" s="332">
        <v>40000</v>
      </c>
      <c r="AG413" s="333">
        <v>6</v>
      </c>
      <c r="AH413" s="333">
        <v>5</v>
      </c>
      <c r="AI413" s="333">
        <v>5</v>
      </c>
      <c r="AJ413" s="327">
        <v>13</v>
      </c>
      <c r="AK413" s="334" t="s">
        <v>67</v>
      </c>
      <c r="AL413" s="335" t="s">
        <v>68</v>
      </c>
      <c r="AM413" s="336" t="s">
        <v>69</v>
      </c>
      <c r="AN413" s="336" t="s">
        <v>70</v>
      </c>
      <c r="AO413" s="314">
        <f t="shared" si="821"/>
        <v>0.140983796296296</v>
      </c>
      <c r="AP413" s="315">
        <f t="shared" si="822"/>
        <v>163</v>
      </c>
      <c r="AQ413" s="316" t="str">
        <f t="shared" si="823"/>
        <v>LOW</v>
      </c>
    </row>
    <row r="414" ht="29.25" customHeight="1" outlineLevel="1" spans="1:43">
      <c r="A414" s="363" t="s">
        <v>352</v>
      </c>
      <c r="B414" s="317">
        <v>0.104178240740741</v>
      </c>
      <c r="C414" s="293" t="str">
        <f t="shared" ref="C414:G414" si="862">TEXT(IF($B414=0," ",$B414-C$6),"hh:mm am/pm")</f>
        <v>00:30 001/p1</v>
      </c>
      <c r="D414" s="293" t="e">
        <f t="shared" si="862"/>
        <v>#VALUE!</v>
      </c>
      <c r="E414" s="293" t="e">
        <f t="shared" si="862"/>
        <v>#VALUE!</v>
      </c>
      <c r="F414" s="293" t="str">
        <f t="shared" si="862"/>
        <v>00:30 001/p1</v>
      </c>
      <c r="G414" s="293" t="str">
        <f t="shared" si="862"/>
        <v>01:30 001/p1</v>
      </c>
      <c r="H414" s="293" t="str">
        <f t="shared" ref="H414:I414" si="863">TEXT(IF($B414=0," ",$B414+H$6),"hh:mm am/pm")</f>
        <v>08:30 001/p1</v>
      </c>
      <c r="I414" s="293" t="str">
        <f t="shared" si="863"/>
        <v>13:30 001/p1</v>
      </c>
      <c r="J414" s="294" t="s">
        <v>153</v>
      </c>
      <c r="K414" s="295"/>
      <c r="L414" s="337" t="s">
        <v>114</v>
      </c>
      <c r="M414" s="338" t="s">
        <v>71</v>
      </c>
      <c r="N414" s="339" t="s">
        <v>57</v>
      </c>
      <c r="O414" s="340" t="s">
        <v>74</v>
      </c>
      <c r="P414" s="341" t="s">
        <v>101</v>
      </c>
      <c r="Q414" s="342">
        <v>300</v>
      </c>
      <c r="R414" s="343" t="s">
        <v>60</v>
      </c>
      <c r="S414" s="344"/>
      <c r="T414" s="345" t="s">
        <v>115</v>
      </c>
      <c r="U414" s="339" t="s">
        <v>62</v>
      </c>
      <c r="V414" s="339">
        <v>0.6</v>
      </c>
      <c r="W414" s="339">
        <v>0.6</v>
      </c>
      <c r="X414" s="354"/>
      <c r="Y414" s="347" t="s">
        <v>79</v>
      </c>
      <c r="Z414" s="339">
        <v>0.8</v>
      </c>
      <c r="AA414" s="348">
        <v>100000</v>
      </c>
      <c r="AB414" s="348" t="s">
        <v>65</v>
      </c>
      <c r="AC414" s="349">
        <v>0.1</v>
      </c>
      <c r="AD414" s="349">
        <v>0</v>
      </c>
      <c r="AE414" s="348" t="s">
        <v>88</v>
      </c>
      <c r="AF414" s="346">
        <v>50000</v>
      </c>
      <c r="AG414" s="350">
        <v>5</v>
      </c>
      <c r="AH414" s="350">
        <v>5</v>
      </c>
      <c r="AI414" s="350">
        <v>5</v>
      </c>
      <c r="AJ414" s="345">
        <v>13</v>
      </c>
      <c r="AK414" s="351" t="s">
        <v>67</v>
      </c>
      <c r="AL414" s="352" t="s">
        <v>68</v>
      </c>
      <c r="AM414" s="353" t="s">
        <v>69</v>
      </c>
      <c r="AN414" s="353" t="s">
        <v>70</v>
      </c>
      <c r="AO414" s="314">
        <f t="shared" si="821"/>
        <v>0.152789351851852</v>
      </c>
      <c r="AP414" s="315">
        <f t="shared" si="822"/>
        <v>556</v>
      </c>
      <c r="AQ414" s="316" t="str">
        <f t="shared" si="823"/>
        <v>MICRO</v>
      </c>
    </row>
    <row r="415" ht="29.25" customHeight="1" outlineLevel="1" spans="1:43">
      <c r="B415" s="317">
        <v>0.131956018518519</v>
      </c>
      <c r="C415" s="293" t="str">
        <f t="shared" ref="C415:G415" si="864">TEXT(IF($B415=0," ",$B415-C$6),"hh:mm am/pm")</f>
        <v>01:10 001/p1</v>
      </c>
      <c r="D415" s="293" t="e">
        <f t="shared" si="864"/>
        <v>#VALUE!</v>
      </c>
      <c r="E415" s="293" t="str">
        <f t="shared" si="864"/>
        <v>00:10 001/p1</v>
      </c>
      <c r="F415" s="293" t="str">
        <f t="shared" si="864"/>
        <v>01:10 001/p1</v>
      </c>
      <c r="G415" s="293" t="str">
        <f t="shared" si="864"/>
        <v>02:10 001/p1</v>
      </c>
      <c r="H415" s="293" t="str">
        <f t="shared" ref="H415:I415" si="865">TEXT(IF($B415=0," ",$B415+H$6),"hh:mm am/pm")</f>
        <v>09:10 001/p1</v>
      </c>
      <c r="I415" s="293" t="str">
        <f t="shared" si="865"/>
        <v>14:10 001/p1</v>
      </c>
      <c r="J415" s="294" t="s">
        <v>164</v>
      </c>
      <c r="K415" s="295"/>
      <c r="L415" s="319" t="s">
        <v>129</v>
      </c>
      <c r="M415" s="320" t="s">
        <v>71</v>
      </c>
      <c r="N415" s="321" t="s">
        <v>100</v>
      </c>
      <c r="O415" s="322" t="s">
        <v>74</v>
      </c>
      <c r="P415" s="323" t="s">
        <v>101</v>
      </c>
      <c r="Q415" s="324">
        <v>200</v>
      </c>
      <c r="R415" s="375" t="s">
        <v>60</v>
      </c>
      <c r="S415" s="326"/>
      <c r="T415" s="327" t="s">
        <v>61</v>
      </c>
      <c r="U415" s="321" t="s">
        <v>62</v>
      </c>
      <c r="V415" s="321">
        <v>2</v>
      </c>
      <c r="W415" s="321">
        <v>2</v>
      </c>
      <c r="X415" s="328"/>
      <c r="Y415" s="329" t="s">
        <v>79</v>
      </c>
      <c r="Z415" s="321">
        <v>2</v>
      </c>
      <c r="AA415" s="330">
        <v>80000</v>
      </c>
      <c r="AB415" s="330" t="s">
        <v>65</v>
      </c>
      <c r="AC415" s="331">
        <v>0.1</v>
      </c>
      <c r="AD415" s="331">
        <v>0</v>
      </c>
      <c r="AE415" s="330" t="s">
        <v>88</v>
      </c>
      <c r="AF415" s="332">
        <v>40000</v>
      </c>
      <c r="AG415" s="333">
        <v>5</v>
      </c>
      <c r="AH415" s="333">
        <v>5</v>
      </c>
      <c r="AI415" s="333">
        <v>5</v>
      </c>
      <c r="AJ415" s="327">
        <v>13</v>
      </c>
      <c r="AK415" s="334" t="s">
        <v>67</v>
      </c>
      <c r="AL415" s="335" t="s">
        <v>68</v>
      </c>
      <c r="AM415" s="336" t="s">
        <v>69</v>
      </c>
      <c r="AN415" s="336" t="s">
        <v>70</v>
      </c>
      <c r="AO415" s="314">
        <f t="shared" si="821"/>
        <v>0.18056712962963</v>
      </c>
      <c r="AP415" s="315">
        <f t="shared" si="822"/>
        <v>112</v>
      </c>
      <c r="AQ415" s="316" t="str">
        <f t="shared" si="823"/>
        <v>MICRO</v>
      </c>
    </row>
    <row r="416" ht="29.25" customHeight="1" outlineLevel="1" spans="1:43">
      <c r="B416" s="317">
        <v>0.131956018518519</v>
      </c>
      <c r="C416" s="293" t="str">
        <f t="shared" ref="C416:G416" si="866">TEXT(IF($B416=0," ",$B416-C$6),"hh:mm am/pm")</f>
        <v>01:10 001/p1</v>
      </c>
      <c r="D416" s="293" t="e">
        <f t="shared" si="866"/>
        <v>#VALUE!</v>
      </c>
      <c r="E416" s="293" t="str">
        <f t="shared" si="866"/>
        <v>00:10 001/p1</v>
      </c>
      <c r="F416" s="293" t="str">
        <f t="shared" si="866"/>
        <v>01:10 001/p1</v>
      </c>
      <c r="G416" s="293" t="str">
        <f t="shared" si="866"/>
        <v>02:10 001/p1</v>
      </c>
      <c r="H416" s="293" t="str">
        <f t="shared" ref="H416:I416" si="867">TEXT(IF($B416=0," ",$B416+H$6),"hh:mm am/pm")</f>
        <v>09:10 001/p1</v>
      </c>
      <c r="I416" s="293" t="str">
        <f t="shared" si="867"/>
        <v>14:10 001/p1</v>
      </c>
      <c r="J416" s="294" t="s">
        <v>316</v>
      </c>
      <c r="K416" s="295"/>
      <c r="L416" s="337" t="s">
        <v>126</v>
      </c>
      <c r="M416" s="338" t="s">
        <v>71</v>
      </c>
      <c r="N416" s="339" t="s">
        <v>57</v>
      </c>
      <c r="O416" s="340" t="s">
        <v>82</v>
      </c>
      <c r="P416" s="341" t="s">
        <v>59</v>
      </c>
      <c r="Q416" s="342">
        <v>300</v>
      </c>
      <c r="R416" s="343" t="s">
        <v>60</v>
      </c>
      <c r="S416" s="344"/>
      <c r="T416" s="345" t="s">
        <v>61</v>
      </c>
      <c r="U416" s="339" t="s">
        <v>62</v>
      </c>
      <c r="V416" s="339">
        <v>5</v>
      </c>
      <c r="W416" s="339">
        <v>5</v>
      </c>
      <c r="X416" s="354"/>
      <c r="Y416" s="347" t="s">
        <v>63</v>
      </c>
      <c r="Z416" s="344"/>
      <c r="AA416" s="348" t="s">
        <v>64</v>
      </c>
      <c r="AB416" s="348" t="s">
        <v>65</v>
      </c>
      <c r="AC416" s="349">
        <v>0.1</v>
      </c>
      <c r="AD416" s="349">
        <v>0.02</v>
      </c>
      <c r="AE416" s="348" t="s">
        <v>88</v>
      </c>
      <c r="AF416" s="346">
        <v>30000</v>
      </c>
      <c r="AG416" s="350">
        <v>5</v>
      </c>
      <c r="AH416" s="350">
        <v>5</v>
      </c>
      <c r="AI416" s="350">
        <v>5</v>
      </c>
      <c r="AJ416" s="345">
        <v>12</v>
      </c>
      <c r="AK416" s="351" t="s">
        <v>67</v>
      </c>
      <c r="AL416" s="352" t="s">
        <v>68</v>
      </c>
      <c r="AM416" s="353" t="s">
        <v>69</v>
      </c>
      <c r="AN416" s="353" t="s">
        <v>70</v>
      </c>
      <c r="AO416" s="314">
        <f t="shared" si="821"/>
        <v>0.177094907407407</v>
      </c>
      <c r="AP416" s="315">
        <f t="shared" si="822"/>
        <v>69</v>
      </c>
      <c r="AQ416" s="316" t="str">
        <f t="shared" si="823"/>
        <v>MICRO</v>
      </c>
    </row>
    <row r="417" ht="29.25" customHeight="1" outlineLevel="1" spans="1:43">
      <c r="A417" s="363" t="s">
        <v>352</v>
      </c>
      <c r="B417" s="364">
        <v>0.173622685185185</v>
      </c>
      <c r="C417" s="293" t="str">
        <f t="shared" ref="C417:G417" si="868">TEXT(IF($B417=0," ",$B417-C$6),"hh:mm am/pm")</f>
        <v>02:10 001/p1</v>
      </c>
      <c r="D417" s="293" t="str">
        <f t="shared" si="868"/>
        <v>00:10 001/p1</v>
      </c>
      <c r="E417" s="293" t="str">
        <f t="shared" si="868"/>
        <v>01:10 001/p1</v>
      </c>
      <c r="F417" s="293" t="str">
        <f t="shared" si="868"/>
        <v>02:10 001/p1</v>
      </c>
      <c r="G417" s="293" t="str">
        <f t="shared" si="868"/>
        <v>03:10 001/p1</v>
      </c>
      <c r="H417" s="293" t="str">
        <f t="shared" ref="H417:I417" si="869">TEXT(IF($B417=0," ",$B417+H$6),"hh:mm am/pm")</f>
        <v>10:10 001/p1</v>
      </c>
      <c r="I417" s="293" t="str">
        <f t="shared" si="869"/>
        <v>15:10 001/p1</v>
      </c>
      <c r="J417" s="294" t="s">
        <v>317</v>
      </c>
      <c r="K417" s="295"/>
      <c r="L417" s="319" t="s">
        <v>119</v>
      </c>
      <c r="M417" s="320" t="s">
        <v>71</v>
      </c>
      <c r="N417" s="321" t="s">
        <v>57</v>
      </c>
      <c r="O417" s="322" t="s">
        <v>74</v>
      </c>
      <c r="P417" s="323" t="s">
        <v>59</v>
      </c>
      <c r="Q417" s="324">
        <v>300</v>
      </c>
      <c r="R417" s="375" t="s">
        <v>60</v>
      </c>
      <c r="S417" s="326"/>
      <c r="T417" s="327" t="s">
        <v>115</v>
      </c>
      <c r="U417" s="321" t="s">
        <v>62</v>
      </c>
      <c r="V417" s="321">
        <v>2</v>
      </c>
      <c r="W417" s="321">
        <v>2</v>
      </c>
      <c r="X417" s="328"/>
      <c r="Y417" s="329" t="s">
        <v>79</v>
      </c>
      <c r="Z417" s="321">
        <v>2</v>
      </c>
      <c r="AA417" s="330">
        <v>75000</v>
      </c>
      <c r="AB417" s="330" t="s">
        <v>65</v>
      </c>
      <c r="AC417" s="331">
        <v>0.1</v>
      </c>
      <c r="AD417" s="331">
        <v>0.02</v>
      </c>
      <c r="AE417" s="330" t="s">
        <v>88</v>
      </c>
      <c r="AF417" s="332">
        <v>30000</v>
      </c>
      <c r="AG417" s="333">
        <v>5</v>
      </c>
      <c r="AH417" s="333">
        <v>5</v>
      </c>
      <c r="AI417" s="333">
        <v>5</v>
      </c>
      <c r="AJ417" s="327">
        <v>12</v>
      </c>
      <c r="AK417" s="334" t="s">
        <v>67</v>
      </c>
      <c r="AL417" s="335" t="s">
        <v>68</v>
      </c>
      <c r="AM417" s="336" t="s">
        <v>69</v>
      </c>
      <c r="AN417" s="336" t="s">
        <v>70</v>
      </c>
      <c r="AO417" s="314">
        <f t="shared" si="821"/>
        <v>0.218761574074074</v>
      </c>
      <c r="AP417" s="315">
        <f t="shared" si="822"/>
        <v>171</v>
      </c>
      <c r="AQ417" s="316" t="str">
        <f t="shared" si="823"/>
        <v>MICRO</v>
      </c>
    </row>
    <row r="418" ht="29.25" customHeight="1" outlineLevel="1" spans="1:43">
      <c r="B418" s="364">
        <v>0.208344907407407</v>
      </c>
      <c r="C418" s="293" t="str">
        <f t="shared" ref="C418:G418" si="870">TEXT(IF($B418=0," ",$B418-C$6),"hh:mm am/pm")</f>
        <v>03:00 001/p1</v>
      </c>
      <c r="D418" s="293" t="str">
        <f t="shared" si="870"/>
        <v>01:00 001/p1</v>
      </c>
      <c r="E418" s="293" t="str">
        <f t="shared" si="870"/>
        <v>02:00 001/p1</v>
      </c>
      <c r="F418" s="293" t="str">
        <f t="shared" si="870"/>
        <v>03:00 001/p1</v>
      </c>
      <c r="G418" s="293" t="str">
        <f t="shared" si="870"/>
        <v>04:00 001/p1</v>
      </c>
      <c r="H418" s="293" t="str">
        <f t="shared" ref="H418:I418" si="871">TEXT(IF($B418=0," ",$B418+H$6),"hh:mm am/pm")</f>
        <v>11:00 001/p1</v>
      </c>
      <c r="I418" s="293" t="str">
        <f t="shared" si="871"/>
        <v>16:00 001/p1</v>
      </c>
      <c r="J418" s="294" t="s">
        <v>132</v>
      </c>
      <c r="K418" s="295"/>
      <c r="L418" s="337" t="s">
        <v>133</v>
      </c>
      <c r="M418" s="338" t="s">
        <v>71</v>
      </c>
      <c r="N418" s="339" t="s">
        <v>57</v>
      </c>
      <c r="O418" s="340" t="s">
        <v>58</v>
      </c>
      <c r="P418" s="341" t="s">
        <v>59</v>
      </c>
      <c r="Q418" s="342">
        <v>100</v>
      </c>
      <c r="R418" s="343" t="s">
        <v>60</v>
      </c>
      <c r="S418" s="344"/>
      <c r="T418" s="345" t="s">
        <v>61</v>
      </c>
      <c r="U418" s="339" t="s">
        <v>62</v>
      </c>
      <c r="V418" s="339">
        <v>1.6</v>
      </c>
      <c r="W418" s="339">
        <v>1.6</v>
      </c>
      <c r="X418" s="354"/>
      <c r="Y418" s="347" t="s">
        <v>63</v>
      </c>
      <c r="Z418" s="344"/>
      <c r="AA418" s="348" t="s">
        <v>64</v>
      </c>
      <c r="AB418" s="348" t="s">
        <v>65</v>
      </c>
      <c r="AC418" s="349">
        <v>0.1</v>
      </c>
      <c r="AD418" s="349">
        <v>0</v>
      </c>
      <c r="AE418" s="348" t="s">
        <v>66</v>
      </c>
      <c r="AF418" s="346">
        <v>30000</v>
      </c>
      <c r="AG418" s="350">
        <v>8</v>
      </c>
      <c r="AH418" s="350">
        <v>7</v>
      </c>
      <c r="AI418" s="350">
        <v>7</v>
      </c>
      <c r="AJ418" s="345">
        <v>13</v>
      </c>
      <c r="AK418" s="351" t="s">
        <v>67</v>
      </c>
      <c r="AL418" s="352" t="s">
        <v>68</v>
      </c>
      <c r="AM418" s="353" t="s">
        <v>69</v>
      </c>
      <c r="AN418" s="353" t="s">
        <v>70</v>
      </c>
      <c r="AO418" s="314">
        <f t="shared" si="821"/>
        <v>0.284039351851852</v>
      </c>
      <c r="AP418" s="315">
        <f t="shared" si="822"/>
        <v>70</v>
      </c>
      <c r="AQ418" s="316" t="str">
        <f t="shared" si="823"/>
        <v>MICRO</v>
      </c>
    </row>
    <row r="419" ht="29.25" customHeight="1" outlineLevel="1" spans="1:43">
      <c r="B419" s="364">
        <v>0.215289351851852</v>
      </c>
      <c r="C419" s="293" t="str">
        <f t="shared" ref="C419:G419" si="872">TEXT(IF($B419=0," ",$B419-C$6),"hh:mm am/pm")</f>
        <v>03:10 001/p1</v>
      </c>
      <c r="D419" s="293" t="str">
        <f t="shared" si="872"/>
        <v>01:10 001/p1</v>
      </c>
      <c r="E419" s="293" t="str">
        <f t="shared" si="872"/>
        <v>02:10 001/p1</v>
      </c>
      <c r="F419" s="293" t="str">
        <f t="shared" si="872"/>
        <v>03:10 001/p1</v>
      </c>
      <c r="G419" s="293" t="str">
        <f t="shared" si="872"/>
        <v>04:10 001/p1</v>
      </c>
      <c r="H419" s="293" t="str">
        <f t="shared" ref="H419:I419" si="873">TEXT(IF($B419=0," ",$B419+H$6),"hh:mm am/pm")</f>
        <v>11:10 001/p1</v>
      </c>
      <c r="I419" s="293" t="str">
        <f t="shared" si="873"/>
        <v>16:10 001/p1</v>
      </c>
      <c r="J419" s="294" t="s">
        <v>134</v>
      </c>
      <c r="K419" s="295"/>
      <c r="L419" s="319" t="s">
        <v>114</v>
      </c>
      <c r="M419" s="320" t="s">
        <v>71</v>
      </c>
      <c r="N419" s="321" t="s">
        <v>57</v>
      </c>
      <c r="O419" s="322" t="s">
        <v>74</v>
      </c>
      <c r="P419" s="323" t="s">
        <v>59</v>
      </c>
      <c r="Q419" s="324">
        <v>200</v>
      </c>
      <c r="R419" s="375" t="s">
        <v>60</v>
      </c>
      <c r="S419" s="326"/>
      <c r="T419" s="327" t="s">
        <v>115</v>
      </c>
      <c r="U419" s="321" t="s">
        <v>62</v>
      </c>
      <c r="V419" s="321">
        <v>2</v>
      </c>
      <c r="W419" s="321">
        <v>2</v>
      </c>
      <c r="X419" s="328"/>
      <c r="Y419" s="329" t="s">
        <v>79</v>
      </c>
      <c r="Z419" s="321">
        <v>2</v>
      </c>
      <c r="AA419" s="330">
        <v>80000</v>
      </c>
      <c r="AB419" s="330" t="s">
        <v>65</v>
      </c>
      <c r="AC419" s="331">
        <v>0.1</v>
      </c>
      <c r="AD419" s="331">
        <v>0</v>
      </c>
      <c r="AE419" s="330" t="s">
        <v>88</v>
      </c>
      <c r="AF419" s="332">
        <v>40000</v>
      </c>
      <c r="AG419" s="333">
        <v>6</v>
      </c>
      <c r="AH419" s="333">
        <v>5</v>
      </c>
      <c r="AI419" s="333">
        <v>5</v>
      </c>
      <c r="AJ419" s="327">
        <v>13</v>
      </c>
      <c r="AK419" s="334" t="s">
        <v>67</v>
      </c>
      <c r="AL419" s="335" t="s">
        <v>68</v>
      </c>
      <c r="AM419" s="336" t="s">
        <v>69</v>
      </c>
      <c r="AN419" s="336" t="s">
        <v>70</v>
      </c>
      <c r="AO419" s="314">
        <f t="shared" si="821"/>
        <v>0.272928240740741</v>
      </c>
      <c r="AP419" s="315">
        <f t="shared" si="822"/>
        <v>112</v>
      </c>
      <c r="AQ419" s="316" t="str">
        <f t="shared" si="823"/>
        <v>MICRO</v>
      </c>
    </row>
    <row r="420" ht="29.25" customHeight="1" outlineLevel="1" spans="1:43">
      <c r="B420" s="317">
        <v>0.229178240740741</v>
      </c>
      <c r="C420" s="293" t="str">
        <f t="shared" ref="C420:G420" si="874">TEXT(IF($B420=0," ",$B420-C$6),"hh:mm am/pm")</f>
        <v>03:30 001/p1</v>
      </c>
      <c r="D420" s="293" t="str">
        <f t="shared" si="874"/>
        <v>01:30 001/p1</v>
      </c>
      <c r="E420" s="293" t="str">
        <f t="shared" si="874"/>
        <v>02:30 001/p1</v>
      </c>
      <c r="F420" s="293" t="str">
        <f t="shared" si="874"/>
        <v>03:30 001/p1</v>
      </c>
      <c r="G420" s="293" t="str">
        <f t="shared" si="874"/>
        <v>04:30 001/p1</v>
      </c>
      <c r="H420" s="293" t="str">
        <f t="shared" ref="H420:I420" si="875">TEXT(IF($B420=0," ",$B420+H$6),"hh:mm am/pm")</f>
        <v>11:30 001/p1</v>
      </c>
      <c r="I420" s="293" t="str">
        <f t="shared" si="875"/>
        <v>16:30 001/p1</v>
      </c>
      <c r="J420" s="294" t="s">
        <v>246</v>
      </c>
      <c r="K420" s="295"/>
      <c r="L420" s="337" t="s">
        <v>124</v>
      </c>
      <c r="M420" s="338" t="s">
        <v>71</v>
      </c>
      <c r="N420" s="339" t="s">
        <v>122</v>
      </c>
      <c r="O420" s="340" t="s">
        <v>82</v>
      </c>
      <c r="P420" s="341" t="s">
        <v>59</v>
      </c>
      <c r="Q420" s="342">
        <v>80</v>
      </c>
      <c r="R420" s="343" t="s">
        <v>60</v>
      </c>
      <c r="S420" s="344"/>
      <c r="T420" s="345" t="s">
        <v>61</v>
      </c>
      <c r="U420" s="339" t="s">
        <v>62</v>
      </c>
      <c r="V420" s="339">
        <v>1</v>
      </c>
      <c r="W420" s="339">
        <v>1</v>
      </c>
      <c r="X420" s="354"/>
      <c r="Y420" s="347" t="s">
        <v>63</v>
      </c>
      <c r="Z420" s="344"/>
      <c r="AA420" s="348" t="s">
        <v>64</v>
      </c>
      <c r="AB420" s="348" t="s">
        <v>65</v>
      </c>
      <c r="AC420" s="349">
        <v>0.1</v>
      </c>
      <c r="AD420" s="349">
        <v>0</v>
      </c>
      <c r="AE420" s="348" t="s">
        <v>66</v>
      </c>
      <c r="AF420" s="346">
        <v>50000</v>
      </c>
      <c r="AG420" s="350">
        <v>7</v>
      </c>
      <c r="AH420" s="350">
        <v>6</v>
      </c>
      <c r="AI420" s="350">
        <v>6</v>
      </c>
      <c r="AJ420" s="345">
        <v>15</v>
      </c>
      <c r="AK420" s="351" t="s">
        <v>67</v>
      </c>
      <c r="AL420" s="352" t="s">
        <v>68</v>
      </c>
      <c r="AM420" s="353" t="s">
        <v>69</v>
      </c>
      <c r="AN420" s="353" t="s">
        <v>70</v>
      </c>
      <c r="AO420" s="314">
        <f t="shared" si="821"/>
        <v>0.30556712962963</v>
      </c>
      <c r="AP420" s="315">
        <f t="shared" si="822"/>
        <v>89</v>
      </c>
      <c r="AQ420" s="316" t="str">
        <f t="shared" si="823"/>
        <v>MICRO</v>
      </c>
    </row>
    <row r="421" ht="29.25" customHeight="1" outlineLevel="1" spans="1:43">
      <c r="A421" s="363" t="s">
        <v>352</v>
      </c>
      <c r="B421" s="317">
        <v>0.256956018518519</v>
      </c>
      <c r="C421" s="293" t="str">
        <f t="shared" ref="C421:G421" si="876">TEXT(IF($B421=0," ",$B421-C$6),"hh:mm am/pm")</f>
        <v>04:10 001/p1</v>
      </c>
      <c r="D421" s="293" t="str">
        <f t="shared" si="876"/>
        <v>02:10 001/p1</v>
      </c>
      <c r="E421" s="293" t="str">
        <f t="shared" si="876"/>
        <v>03:10 001/p1</v>
      </c>
      <c r="F421" s="293" t="str">
        <f t="shared" si="876"/>
        <v>04:10 001/p1</v>
      </c>
      <c r="G421" s="293" t="str">
        <f t="shared" si="876"/>
        <v>05:10 001/p1</v>
      </c>
      <c r="H421" s="293" t="str">
        <f t="shared" ref="H421:I421" si="877">TEXT(IF($B421=0," ",$B421+H$6),"hh:mm am/pm")</f>
        <v>12:10 001/p1</v>
      </c>
      <c r="I421" s="293" t="str">
        <f t="shared" si="877"/>
        <v>17:10 001/p1</v>
      </c>
      <c r="J421" s="294" t="s">
        <v>136</v>
      </c>
      <c r="K421" s="295"/>
      <c r="L421" s="319" t="s">
        <v>114</v>
      </c>
      <c r="M421" s="320" t="s">
        <v>71</v>
      </c>
      <c r="N421" s="321" t="s">
        <v>57</v>
      </c>
      <c r="O421" s="322" t="s">
        <v>74</v>
      </c>
      <c r="P421" s="323" t="s">
        <v>75</v>
      </c>
      <c r="Q421" s="324">
        <v>100</v>
      </c>
      <c r="R421" s="375" t="s">
        <v>60</v>
      </c>
      <c r="S421" s="326"/>
      <c r="T421" s="327" t="s">
        <v>115</v>
      </c>
      <c r="U421" s="321" t="s">
        <v>62</v>
      </c>
      <c r="V421" s="321">
        <v>1</v>
      </c>
      <c r="W421" s="321">
        <v>1</v>
      </c>
      <c r="X421" s="328"/>
      <c r="Y421" s="329" t="s">
        <v>79</v>
      </c>
      <c r="Z421" s="321">
        <v>1</v>
      </c>
      <c r="AA421" s="330">
        <v>80000</v>
      </c>
      <c r="AB421" s="330" t="s">
        <v>65</v>
      </c>
      <c r="AC421" s="331">
        <v>0.1</v>
      </c>
      <c r="AD421" s="331">
        <v>0</v>
      </c>
      <c r="AE421" s="330" t="s">
        <v>88</v>
      </c>
      <c r="AF421" s="332">
        <v>40000</v>
      </c>
      <c r="AG421" s="333">
        <v>6</v>
      </c>
      <c r="AH421" s="333">
        <v>6</v>
      </c>
      <c r="AI421" s="333">
        <v>6</v>
      </c>
      <c r="AJ421" s="327">
        <v>13</v>
      </c>
      <c r="AK421" s="334" t="s">
        <v>67</v>
      </c>
      <c r="AL421" s="335" t="s">
        <v>68</v>
      </c>
      <c r="AM421" s="336" t="s">
        <v>69</v>
      </c>
      <c r="AN421" s="336" t="s">
        <v>70</v>
      </c>
      <c r="AO421" s="314">
        <f t="shared" si="821"/>
        <v>0.314594907407407</v>
      </c>
      <c r="AP421" s="315">
        <f t="shared" si="822"/>
        <v>112</v>
      </c>
      <c r="AQ421" s="316" t="str">
        <f t="shared" si="823"/>
        <v>MICRO</v>
      </c>
    </row>
    <row r="422" ht="29.25" customHeight="1" outlineLevel="1" spans="1:43">
      <c r="B422" s="317">
        <v>0.298622685185185</v>
      </c>
      <c r="C422" s="293" t="str">
        <f t="shared" ref="C422:G422" si="878">TEXT(IF($B422=0," ",$B422-C$6),"hh:mm am/pm")</f>
        <v>05:10 001/p1</v>
      </c>
      <c r="D422" s="293" t="str">
        <f t="shared" si="878"/>
        <v>03:10 001/p1</v>
      </c>
      <c r="E422" s="293" t="str">
        <f t="shared" si="878"/>
        <v>04:10 001/p1</v>
      </c>
      <c r="F422" s="293" t="str">
        <f t="shared" si="878"/>
        <v>05:10 001/p1</v>
      </c>
      <c r="G422" s="293" t="str">
        <f t="shared" si="878"/>
        <v>06:10 001/p1</v>
      </c>
      <c r="H422" s="293" t="str">
        <f t="shared" ref="H422:I422" si="879">TEXT(IF($B422=0," ",$B422+H$6),"hh:mm am/pm")</f>
        <v>13:10 001/p1</v>
      </c>
      <c r="I422" s="293" t="str">
        <f t="shared" si="879"/>
        <v>18:10 001/p1</v>
      </c>
      <c r="J422" s="294" t="s">
        <v>137</v>
      </c>
      <c r="K422" s="295"/>
      <c r="L422" s="337" t="s">
        <v>129</v>
      </c>
      <c r="M422" s="338" t="s">
        <v>71</v>
      </c>
      <c r="N422" s="339" t="s">
        <v>100</v>
      </c>
      <c r="O422" s="340" t="s">
        <v>74</v>
      </c>
      <c r="P422" s="341" t="s">
        <v>101</v>
      </c>
      <c r="Q422" s="342">
        <v>100</v>
      </c>
      <c r="R422" s="343" t="s">
        <v>60</v>
      </c>
      <c r="S422" s="344"/>
      <c r="T422" s="345" t="s">
        <v>61</v>
      </c>
      <c r="U422" s="339" t="s">
        <v>62</v>
      </c>
      <c r="V422" s="339">
        <v>1</v>
      </c>
      <c r="W422" s="339">
        <v>1</v>
      </c>
      <c r="X422" s="354"/>
      <c r="Y422" s="347" t="s">
        <v>79</v>
      </c>
      <c r="Z422" s="339">
        <v>1</v>
      </c>
      <c r="AA422" s="348">
        <v>75000</v>
      </c>
      <c r="AB422" s="348" t="s">
        <v>65</v>
      </c>
      <c r="AC422" s="349">
        <v>0.1</v>
      </c>
      <c r="AD422" s="349">
        <v>0</v>
      </c>
      <c r="AE422" s="348" t="s">
        <v>88</v>
      </c>
      <c r="AF422" s="346">
        <v>30000</v>
      </c>
      <c r="AG422" s="350">
        <v>5</v>
      </c>
      <c r="AH422" s="350">
        <v>5</v>
      </c>
      <c r="AI422" s="350">
        <v>5</v>
      </c>
      <c r="AJ422" s="345">
        <v>12</v>
      </c>
      <c r="AK422" s="351" t="s">
        <v>67</v>
      </c>
      <c r="AL422" s="352" t="s">
        <v>68</v>
      </c>
      <c r="AM422" s="353" t="s">
        <v>69</v>
      </c>
      <c r="AN422" s="353" t="s">
        <v>70</v>
      </c>
      <c r="AO422" s="314">
        <f t="shared" si="821"/>
        <v>0.343761574074074</v>
      </c>
      <c r="AP422" s="315">
        <f t="shared" si="822"/>
        <v>112</v>
      </c>
      <c r="AQ422" s="316" t="str">
        <f t="shared" si="823"/>
        <v>MICRO</v>
      </c>
    </row>
    <row r="423" ht="29.25" customHeight="1" outlineLevel="1" spans="1:43">
      <c r="B423" s="317">
        <v>0.312511574074074</v>
      </c>
      <c r="C423" s="293" t="str">
        <f t="shared" ref="C423:G423" si="880">TEXT(IF($B423=0," ",$B423-C$6),"hh:mm am/pm")</f>
        <v>05:30 001/p1</v>
      </c>
      <c r="D423" s="293" t="str">
        <f t="shared" si="880"/>
        <v>03:30 001/p1</v>
      </c>
      <c r="E423" s="293" t="str">
        <f t="shared" si="880"/>
        <v>04:30 001/p1</v>
      </c>
      <c r="F423" s="293" t="str">
        <f t="shared" si="880"/>
        <v>05:30 001/p1</v>
      </c>
      <c r="G423" s="293" t="str">
        <f t="shared" si="880"/>
        <v>06:30 001/p1</v>
      </c>
      <c r="H423" s="293" t="str">
        <f t="shared" ref="H423:I423" si="881">TEXT(IF($B423=0," ",$B423+H$6),"hh:mm am/pm")</f>
        <v>13:30 001/p1</v>
      </c>
      <c r="I423" s="293" t="str">
        <f t="shared" si="881"/>
        <v>18:30 001/p1</v>
      </c>
      <c r="J423" s="294" t="s">
        <v>319</v>
      </c>
      <c r="K423" s="295"/>
      <c r="L423" s="319" t="s">
        <v>240</v>
      </c>
      <c r="M423" s="320" t="s">
        <v>71</v>
      </c>
      <c r="N423" s="321" t="s">
        <v>57</v>
      </c>
      <c r="O423" s="322" t="s">
        <v>109</v>
      </c>
      <c r="P423" s="323" t="s">
        <v>59</v>
      </c>
      <c r="Q423" s="324">
        <v>80</v>
      </c>
      <c r="R423" s="375" t="s">
        <v>60</v>
      </c>
      <c r="S423" s="326"/>
      <c r="T423" s="327" t="s">
        <v>61</v>
      </c>
      <c r="U423" s="321" t="s">
        <v>62</v>
      </c>
      <c r="V423" s="321">
        <v>1</v>
      </c>
      <c r="W423" s="321">
        <v>1</v>
      </c>
      <c r="X423" s="328"/>
      <c r="Y423" s="329" t="s">
        <v>63</v>
      </c>
      <c r="Z423" s="326"/>
      <c r="AA423" s="330" t="s">
        <v>64</v>
      </c>
      <c r="AB423" s="330" t="s">
        <v>65</v>
      </c>
      <c r="AC423" s="331">
        <v>0.1</v>
      </c>
      <c r="AD423" s="331">
        <v>0</v>
      </c>
      <c r="AE423" s="330" t="s">
        <v>66</v>
      </c>
      <c r="AF423" s="332">
        <v>50000</v>
      </c>
      <c r="AG423" s="333">
        <v>8</v>
      </c>
      <c r="AH423" s="333">
        <v>7</v>
      </c>
      <c r="AI423" s="333">
        <v>7</v>
      </c>
      <c r="AJ423" s="327">
        <v>15</v>
      </c>
      <c r="AK423" s="334" t="s">
        <v>67</v>
      </c>
      <c r="AL423" s="335" t="s">
        <v>68</v>
      </c>
      <c r="AM423" s="336" t="s">
        <v>69</v>
      </c>
      <c r="AN423" s="336" t="s">
        <v>70</v>
      </c>
      <c r="AO423" s="314">
        <f t="shared" si="821"/>
        <v>0.402789351851852</v>
      </c>
      <c r="AP423" s="315">
        <f t="shared" si="822"/>
        <v>89</v>
      </c>
      <c r="AQ423" s="316" t="str">
        <f t="shared" si="823"/>
        <v>MICRO</v>
      </c>
    </row>
    <row r="424" ht="29.25" customHeight="1" outlineLevel="1" spans="1:43">
      <c r="A424" s="363" t="s">
        <v>352</v>
      </c>
      <c r="B424" s="317">
        <v>0.322928240740741</v>
      </c>
      <c r="C424" s="293" t="str">
        <f t="shared" ref="C424:G424" si="882">TEXT(IF($B424=0," ",$B424-C$6),"hh:mm am/pm")</f>
        <v>05:45 001/p1</v>
      </c>
      <c r="D424" s="293" t="str">
        <f t="shared" si="882"/>
        <v>03:45 001/p1</v>
      </c>
      <c r="E424" s="293" t="str">
        <f t="shared" si="882"/>
        <v>04:45 001/p1</v>
      </c>
      <c r="F424" s="293" t="str">
        <f t="shared" si="882"/>
        <v>05:45 001/p1</v>
      </c>
      <c r="G424" s="293" t="str">
        <f t="shared" si="882"/>
        <v>06:45 001/p1</v>
      </c>
      <c r="H424" s="293" t="str">
        <f t="shared" ref="H424:I424" si="883">TEXT(IF($B424=0," ",$B424+H$6),"hh:mm am/pm")</f>
        <v>13:45 001/p1</v>
      </c>
      <c r="I424" s="293" t="str">
        <f t="shared" si="883"/>
        <v>18:45 001/p1</v>
      </c>
      <c r="J424" s="294" t="s">
        <v>138</v>
      </c>
      <c r="K424" s="295"/>
      <c r="L424" s="337" t="s">
        <v>139</v>
      </c>
      <c r="M424" s="338" t="s">
        <v>71</v>
      </c>
      <c r="N424" s="339" t="s">
        <v>122</v>
      </c>
      <c r="O424" s="340" t="s">
        <v>82</v>
      </c>
      <c r="P424" s="341" t="s">
        <v>101</v>
      </c>
      <c r="Q424" s="342">
        <v>300</v>
      </c>
      <c r="R424" s="343" t="s">
        <v>60</v>
      </c>
      <c r="S424" s="344"/>
      <c r="T424" s="345" t="s">
        <v>61</v>
      </c>
      <c r="U424" s="339" t="s">
        <v>62</v>
      </c>
      <c r="V424" s="339">
        <v>3</v>
      </c>
      <c r="W424" s="339">
        <v>3</v>
      </c>
      <c r="X424" s="354"/>
      <c r="Y424" s="347" t="s">
        <v>63</v>
      </c>
      <c r="Z424" s="344"/>
      <c r="AA424" s="348" t="s">
        <v>64</v>
      </c>
      <c r="AB424" s="348" t="s">
        <v>65</v>
      </c>
      <c r="AC424" s="349">
        <v>0.1</v>
      </c>
      <c r="AD424" s="349">
        <v>0.02</v>
      </c>
      <c r="AE424" s="348" t="s">
        <v>66</v>
      </c>
      <c r="AF424" s="346">
        <v>40000</v>
      </c>
      <c r="AG424" s="350">
        <v>10</v>
      </c>
      <c r="AH424" s="350">
        <v>8</v>
      </c>
      <c r="AI424" s="350">
        <v>8</v>
      </c>
      <c r="AJ424" s="345">
        <v>14</v>
      </c>
      <c r="AK424" s="351" t="s">
        <v>67</v>
      </c>
      <c r="AL424" s="352" t="s">
        <v>68</v>
      </c>
      <c r="AM424" s="353" t="s">
        <v>69</v>
      </c>
      <c r="AN424" s="353" t="s">
        <v>70</v>
      </c>
      <c r="AO424" s="314">
        <f t="shared" si="821"/>
        <v>0.427094907407407</v>
      </c>
      <c r="AP424" s="315">
        <f t="shared" si="822"/>
        <v>114</v>
      </c>
      <c r="AQ424" s="316" t="str">
        <f t="shared" si="823"/>
        <v>MICRO</v>
      </c>
    </row>
    <row r="425" ht="29.25" customHeight="1" outlineLevel="1" spans="1:43">
      <c r="B425" s="317">
        <v>0.333344907407407</v>
      </c>
      <c r="C425" s="293" t="str">
        <f t="shared" ref="C425:G425" si="884">TEXT(IF($B425=0," ",$B425-C$6),"hh:mm am/pm")</f>
        <v>06:00 001/p1</v>
      </c>
      <c r="D425" s="293" t="str">
        <f t="shared" si="884"/>
        <v>04:00 001/p1</v>
      </c>
      <c r="E425" s="293" t="str">
        <f t="shared" si="884"/>
        <v>05:00 001/p1</v>
      </c>
      <c r="F425" s="293" t="str">
        <f t="shared" si="884"/>
        <v>06:00 001/p1</v>
      </c>
      <c r="G425" s="293" t="str">
        <f t="shared" si="884"/>
        <v>07:00 001/p1</v>
      </c>
      <c r="H425" s="293" t="str">
        <f t="shared" ref="H425:I425" si="885">TEXT(IF($B425=0," ",$B425+H$6),"hh:mm am/pm")</f>
        <v>14:00 001/p1</v>
      </c>
      <c r="I425" s="293" t="str">
        <f t="shared" si="885"/>
        <v>19:00 001/p1</v>
      </c>
      <c r="J425" s="294" t="s">
        <v>140</v>
      </c>
      <c r="K425" s="295"/>
      <c r="L425" s="319" t="s">
        <v>119</v>
      </c>
      <c r="M425" s="320" t="s">
        <v>71</v>
      </c>
      <c r="N425" s="321" t="s">
        <v>57</v>
      </c>
      <c r="O425" s="322" t="s">
        <v>74</v>
      </c>
      <c r="P425" s="323" t="s">
        <v>75</v>
      </c>
      <c r="Q425" s="324">
        <v>500</v>
      </c>
      <c r="R425" s="375" t="s">
        <v>60</v>
      </c>
      <c r="S425" s="326"/>
      <c r="T425" s="327" t="s">
        <v>115</v>
      </c>
      <c r="U425" s="321" t="s">
        <v>78</v>
      </c>
      <c r="V425" s="321">
        <v>1</v>
      </c>
      <c r="W425" s="321">
        <v>1</v>
      </c>
      <c r="X425" s="328"/>
      <c r="Y425" s="329" t="s">
        <v>79</v>
      </c>
      <c r="Z425" s="321">
        <v>1</v>
      </c>
      <c r="AA425" s="330">
        <v>100000</v>
      </c>
      <c r="AB425" s="330" t="s">
        <v>65</v>
      </c>
      <c r="AC425" s="331">
        <v>0.1</v>
      </c>
      <c r="AD425" s="331">
        <v>0.02</v>
      </c>
      <c r="AE425" s="330" t="s">
        <v>66</v>
      </c>
      <c r="AF425" s="332">
        <v>40000</v>
      </c>
      <c r="AG425" s="333">
        <v>8</v>
      </c>
      <c r="AH425" s="333">
        <v>7</v>
      </c>
      <c r="AI425" s="333">
        <v>7</v>
      </c>
      <c r="AJ425" s="327">
        <v>15</v>
      </c>
      <c r="AK425" s="334" t="s">
        <v>67</v>
      </c>
      <c r="AL425" s="335" t="s">
        <v>68</v>
      </c>
      <c r="AM425" s="336" t="s">
        <v>69</v>
      </c>
      <c r="AN425" s="336" t="s">
        <v>70</v>
      </c>
      <c r="AO425" s="314">
        <f t="shared" si="821"/>
        <v>0.423622685185185</v>
      </c>
      <c r="AP425" s="315">
        <f t="shared" si="822"/>
        <v>569</v>
      </c>
      <c r="AQ425" s="316" t="str">
        <f t="shared" si="823"/>
        <v>MICRO</v>
      </c>
    </row>
    <row r="426" ht="29.25" customHeight="1" outlineLevel="1" spans="1:43">
      <c r="A426" s="363" t="s">
        <v>352</v>
      </c>
      <c r="B426" s="364">
        <v>0.375011574074074</v>
      </c>
      <c r="C426" s="293" t="str">
        <f t="shared" ref="C426:G426" si="886">TEXT(IF($B426=0," ",$B426-C$6),"hh:mm am/pm")</f>
        <v>07:00 001/p1</v>
      </c>
      <c r="D426" s="293" t="str">
        <f t="shared" si="886"/>
        <v>05:00 001/p1</v>
      </c>
      <c r="E426" s="293" t="str">
        <f t="shared" si="886"/>
        <v>06:00 001/p1</v>
      </c>
      <c r="F426" s="293" t="str">
        <f t="shared" si="886"/>
        <v>07:00 001/p1</v>
      </c>
      <c r="G426" s="293" t="str">
        <f t="shared" si="886"/>
        <v>08:00 001/p1</v>
      </c>
      <c r="H426" s="293" t="str">
        <f t="shared" ref="H426:I426" si="887">TEXT(IF($B426=0," ",$B426+H$6),"hh:mm am/pm")</f>
        <v>15:00 001/p1</v>
      </c>
      <c r="I426" s="293" t="str">
        <f t="shared" si="887"/>
        <v>20:00 001/p1</v>
      </c>
      <c r="J426" s="294" t="s">
        <v>142</v>
      </c>
      <c r="K426" s="295"/>
      <c r="L426" s="337" t="s">
        <v>133</v>
      </c>
      <c r="M426" s="338" t="s">
        <v>71</v>
      </c>
      <c r="N426" s="339" t="s">
        <v>57</v>
      </c>
      <c r="O426" s="340" t="s">
        <v>58</v>
      </c>
      <c r="P426" s="341" t="s">
        <v>59</v>
      </c>
      <c r="Q426" s="342">
        <v>150</v>
      </c>
      <c r="R426" s="343" t="s">
        <v>60</v>
      </c>
      <c r="S426" s="344"/>
      <c r="T426" s="345" t="s">
        <v>61</v>
      </c>
      <c r="U426" s="339" t="s">
        <v>62</v>
      </c>
      <c r="V426" s="339">
        <v>1.5</v>
      </c>
      <c r="W426" s="339">
        <v>1.5</v>
      </c>
      <c r="X426" s="346">
        <v>60000</v>
      </c>
      <c r="Y426" s="347" t="s">
        <v>63</v>
      </c>
      <c r="Z426" s="344"/>
      <c r="AA426" s="348" t="s">
        <v>64</v>
      </c>
      <c r="AB426" s="348" t="s">
        <v>65</v>
      </c>
      <c r="AC426" s="349">
        <v>0.1</v>
      </c>
      <c r="AD426" s="349">
        <v>0</v>
      </c>
      <c r="AE426" s="348" t="s">
        <v>66</v>
      </c>
      <c r="AF426" s="346">
        <v>50000</v>
      </c>
      <c r="AG426" s="350">
        <v>8</v>
      </c>
      <c r="AH426" s="350">
        <v>8</v>
      </c>
      <c r="AI426" s="350">
        <v>8</v>
      </c>
      <c r="AJ426" s="345">
        <v>15</v>
      </c>
      <c r="AK426" s="351" t="s">
        <v>67</v>
      </c>
      <c r="AL426" s="352" t="s">
        <v>68</v>
      </c>
      <c r="AM426" s="353" t="s">
        <v>69</v>
      </c>
      <c r="AN426" s="353" t="s">
        <v>70</v>
      </c>
      <c r="AO426" s="314">
        <f t="shared" si="821"/>
        <v>0.465289351851852</v>
      </c>
      <c r="AP426" s="315">
        <f t="shared" si="822"/>
        <v>112</v>
      </c>
      <c r="AQ426" s="316" t="str">
        <f t="shared" si="823"/>
        <v>MICRO</v>
      </c>
    </row>
    <row r="427" ht="29.25" customHeight="1" outlineLevel="1" spans="1:43">
      <c r="B427" s="317">
        <v>0.375011574074074</v>
      </c>
      <c r="C427" s="293" t="str">
        <f t="shared" ref="C427:G427" si="888">TEXT(IF($B427=0," ",$B427-C$6),"hh:mm am/pm")</f>
        <v>07:00 001/p1</v>
      </c>
      <c r="D427" s="293" t="str">
        <f t="shared" si="888"/>
        <v>05:00 001/p1</v>
      </c>
      <c r="E427" s="293" t="str">
        <f t="shared" si="888"/>
        <v>06:00 001/p1</v>
      </c>
      <c r="F427" s="293" t="str">
        <f t="shared" si="888"/>
        <v>07:00 001/p1</v>
      </c>
      <c r="G427" s="293" t="str">
        <f t="shared" si="888"/>
        <v>08:00 001/p1</v>
      </c>
      <c r="H427" s="293" t="str">
        <f t="shared" ref="H427:I427" si="889">TEXT(IF($B427=0," ",$B427+H$6),"hh:mm am/pm")</f>
        <v>15:00 001/p1</v>
      </c>
      <c r="I427" s="293" t="str">
        <f t="shared" si="889"/>
        <v>20:00 001/p1</v>
      </c>
      <c r="J427" s="294" t="s">
        <v>137</v>
      </c>
      <c r="K427" s="295"/>
      <c r="L427" s="319" t="s">
        <v>129</v>
      </c>
      <c r="M427" s="320" t="s">
        <v>71</v>
      </c>
      <c r="N427" s="321" t="s">
        <v>122</v>
      </c>
      <c r="O427" s="322" t="s">
        <v>74</v>
      </c>
      <c r="P427" s="323" t="s">
        <v>101</v>
      </c>
      <c r="Q427" s="324">
        <v>100</v>
      </c>
      <c r="R427" s="375" t="s">
        <v>60</v>
      </c>
      <c r="S427" s="326"/>
      <c r="T427" s="327" t="s">
        <v>61</v>
      </c>
      <c r="U427" s="321" t="s">
        <v>62</v>
      </c>
      <c r="V427" s="321">
        <v>1</v>
      </c>
      <c r="W427" s="321">
        <v>1</v>
      </c>
      <c r="X427" s="328"/>
      <c r="Y427" s="329" t="s">
        <v>79</v>
      </c>
      <c r="Z427" s="321">
        <v>1</v>
      </c>
      <c r="AA427" s="330">
        <v>80000</v>
      </c>
      <c r="AB427" s="330" t="s">
        <v>65</v>
      </c>
      <c r="AC427" s="331">
        <v>0.1</v>
      </c>
      <c r="AD427" s="331">
        <v>0</v>
      </c>
      <c r="AE427" s="330" t="s">
        <v>88</v>
      </c>
      <c r="AF427" s="332">
        <v>40000</v>
      </c>
      <c r="AG427" s="333">
        <v>7</v>
      </c>
      <c r="AH427" s="333">
        <v>7</v>
      </c>
      <c r="AI427" s="333">
        <v>6</v>
      </c>
      <c r="AJ427" s="327">
        <v>13</v>
      </c>
      <c r="AK427" s="334" t="s">
        <v>67</v>
      </c>
      <c r="AL427" s="335" t="s">
        <v>68</v>
      </c>
      <c r="AM427" s="336" t="s">
        <v>69</v>
      </c>
      <c r="AN427" s="336" t="s">
        <v>70</v>
      </c>
      <c r="AO427" s="314">
        <f t="shared" si="821"/>
        <v>0.441678240740741</v>
      </c>
      <c r="AP427" s="315">
        <f t="shared" si="822"/>
        <v>112</v>
      </c>
      <c r="AQ427" s="316" t="str">
        <f t="shared" si="823"/>
        <v>MICRO</v>
      </c>
    </row>
    <row r="428" ht="29.25" customHeight="1" outlineLevel="1" spans="1:43">
      <c r="B428" s="317">
        <v>0.416678240740741</v>
      </c>
      <c r="C428" s="293" t="str">
        <f t="shared" ref="C428:G428" si="890">TEXT(IF($B428=0," ",$B428-C$6),"hh:mm am/pm")</f>
        <v>08:00 001/p1</v>
      </c>
      <c r="D428" s="293" t="str">
        <f t="shared" si="890"/>
        <v>06:00 001/p1</v>
      </c>
      <c r="E428" s="293" t="str">
        <f t="shared" si="890"/>
        <v>07:00 001/p1</v>
      </c>
      <c r="F428" s="293" t="str">
        <f t="shared" si="890"/>
        <v>08:00 001/p1</v>
      </c>
      <c r="G428" s="293" t="str">
        <f t="shared" si="890"/>
        <v>09:00 001/p1</v>
      </c>
      <c r="H428" s="293" t="str">
        <f t="shared" ref="H428:I428" si="891">TEXT(IF($B428=0," ",$B428+H$6),"hh:mm am/pm")</f>
        <v>16:00 001/p1</v>
      </c>
      <c r="I428" s="293" t="str">
        <f t="shared" si="891"/>
        <v>21:00 001/p1</v>
      </c>
      <c r="J428" s="294" t="s">
        <v>125</v>
      </c>
      <c r="K428" s="295"/>
      <c r="L428" s="337" t="s">
        <v>126</v>
      </c>
      <c r="M428" s="338" t="s">
        <v>71</v>
      </c>
      <c r="N428" s="339" t="s">
        <v>57</v>
      </c>
      <c r="O428" s="340" t="s">
        <v>144</v>
      </c>
      <c r="P428" s="341" t="s">
        <v>59</v>
      </c>
      <c r="Q428" s="342">
        <v>1000</v>
      </c>
      <c r="R428" s="343" t="s">
        <v>60</v>
      </c>
      <c r="S428" s="344"/>
      <c r="T428" s="345" t="s">
        <v>61</v>
      </c>
      <c r="U428" s="339" t="s">
        <v>62</v>
      </c>
      <c r="V428" s="339">
        <v>6</v>
      </c>
      <c r="W428" s="339">
        <v>6</v>
      </c>
      <c r="X428" s="354"/>
      <c r="Y428" s="347" t="s">
        <v>63</v>
      </c>
      <c r="Z428" s="344"/>
      <c r="AA428" s="348" t="s">
        <v>64</v>
      </c>
      <c r="AB428" s="348" t="s">
        <v>65</v>
      </c>
      <c r="AC428" s="349">
        <v>0.1</v>
      </c>
      <c r="AD428" s="349">
        <v>0.02</v>
      </c>
      <c r="AE428" s="348" t="s">
        <v>66</v>
      </c>
      <c r="AF428" s="346">
        <v>40000</v>
      </c>
      <c r="AG428" s="350">
        <v>10</v>
      </c>
      <c r="AH428" s="350">
        <v>8</v>
      </c>
      <c r="AI428" s="350">
        <v>8</v>
      </c>
      <c r="AJ428" s="345">
        <v>14</v>
      </c>
      <c r="AK428" s="351" t="s">
        <v>67</v>
      </c>
      <c r="AL428" s="352" t="s">
        <v>68</v>
      </c>
      <c r="AM428" s="353" t="s">
        <v>69</v>
      </c>
      <c r="AN428" s="353" t="s">
        <v>70</v>
      </c>
      <c r="AO428" s="314">
        <f t="shared" si="821"/>
        <v>0.520844907407407</v>
      </c>
      <c r="AP428" s="315">
        <f t="shared" si="822"/>
        <v>190</v>
      </c>
      <c r="AQ428" s="316" t="str">
        <f t="shared" si="823"/>
        <v>LOW</v>
      </c>
    </row>
    <row r="429" ht="29.25" customHeight="1" outlineLevel="1" spans="1:43">
      <c r="A429" s="363" t="s">
        <v>352</v>
      </c>
      <c r="B429" s="317">
        <v>0.416678240740741</v>
      </c>
      <c r="C429" s="293" t="str">
        <f t="shared" ref="C429:G429" si="892">TEXT(IF($B429=0," ",$B429-C$6),"hh:mm am/pm")</f>
        <v>08:00 001/p1</v>
      </c>
      <c r="D429" s="293" t="str">
        <f t="shared" si="892"/>
        <v>06:00 001/p1</v>
      </c>
      <c r="E429" s="293" t="str">
        <f t="shared" si="892"/>
        <v>07:00 001/p1</v>
      </c>
      <c r="F429" s="293" t="str">
        <f t="shared" si="892"/>
        <v>08:00 001/p1</v>
      </c>
      <c r="G429" s="293" t="str">
        <f t="shared" si="892"/>
        <v>09:00 001/p1</v>
      </c>
      <c r="H429" s="293" t="str">
        <f t="shared" ref="H429:I429" si="893">TEXT(IF($B429=0," ",$B429+H$6),"hh:mm am/pm")</f>
        <v>16:00 001/p1</v>
      </c>
      <c r="I429" s="293" t="str">
        <f t="shared" si="893"/>
        <v>21:00 001/p1</v>
      </c>
      <c r="J429" s="294" t="s">
        <v>134</v>
      </c>
      <c r="K429" s="295"/>
      <c r="L429" s="319" t="s">
        <v>114</v>
      </c>
      <c r="M429" s="320" t="s">
        <v>71</v>
      </c>
      <c r="N429" s="321" t="s">
        <v>57</v>
      </c>
      <c r="O429" s="322" t="s">
        <v>74</v>
      </c>
      <c r="P429" s="323" t="s">
        <v>75</v>
      </c>
      <c r="Q429" s="324">
        <v>200</v>
      </c>
      <c r="R429" s="375" t="s">
        <v>60</v>
      </c>
      <c r="S429" s="326"/>
      <c r="T429" s="327" t="s">
        <v>115</v>
      </c>
      <c r="U429" s="321" t="s">
        <v>62</v>
      </c>
      <c r="V429" s="321">
        <v>0.4</v>
      </c>
      <c r="W429" s="321">
        <v>0.4</v>
      </c>
      <c r="X429" s="328"/>
      <c r="Y429" s="332" t="s">
        <v>79</v>
      </c>
      <c r="Z429" s="321">
        <v>0.6</v>
      </c>
      <c r="AA429" s="330">
        <v>80000</v>
      </c>
      <c r="AB429" s="330" t="s">
        <v>65</v>
      </c>
      <c r="AC429" s="331">
        <v>0.1</v>
      </c>
      <c r="AD429" s="331">
        <v>0</v>
      </c>
      <c r="AE429" s="330" t="s">
        <v>66</v>
      </c>
      <c r="AF429" s="332">
        <v>40000</v>
      </c>
      <c r="AG429" s="333">
        <v>7</v>
      </c>
      <c r="AH429" s="333">
        <v>6</v>
      </c>
      <c r="AI429" s="333">
        <v>6</v>
      </c>
      <c r="AJ429" s="327">
        <v>15</v>
      </c>
      <c r="AK429" s="334" t="s">
        <v>67</v>
      </c>
      <c r="AL429" s="335" t="s">
        <v>68</v>
      </c>
      <c r="AM429" s="336" t="s">
        <v>69</v>
      </c>
      <c r="AN429" s="336" t="s">
        <v>70</v>
      </c>
      <c r="AO429" s="314">
        <f t="shared" si="821"/>
        <v>0.49306712962963</v>
      </c>
      <c r="AP429" s="315">
        <f t="shared" si="822"/>
        <v>556</v>
      </c>
      <c r="AQ429" s="316" t="str">
        <f t="shared" si="823"/>
        <v>MICRO</v>
      </c>
    </row>
    <row r="430" ht="29.25" customHeight="1" outlineLevel="1" spans="1:43">
      <c r="B430" s="317">
        <v>0.437511574074074</v>
      </c>
      <c r="C430" s="293" t="str">
        <f t="shared" ref="C430:G430" si="894">TEXT(IF($B430=0," ",$B430-C$6),"hh:mm am/pm")</f>
        <v>08:30 001/p1</v>
      </c>
      <c r="D430" s="293" t="str">
        <f t="shared" si="894"/>
        <v>06:30 001/p1</v>
      </c>
      <c r="E430" s="293" t="str">
        <f t="shared" si="894"/>
        <v>07:30 001/p1</v>
      </c>
      <c r="F430" s="293" t="str">
        <f t="shared" si="894"/>
        <v>08:30 001/p1</v>
      </c>
      <c r="G430" s="293" t="str">
        <f t="shared" si="894"/>
        <v>09:30 001/p1</v>
      </c>
      <c r="H430" s="293" t="str">
        <f t="shared" ref="H430:I430" si="895">TEXT(IF($B430=0," ",$B430+H$6),"hh:mm am/pm")</f>
        <v>16:30 001/p1</v>
      </c>
      <c r="I430" s="293" t="str">
        <f t="shared" si="895"/>
        <v>21:30 001/p1</v>
      </c>
      <c r="J430" s="294" t="s">
        <v>146</v>
      </c>
      <c r="K430" s="295"/>
      <c r="L430" s="337" t="s">
        <v>117</v>
      </c>
      <c r="M430" s="338" t="s">
        <v>71</v>
      </c>
      <c r="N430" s="339" t="s">
        <v>100</v>
      </c>
      <c r="O430" s="340" t="s">
        <v>74</v>
      </c>
      <c r="P430" s="341" t="s">
        <v>101</v>
      </c>
      <c r="Q430" s="342">
        <v>400</v>
      </c>
      <c r="R430" s="343" t="s">
        <v>60</v>
      </c>
      <c r="S430" s="344"/>
      <c r="T430" s="345" t="s">
        <v>61</v>
      </c>
      <c r="U430" s="339" t="s">
        <v>62</v>
      </c>
      <c r="V430" s="339">
        <v>3</v>
      </c>
      <c r="W430" s="339">
        <v>3</v>
      </c>
      <c r="X430" s="354"/>
      <c r="Y430" s="346" t="s">
        <v>79</v>
      </c>
      <c r="Z430" s="339">
        <v>3</v>
      </c>
      <c r="AA430" s="348">
        <v>100000</v>
      </c>
      <c r="AB430" s="348" t="s">
        <v>65</v>
      </c>
      <c r="AC430" s="349">
        <v>0.1</v>
      </c>
      <c r="AD430" s="349">
        <v>0.02</v>
      </c>
      <c r="AE430" s="348" t="s">
        <v>88</v>
      </c>
      <c r="AF430" s="346">
        <v>40000</v>
      </c>
      <c r="AG430" s="350">
        <v>8</v>
      </c>
      <c r="AH430" s="350">
        <v>7</v>
      </c>
      <c r="AI430" s="350">
        <v>7</v>
      </c>
      <c r="AJ430" s="345">
        <v>13</v>
      </c>
      <c r="AK430" s="351" t="s">
        <v>67</v>
      </c>
      <c r="AL430" s="352" t="s">
        <v>68</v>
      </c>
      <c r="AM430" s="353" t="s">
        <v>69</v>
      </c>
      <c r="AN430" s="353" t="s">
        <v>70</v>
      </c>
      <c r="AO430" s="314">
        <f t="shared" si="821"/>
        <v>0.513206018518519</v>
      </c>
      <c r="AP430" s="315">
        <f t="shared" si="822"/>
        <v>152</v>
      </c>
      <c r="AQ430" s="316" t="str">
        <f t="shared" si="823"/>
        <v>MICRO</v>
      </c>
    </row>
    <row r="431" ht="29.25" customHeight="1" outlineLevel="1" spans="1:43">
      <c r="A431" s="363" t="s">
        <v>352</v>
      </c>
      <c r="B431" s="364">
        <v>0.458344907407407</v>
      </c>
      <c r="C431" s="293" t="str">
        <f t="shared" ref="C431:G431" si="896">TEXT(IF($B431=0," ",$B431-C$6),"hh:mm am/pm")</f>
        <v>09:00 001/p1</v>
      </c>
      <c r="D431" s="293" t="str">
        <f t="shared" si="896"/>
        <v>07:00 001/p1</v>
      </c>
      <c r="E431" s="293" t="str">
        <f t="shared" si="896"/>
        <v>08:00 001/p1</v>
      </c>
      <c r="F431" s="293" t="str">
        <f t="shared" si="896"/>
        <v>09:00 001/p1</v>
      </c>
      <c r="G431" s="293" t="str">
        <f t="shared" si="896"/>
        <v>10:00 001/p1</v>
      </c>
      <c r="H431" s="293" t="str">
        <f t="shared" ref="H431:I431" si="897">TEXT(IF($B431=0," ",$B431+H$6),"hh:mm am/pm")</f>
        <v>17:00 001/p1</v>
      </c>
      <c r="I431" s="293" t="str">
        <f t="shared" si="897"/>
        <v>22:00 001/p1</v>
      </c>
      <c r="J431" s="318" t="s">
        <v>147</v>
      </c>
      <c r="K431" s="295"/>
      <c r="L431" s="319" t="s">
        <v>73</v>
      </c>
      <c r="M431" s="320" t="s">
        <v>71</v>
      </c>
      <c r="N431" s="321" t="s">
        <v>57</v>
      </c>
      <c r="O431" s="322" t="s">
        <v>74</v>
      </c>
      <c r="P431" s="323" t="s">
        <v>75</v>
      </c>
      <c r="Q431" s="324">
        <v>3200</v>
      </c>
      <c r="R431" s="325" t="s">
        <v>76</v>
      </c>
      <c r="S431" s="326"/>
      <c r="T431" s="327" t="s">
        <v>115</v>
      </c>
      <c r="U431" s="321" t="s">
        <v>62</v>
      </c>
      <c r="V431" s="321">
        <v>3</v>
      </c>
      <c r="W431" s="321">
        <v>3</v>
      </c>
      <c r="X431" s="328"/>
      <c r="Y431" s="332" t="s">
        <v>79</v>
      </c>
      <c r="Z431" s="321">
        <v>3</v>
      </c>
      <c r="AA431" s="330">
        <v>120000</v>
      </c>
      <c r="AB431" s="330" t="s">
        <v>65</v>
      </c>
      <c r="AC431" s="331">
        <v>0.1</v>
      </c>
      <c r="AD431" s="331">
        <v>0.02</v>
      </c>
      <c r="AE431" s="330" t="s">
        <v>66</v>
      </c>
      <c r="AF431" s="332">
        <v>40000</v>
      </c>
      <c r="AG431" s="333">
        <v>10</v>
      </c>
      <c r="AH431" s="333">
        <v>8</v>
      </c>
      <c r="AI431" s="333">
        <v>8</v>
      </c>
      <c r="AJ431" s="327">
        <v>14</v>
      </c>
      <c r="AK431" s="334" t="s">
        <v>67</v>
      </c>
      <c r="AL431" s="335" t="s">
        <v>68</v>
      </c>
      <c r="AM431" s="336" t="s">
        <v>69</v>
      </c>
      <c r="AN431" s="336" t="s">
        <v>70</v>
      </c>
      <c r="AO431" s="314">
        <f t="shared" si="821"/>
        <v>0.562511574074074</v>
      </c>
      <c r="AP431" s="315">
        <f t="shared" si="822"/>
        <v>1213</v>
      </c>
      <c r="AQ431" s="316" t="str">
        <f t="shared" si="823"/>
        <v>MICRO</v>
      </c>
    </row>
    <row r="432" ht="29.25" customHeight="1" outlineLevel="1" spans="1:43">
      <c r="B432" s="317">
        <v>0.458344907407407</v>
      </c>
      <c r="C432" s="293" t="str">
        <f t="shared" ref="C432:G432" si="898">TEXT(IF($B432=0," ",$B432-C$6),"hh:mm am/pm")</f>
        <v>09:00 001/p1</v>
      </c>
      <c r="D432" s="293" t="str">
        <f t="shared" si="898"/>
        <v>07:00 001/p1</v>
      </c>
      <c r="E432" s="293" t="str">
        <f t="shared" si="898"/>
        <v>08:00 001/p1</v>
      </c>
      <c r="F432" s="293" t="str">
        <f t="shared" si="898"/>
        <v>09:00 001/p1</v>
      </c>
      <c r="G432" s="293" t="str">
        <f t="shared" si="898"/>
        <v>10:00 001/p1</v>
      </c>
      <c r="H432" s="293" t="str">
        <f t="shared" ref="H432:I432" si="899">TEXT(IF($B432=0," ",$B432+H$6),"hh:mm am/pm")</f>
        <v>17:00 001/p1</v>
      </c>
      <c r="I432" s="293" t="str">
        <f t="shared" si="899"/>
        <v>22:00 001/p1</v>
      </c>
      <c r="J432" s="294" t="s">
        <v>148</v>
      </c>
      <c r="K432" s="295"/>
      <c r="L432" s="337" t="s">
        <v>129</v>
      </c>
      <c r="M432" s="338" t="s">
        <v>71</v>
      </c>
      <c r="N432" s="339" t="s">
        <v>122</v>
      </c>
      <c r="O432" s="340" t="s">
        <v>74</v>
      </c>
      <c r="P432" s="341" t="s">
        <v>101</v>
      </c>
      <c r="Q432" s="342">
        <v>120</v>
      </c>
      <c r="R432" s="343" t="s">
        <v>60</v>
      </c>
      <c r="S432" s="344"/>
      <c r="T432" s="345" t="s">
        <v>61</v>
      </c>
      <c r="U432" s="339" t="s">
        <v>62</v>
      </c>
      <c r="V432" s="339">
        <v>0.8</v>
      </c>
      <c r="W432" s="339">
        <v>0.8</v>
      </c>
      <c r="X432" s="354"/>
      <c r="Y432" s="346" t="s">
        <v>79</v>
      </c>
      <c r="Z432" s="339">
        <v>1</v>
      </c>
      <c r="AA432" s="348">
        <v>100000</v>
      </c>
      <c r="AB432" s="348" t="s">
        <v>65</v>
      </c>
      <c r="AC432" s="349">
        <v>0.1</v>
      </c>
      <c r="AD432" s="349">
        <v>0</v>
      </c>
      <c r="AE432" s="348" t="s">
        <v>66</v>
      </c>
      <c r="AF432" s="346">
        <v>40000</v>
      </c>
      <c r="AG432" s="350">
        <v>8</v>
      </c>
      <c r="AH432" s="350">
        <v>7</v>
      </c>
      <c r="AI432" s="350">
        <v>7</v>
      </c>
      <c r="AJ432" s="345">
        <v>15</v>
      </c>
      <c r="AK432" s="351" t="s">
        <v>67</v>
      </c>
      <c r="AL432" s="352" t="s">
        <v>68</v>
      </c>
      <c r="AM432" s="353" t="s">
        <v>69</v>
      </c>
      <c r="AN432" s="353" t="s">
        <v>70</v>
      </c>
      <c r="AO432" s="314">
        <f t="shared" si="821"/>
        <v>0.548622685185185</v>
      </c>
      <c r="AP432" s="315">
        <f t="shared" si="822"/>
        <v>167</v>
      </c>
      <c r="AQ432" s="316" t="str">
        <f t="shared" si="823"/>
        <v>MICRO</v>
      </c>
    </row>
    <row r="433" ht="29.25" customHeight="1" outlineLevel="1" spans="1:43">
      <c r="B433" s="317">
        <v>0.458344907407407</v>
      </c>
      <c r="C433" s="293" t="str">
        <f t="shared" ref="C433:G433" si="900">TEXT(IF($B433=0," ",$B433-C$6),"hh:mm am/pm")</f>
        <v>09:00 001/p1</v>
      </c>
      <c r="D433" s="293" t="str">
        <f t="shared" si="900"/>
        <v>07:00 001/p1</v>
      </c>
      <c r="E433" s="293" t="str">
        <f t="shared" si="900"/>
        <v>08:00 001/p1</v>
      </c>
      <c r="F433" s="293" t="str">
        <f t="shared" si="900"/>
        <v>09:00 001/p1</v>
      </c>
      <c r="G433" s="293" t="str">
        <f t="shared" si="900"/>
        <v>10:00 001/p1</v>
      </c>
      <c r="H433" s="293" t="str">
        <f t="shared" ref="H433:I433" si="901">TEXT(IF($B433=0," ",$B433+H$6),"hh:mm am/pm")</f>
        <v>17:00 001/p1</v>
      </c>
      <c r="I433" s="293" t="str">
        <f t="shared" si="901"/>
        <v>22:00 001/p1</v>
      </c>
      <c r="J433" s="294" t="s">
        <v>149</v>
      </c>
      <c r="K433" s="295"/>
      <c r="L433" s="319" t="s">
        <v>149</v>
      </c>
      <c r="M433" s="320" t="s">
        <v>71</v>
      </c>
      <c r="N433" s="321" t="s">
        <v>57</v>
      </c>
      <c r="O433" s="322" t="s">
        <v>74</v>
      </c>
      <c r="P433" s="323" t="s">
        <v>75</v>
      </c>
      <c r="Q433" s="324">
        <v>40</v>
      </c>
      <c r="R433" s="375" t="s">
        <v>60</v>
      </c>
      <c r="S433" s="326"/>
      <c r="T433" s="327" t="s">
        <v>61</v>
      </c>
      <c r="U433" s="321" t="s">
        <v>62</v>
      </c>
      <c r="V433" s="321">
        <v>0.6</v>
      </c>
      <c r="W433" s="321">
        <v>0.6</v>
      </c>
      <c r="X433" s="328"/>
      <c r="Y433" s="332" t="s">
        <v>63</v>
      </c>
      <c r="Z433" s="321">
        <v>0.6</v>
      </c>
      <c r="AA433" s="330">
        <v>30000</v>
      </c>
      <c r="AB433" s="330" t="s">
        <v>65</v>
      </c>
      <c r="AC433" s="331">
        <v>0.1</v>
      </c>
      <c r="AD433" s="331">
        <v>0</v>
      </c>
      <c r="AE433" s="330" t="s">
        <v>112</v>
      </c>
      <c r="AF433" s="332">
        <v>20000</v>
      </c>
      <c r="AG433" s="333">
        <v>5</v>
      </c>
      <c r="AH433" s="333">
        <v>5</v>
      </c>
      <c r="AI433" s="333">
        <v>5</v>
      </c>
      <c r="AJ433" s="327">
        <v>15</v>
      </c>
      <c r="AK433" s="334" t="s">
        <v>150</v>
      </c>
      <c r="AL433" s="335" t="s">
        <v>68</v>
      </c>
      <c r="AM433" s="336" t="s">
        <v>69</v>
      </c>
      <c r="AN433" s="336" t="s">
        <v>70</v>
      </c>
      <c r="AO433" s="314">
        <f t="shared" si="821"/>
        <v>0.513900462962963</v>
      </c>
      <c r="AP433" s="315">
        <f t="shared" si="822"/>
        <v>75</v>
      </c>
      <c r="AQ433" s="316" t="str">
        <f t="shared" si="823"/>
        <v>MICRO</v>
      </c>
    </row>
    <row r="434" ht="29.25" customHeight="1" outlineLevel="1" spans="1:43">
      <c r="A434" s="363" t="s">
        <v>352</v>
      </c>
      <c r="B434" s="317">
        <v>0.500011574074074</v>
      </c>
      <c r="C434" s="293" t="str">
        <f t="shared" ref="C434:G434" si="902">TEXT(IF($B434=0," ",$B434-C$6),"hh:mm am/pm")</f>
        <v>10:00 001/p1</v>
      </c>
      <c r="D434" s="293" t="str">
        <f t="shared" si="902"/>
        <v>08:00 001/p1</v>
      </c>
      <c r="E434" s="293" t="str">
        <f t="shared" si="902"/>
        <v>09:00 001/p1</v>
      </c>
      <c r="F434" s="293" t="str">
        <f t="shared" si="902"/>
        <v>10:00 001/p1</v>
      </c>
      <c r="G434" s="293" t="str">
        <f t="shared" si="902"/>
        <v>11:00 001/p1</v>
      </c>
      <c r="H434" s="293" t="str">
        <f t="shared" ref="H434:I434" si="903">TEXT(IF($B434=0," ",$B434+H$6),"hh:mm am/pm")</f>
        <v>18:00 001/p1</v>
      </c>
      <c r="I434" s="293" t="str">
        <f t="shared" si="903"/>
        <v>23:00 001/p1</v>
      </c>
      <c r="J434" s="294" t="s">
        <v>151</v>
      </c>
      <c r="K434" s="295"/>
      <c r="L434" s="337" t="s">
        <v>152</v>
      </c>
      <c r="M434" s="338" t="s">
        <v>71</v>
      </c>
      <c r="N434" s="339" t="s">
        <v>57</v>
      </c>
      <c r="O434" s="340" t="s">
        <v>104</v>
      </c>
      <c r="P434" s="341" t="s">
        <v>75</v>
      </c>
      <c r="Q434" s="342">
        <v>600</v>
      </c>
      <c r="R434" s="343" t="s">
        <v>60</v>
      </c>
      <c r="S434" s="344"/>
      <c r="T434" s="345" t="s">
        <v>61</v>
      </c>
      <c r="U434" s="339" t="s">
        <v>62</v>
      </c>
      <c r="V434" s="339">
        <v>2</v>
      </c>
      <c r="W434" s="339">
        <v>2</v>
      </c>
      <c r="X434" s="354"/>
      <c r="Y434" s="346" t="s">
        <v>63</v>
      </c>
      <c r="Z434" s="344"/>
      <c r="AA434" s="348" t="s">
        <v>64</v>
      </c>
      <c r="AB434" s="348" t="s">
        <v>65</v>
      </c>
      <c r="AC434" s="349">
        <v>0.1</v>
      </c>
      <c r="AD434" s="349">
        <v>0.02</v>
      </c>
      <c r="AE434" s="348" t="s">
        <v>88</v>
      </c>
      <c r="AF434" s="346">
        <v>50000</v>
      </c>
      <c r="AG434" s="350">
        <v>10</v>
      </c>
      <c r="AH434" s="350">
        <v>8</v>
      </c>
      <c r="AI434" s="350">
        <v>8</v>
      </c>
      <c r="AJ434" s="345">
        <v>13</v>
      </c>
      <c r="AK434" s="352" t="s">
        <v>67</v>
      </c>
      <c r="AL434" s="352" t="s">
        <v>68</v>
      </c>
      <c r="AM434" s="353" t="s">
        <v>69</v>
      </c>
      <c r="AN434" s="353" t="s">
        <v>70</v>
      </c>
      <c r="AO434" s="314">
        <f t="shared" si="821"/>
        <v>0.597233796296296</v>
      </c>
      <c r="AP434" s="315">
        <f t="shared" si="822"/>
        <v>341</v>
      </c>
      <c r="AQ434" s="316" t="str">
        <f t="shared" si="823"/>
        <v>MICRO</v>
      </c>
    </row>
    <row r="435" ht="29.25" customHeight="1" outlineLevel="1" spans="1:43">
      <c r="B435" s="317">
        <v>0.500011574074074</v>
      </c>
      <c r="C435" s="293" t="str">
        <f t="shared" ref="C435:G435" si="904">TEXT(IF($B435=0," ",$B435-C$6),"hh:mm am/pm")</f>
        <v>10:00 001/p1</v>
      </c>
      <c r="D435" s="293" t="str">
        <f t="shared" si="904"/>
        <v>08:00 001/p1</v>
      </c>
      <c r="E435" s="293" t="str">
        <f t="shared" si="904"/>
        <v>09:00 001/p1</v>
      </c>
      <c r="F435" s="293" t="str">
        <f t="shared" si="904"/>
        <v>10:00 001/p1</v>
      </c>
      <c r="G435" s="293" t="str">
        <f t="shared" si="904"/>
        <v>11:00 001/p1</v>
      </c>
      <c r="H435" s="293" t="str">
        <f t="shared" ref="H435:I435" si="905">TEXT(IF($B435=0," ",$B435+H$6),"hh:mm am/pm")</f>
        <v>18:00 001/p1</v>
      </c>
      <c r="I435" s="293" t="str">
        <f t="shared" si="905"/>
        <v>23:00 001/p1</v>
      </c>
      <c r="J435" s="294" t="s">
        <v>153</v>
      </c>
      <c r="K435" s="295"/>
      <c r="L435" s="319" t="s">
        <v>114</v>
      </c>
      <c r="M435" s="320" t="s">
        <v>71</v>
      </c>
      <c r="N435" s="321" t="s">
        <v>57</v>
      </c>
      <c r="O435" s="322" t="s">
        <v>74</v>
      </c>
      <c r="P435" s="323" t="s">
        <v>75</v>
      </c>
      <c r="Q435" s="324">
        <v>300</v>
      </c>
      <c r="R435" s="375" t="s">
        <v>60</v>
      </c>
      <c r="S435" s="326"/>
      <c r="T435" s="327" t="s">
        <v>115</v>
      </c>
      <c r="U435" s="321" t="s">
        <v>62</v>
      </c>
      <c r="V435" s="321">
        <v>0.6</v>
      </c>
      <c r="W435" s="321">
        <v>0.6</v>
      </c>
      <c r="X435" s="328"/>
      <c r="Y435" s="332" t="s">
        <v>79</v>
      </c>
      <c r="Z435" s="321">
        <v>0.8</v>
      </c>
      <c r="AA435" s="330">
        <v>100000</v>
      </c>
      <c r="AB435" s="330" t="s">
        <v>65</v>
      </c>
      <c r="AC435" s="331">
        <v>0.1</v>
      </c>
      <c r="AD435" s="331">
        <v>0</v>
      </c>
      <c r="AE435" s="330" t="s">
        <v>66</v>
      </c>
      <c r="AF435" s="332">
        <v>40000</v>
      </c>
      <c r="AG435" s="333">
        <v>7</v>
      </c>
      <c r="AH435" s="333">
        <v>6</v>
      </c>
      <c r="AI435" s="333">
        <v>6</v>
      </c>
      <c r="AJ435" s="327">
        <v>15</v>
      </c>
      <c r="AK435" s="335" t="s">
        <v>67</v>
      </c>
      <c r="AL435" s="335" t="s">
        <v>68</v>
      </c>
      <c r="AM435" s="336" t="s">
        <v>69</v>
      </c>
      <c r="AN435" s="336" t="s">
        <v>70</v>
      </c>
      <c r="AO435" s="314">
        <f t="shared" si="821"/>
        <v>0.576400462962963</v>
      </c>
      <c r="AP435" s="315">
        <f t="shared" si="822"/>
        <v>556</v>
      </c>
      <c r="AQ435" s="316" t="str">
        <f t="shared" si="823"/>
        <v>MICRO</v>
      </c>
    </row>
    <row r="436" ht="29.25" customHeight="1" outlineLevel="1" spans="1:43">
      <c r="B436" s="317">
        <v>0.500011574074074</v>
      </c>
      <c r="C436" s="293" t="str">
        <f t="shared" ref="C436:G436" si="906">TEXT(IF($B436=0," ",$B436-C$6),"hh:mm am/pm")</f>
        <v>10:00 001/p1</v>
      </c>
      <c r="D436" s="293" t="str">
        <f t="shared" si="906"/>
        <v>08:00 001/p1</v>
      </c>
      <c r="E436" s="293" t="str">
        <f t="shared" si="906"/>
        <v>09:00 001/p1</v>
      </c>
      <c r="F436" s="293" t="str">
        <f t="shared" si="906"/>
        <v>10:00 001/p1</v>
      </c>
      <c r="G436" s="293" t="str">
        <f t="shared" si="906"/>
        <v>11:00 001/p1</v>
      </c>
      <c r="H436" s="293" t="str">
        <f t="shared" ref="H436:I436" si="907">TEXT(IF($B436=0," ",$B436+H$6),"hh:mm am/pm")</f>
        <v>18:00 001/p1</v>
      </c>
      <c r="I436" s="293" t="str">
        <f t="shared" si="907"/>
        <v>23:00 001/p1</v>
      </c>
      <c r="J436" s="294" t="s">
        <v>242</v>
      </c>
      <c r="K436" s="295"/>
      <c r="L436" s="337" t="s">
        <v>155</v>
      </c>
      <c r="M436" s="338" t="s">
        <v>71</v>
      </c>
      <c r="N436" s="339" t="s">
        <v>57</v>
      </c>
      <c r="O436" s="340" t="s">
        <v>74</v>
      </c>
      <c r="P436" s="341" t="s">
        <v>59</v>
      </c>
      <c r="Q436" s="342">
        <v>1600</v>
      </c>
      <c r="R436" s="343" t="s">
        <v>60</v>
      </c>
      <c r="S436" s="344"/>
      <c r="T436" s="345" t="s">
        <v>61</v>
      </c>
      <c r="U436" s="339" t="s">
        <v>62</v>
      </c>
      <c r="V436" s="339">
        <v>15</v>
      </c>
      <c r="W436" s="339">
        <v>15</v>
      </c>
      <c r="X436" s="354"/>
      <c r="Y436" s="346" t="s">
        <v>63</v>
      </c>
      <c r="Z436" s="344"/>
      <c r="AA436" s="348" t="s">
        <v>64</v>
      </c>
      <c r="AB436" s="348" t="s">
        <v>65</v>
      </c>
      <c r="AC436" s="349">
        <v>0.1</v>
      </c>
      <c r="AD436" s="349">
        <v>0.02</v>
      </c>
      <c r="AE436" s="348" t="s">
        <v>88</v>
      </c>
      <c r="AF436" s="346">
        <v>80000</v>
      </c>
      <c r="AG436" s="350">
        <v>10</v>
      </c>
      <c r="AH436" s="350">
        <v>10</v>
      </c>
      <c r="AI436" s="350">
        <v>10</v>
      </c>
      <c r="AJ436" s="345">
        <v>15</v>
      </c>
      <c r="AK436" s="352" t="s">
        <v>67</v>
      </c>
      <c r="AL436" s="352" t="s">
        <v>68</v>
      </c>
      <c r="AM436" s="353" t="s">
        <v>69</v>
      </c>
      <c r="AN436" s="353" t="s">
        <v>70</v>
      </c>
      <c r="AO436" s="314">
        <f t="shared" si="821"/>
        <v>0.611122685185185</v>
      </c>
      <c r="AP436" s="315">
        <f t="shared" si="822"/>
        <v>122</v>
      </c>
      <c r="AQ436" s="316" t="str">
        <f t="shared" si="823"/>
        <v>LOW</v>
      </c>
    </row>
    <row r="437" ht="29.25" customHeight="1" outlineLevel="1" spans="1:43">
      <c r="A437" s="363"/>
      <c r="B437" s="317">
        <v>0.520844907407407</v>
      </c>
      <c r="C437" s="293" t="str">
        <f t="shared" ref="C437:G437" si="908">TEXT(IF($B437=0," ",$B437-C$6),"hh:mm am/pm")</f>
        <v>10:30 001/p1</v>
      </c>
      <c r="D437" s="293" t="str">
        <f t="shared" si="908"/>
        <v>08:30 001/p1</v>
      </c>
      <c r="E437" s="293" t="str">
        <f t="shared" si="908"/>
        <v>09:30 001/p1</v>
      </c>
      <c r="F437" s="293" t="str">
        <f t="shared" si="908"/>
        <v>10:30 001/p1</v>
      </c>
      <c r="G437" s="293" t="str">
        <f t="shared" si="908"/>
        <v>11:30 001/p1</v>
      </c>
      <c r="H437" s="293" t="str">
        <f t="shared" ref="H437:I437" si="909">TEXT(IF($B437=0," ",$B437+H$6),"hh:mm am/pm")</f>
        <v>18:30 001/p1</v>
      </c>
      <c r="I437" s="293" t="str">
        <f t="shared" si="909"/>
        <v>23:30 001/p1</v>
      </c>
      <c r="J437" s="294" t="s">
        <v>366</v>
      </c>
      <c r="K437" s="295"/>
      <c r="L437" s="319" t="s">
        <v>157</v>
      </c>
      <c r="M437" s="320" t="s">
        <v>71</v>
      </c>
      <c r="N437" s="321" t="s">
        <v>100</v>
      </c>
      <c r="O437" s="322" t="s">
        <v>82</v>
      </c>
      <c r="P437" s="323" t="s">
        <v>101</v>
      </c>
      <c r="Q437" s="324">
        <v>1600</v>
      </c>
      <c r="R437" s="375" t="s">
        <v>60</v>
      </c>
      <c r="S437" s="326"/>
      <c r="T437" s="327" t="s">
        <v>92</v>
      </c>
      <c r="U437" s="321" t="s">
        <v>62</v>
      </c>
      <c r="V437" s="321">
        <v>12</v>
      </c>
      <c r="W437" s="321">
        <v>12</v>
      </c>
      <c r="X437" s="328"/>
      <c r="Y437" s="329" t="s">
        <v>63</v>
      </c>
      <c r="Z437" s="326"/>
      <c r="AA437" s="330" t="s">
        <v>64</v>
      </c>
      <c r="AB437" s="330" t="s">
        <v>65</v>
      </c>
      <c r="AC437" s="331">
        <v>0.1</v>
      </c>
      <c r="AD437" s="331">
        <v>0.02</v>
      </c>
      <c r="AE437" s="330" t="s">
        <v>66</v>
      </c>
      <c r="AF437" s="332">
        <v>40000</v>
      </c>
      <c r="AG437" s="333">
        <v>12</v>
      </c>
      <c r="AH437" s="333">
        <v>10</v>
      </c>
      <c r="AI437" s="333">
        <v>10</v>
      </c>
      <c r="AJ437" s="327">
        <v>14</v>
      </c>
      <c r="AK437" s="335" t="s">
        <v>67</v>
      </c>
      <c r="AL437" s="335" t="s">
        <v>68</v>
      </c>
      <c r="AM437" s="336" t="s">
        <v>69</v>
      </c>
      <c r="AN437" s="336" t="s">
        <v>70</v>
      </c>
      <c r="AO437" s="314">
        <f t="shared" si="821"/>
        <v>0.644456018518519</v>
      </c>
      <c r="AP437" s="315">
        <f t="shared" si="822"/>
        <v>152</v>
      </c>
      <c r="AQ437" s="316" t="str">
        <f t="shared" si="823"/>
        <v>LOW</v>
      </c>
    </row>
    <row r="438" ht="29.25" customHeight="1" outlineLevel="1" spans="1:43">
      <c r="B438" s="317">
        <v>0.541678240740741</v>
      </c>
      <c r="C438" s="293" t="str">
        <f t="shared" ref="C438:G438" si="910">TEXT(IF($B438=0," ",$B438-C$6),"hh:mm am/pm")</f>
        <v>11:00 001/p1</v>
      </c>
      <c r="D438" s="293" t="str">
        <f t="shared" si="910"/>
        <v>09:00 001/p1</v>
      </c>
      <c r="E438" s="293" t="str">
        <f t="shared" si="910"/>
        <v>10:00 001/p1</v>
      </c>
      <c r="F438" s="293" t="str">
        <f t="shared" si="910"/>
        <v>11:00 001/p1</v>
      </c>
      <c r="G438" s="293" t="str">
        <f t="shared" si="910"/>
        <v>12:00 001/p1</v>
      </c>
      <c r="H438" s="293" t="str">
        <f t="shared" ref="H438:I438" si="911">TEXT(IF($B438=0," ",$B438+H$6),"hh:mm am/pm")</f>
        <v>19:00 001/p1</v>
      </c>
      <c r="I438" s="293" t="str">
        <f t="shared" si="911"/>
        <v>00:00 001/p1</v>
      </c>
      <c r="J438" s="294" t="s">
        <v>158</v>
      </c>
      <c r="K438" s="295"/>
      <c r="L438" s="337" t="s">
        <v>126</v>
      </c>
      <c r="M438" s="338" t="s">
        <v>71</v>
      </c>
      <c r="N438" s="339" t="s">
        <v>57</v>
      </c>
      <c r="O438" s="340" t="s">
        <v>144</v>
      </c>
      <c r="P438" s="341" t="s">
        <v>59</v>
      </c>
      <c r="Q438" s="342">
        <v>2000</v>
      </c>
      <c r="R438" s="343" t="s">
        <v>60</v>
      </c>
      <c r="S438" s="344"/>
      <c r="T438" s="345" t="s">
        <v>61</v>
      </c>
      <c r="U438" s="339" t="s">
        <v>62</v>
      </c>
      <c r="V438" s="339">
        <v>5</v>
      </c>
      <c r="W438" s="339">
        <v>5</v>
      </c>
      <c r="X438" s="354"/>
      <c r="Y438" s="346" t="s">
        <v>63</v>
      </c>
      <c r="Z438" s="344"/>
      <c r="AA438" s="348" t="s">
        <v>64</v>
      </c>
      <c r="AB438" s="348" t="s">
        <v>65</v>
      </c>
      <c r="AC438" s="349">
        <v>0.1</v>
      </c>
      <c r="AD438" s="349">
        <v>0.02</v>
      </c>
      <c r="AE438" s="348" t="s">
        <v>88</v>
      </c>
      <c r="AF438" s="346">
        <v>80000</v>
      </c>
      <c r="AG438" s="350">
        <v>12</v>
      </c>
      <c r="AH438" s="350">
        <v>10</v>
      </c>
      <c r="AI438" s="350">
        <v>10</v>
      </c>
      <c r="AJ438" s="345">
        <v>15</v>
      </c>
      <c r="AK438" s="352" t="s">
        <v>67</v>
      </c>
      <c r="AL438" s="352" t="s">
        <v>68</v>
      </c>
      <c r="AM438" s="353" t="s">
        <v>69</v>
      </c>
      <c r="AN438" s="353" t="s">
        <v>70</v>
      </c>
      <c r="AO438" s="314">
        <f t="shared" si="821"/>
        <v>0.677094907407407</v>
      </c>
      <c r="AP438" s="315">
        <f t="shared" si="822"/>
        <v>455</v>
      </c>
      <c r="AQ438" s="316" t="str">
        <f t="shared" si="823"/>
        <v>MICRO</v>
      </c>
    </row>
    <row r="439" ht="29.25" customHeight="1" outlineLevel="1" spans="1:43">
      <c r="A439" s="363" t="s">
        <v>352</v>
      </c>
      <c r="B439" s="317">
        <v>0.541678240740741</v>
      </c>
      <c r="C439" s="293" t="str">
        <f t="shared" ref="C439:G439" si="912">TEXT(IF($B439=0," ",$B439-C$6),"hh:mm am/pm")</f>
        <v>11:00 001/p1</v>
      </c>
      <c r="D439" s="293" t="str">
        <f t="shared" si="912"/>
        <v>09:00 001/p1</v>
      </c>
      <c r="E439" s="293" t="str">
        <f t="shared" si="912"/>
        <v>10:00 001/p1</v>
      </c>
      <c r="F439" s="293" t="str">
        <f t="shared" si="912"/>
        <v>11:00 001/p1</v>
      </c>
      <c r="G439" s="293" t="str">
        <f t="shared" si="912"/>
        <v>12:00 001/p1</v>
      </c>
      <c r="H439" s="293" t="str">
        <f t="shared" ref="H439:I439" si="913">TEXT(IF($B439=0," ",$B439+H$6),"hh:mm am/pm")</f>
        <v>19:00 001/p1</v>
      </c>
      <c r="I439" s="293" t="str">
        <f t="shared" si="913"/>
        <v>00:00 001/p1</v>
      </c>
      <c r="J439" s="294" t="s">
        <v>123</v>
      </c>
      <c r="K439" s="295"/>
      <c r="L439" s="319" t="s">
        <v>124</v>
      </c>
      <c r="M439" s="320" t="s">
        <v>71</v>
      </c>
      <c r="N439" s="321" t="s">
        <v>122</v>
      </c>
      <c r="O439" s="322" t="s">
        <v>82</v>
      </c>
      <c r="P439" s="323" t="s">
        <v>59</v>
      </c>
      <c r="Q439" s="324">
        <v>100</v>
      </c>
      <c r="R439" s="375" t="s">
        <v>60</v>
      </c>
      <c r="S439" s="326"/>
      <c r="T439" s="327" t="s">
        <v>61</v>
      </c>
      <c r="U439" s="321" t="s">
        <v>62</v>
      </c>
      <c r="V439" s="321">
        <v>0.6</v>
      </c>
      <c r="W439" s="321">
        <v>0.6</v>
      </c>
      <c r="X439" s="328"/>
      <c r="Y439" s="329" t="s">
        <v>63</v>
      </c>
      <c r="Z439" s="326"/>
      <c r="AA439" s="330" t="s">
        <v>64</v>
      </c>
      <c r="AB439" s="330" t="s">
        <v>65</v>
      </c>
      <c r="AC439" s="331">
        <v>0.1</v>
      </c>
      <c r="AD439" s="331">
        <v>0</v>
      </c>
      <c r="AE439" s="330" t="s">
        <v>66</v>
      </c>
      <c r="AF439" s="332">
        <v>50000</v>
      </c>
      <c r="AG439" s="333">
        <v>8</v>
      </c>
      <c r="AH439" s="333">
        <v>7</v>
      </c>
      <c r="AI439" s="333">
        <v>7</v>
      </c>
      <c r="AJ439" s="327">
        <v>15</v>
      </c>
      <c r="AK439" s="334" t="s">
        <v>67</v>
      </c>
      <c r="AL439" s="335" t="s">
        <v>68</v>
      </c>
      <c r="AM439" s="336" t="s">
        <v>69</v>
      </c>
      <c r="AN439" s="336" t="s">
        <v>70</v>
      </c>
      <c r="AO439" s="314">
        <f t="shared" si="821"/>
        <v>0.631956018518519</v>
      </c>
      <c r="AP439" s="315">
        <f t="shared" si="822"/>
        <v>186</v>
      </c>
      <c r="AQ439" s="316" t="str">
        <f t="shared" si="823"/>
        <v>MICRO</v>
      </c>
    </row>
    <row r="440" ht="29.25" customHeight="1" outlineLevel="1" spans="1:43">
      <c r="B440" s="317">
        <v>0.552094907407407</v>
      </c>
      <c r="C440" s="293" t="str">
        <f t="shared" ref="C440:G440" si="914">TEXT(IF($B440=0," ",$B440-C$6),"hh:mm am/pm")</f>
        <v>11:15 001/p1</v>
      </c>
      <c r="D440" s="293" t="str">
        <f t="shared" si="914"/>
        <v>09:15 001/p1</v>
      </c>
      <c r="E440" s="293" t="str">
        <f t="shared" si="914"/>
        <v>10:15 001/p1</v>
      </c>
      <c r="F440" s="293" t="str">
        <f t="shared" si="914"/>
        <v>11:15 001/p1</v>
      </c>
      <c r="G440" s="293" t="str">
        <f t="shared" si="914"/>
        <v>12:15 001/p1</v>
      </c>
      <c r="H440" s="293" t="str">
        <f t="shared" ref="H440:I440" si="915">TEXT(IF($B440=0," ",$B440+H$6),"hh:mm am/pm")</f>
        <v>19:15 001/p1</v>
      </c>
      <c r="I440" s="293" t="str">
        <f t="shared" si="915"/>
        <v>00:15 001/p1</v>
      </c>
      <c r="J440" s="294" t="s">
        <v>367</v>
      </c>
      <c r="K440" s="295"/>
      <c r="L440" s="337" t="s">
        <v>160</v>
      </c>
      <c r="M440" s="338" t="s">
        <v>71</v>
      </c>
      <c r="N440" s="339" t="s">
        <v>57</v>
      </c>
      <c r="O440" s="340" t="s">
        <v>74</v>
      </c>
      <c r="P440" s="341" t="s">
        <v>59</v>
      </c>
      <c r="Q440" s="342">
        <v>1000</v>
      </c>
      <c r="R440" s="343" t="s">
        <v>60</v>
      </c>
      <c r="S440" s="344"/>
      <c r="T440" s="345" t="s">
        <v>61</v>
      </c>
      <c r="U440" s="339" t="s">
        <v>62</v>
      </c>
      <c r="V440" s="339">
        <v>8</v>
      </c>
      <c r="W440" s="344"/>
      <c r="X440" s="354"/>
      <c r="Y440" s="347" t="s">
        <v>161</v>
      </c>
      <c r="Z440" s="344"/>
      <c r="AA440" s="348" t="s">
        <v>162</v>
      </c>
      <c r="AB440" s="348" t="s">
        <v>65</v>
      </c>
      <c r="AC440" s="349">
        <v>0.1</v>
      </c>
      <c r="AD440" s="349">
        <v>0.02</v>
      </c>
      <c r="AE440" s="348" t="s">
        <v>66</v>
      </c>
      <c r="AF440" s="346">
        <v>50000</v>
      </c>
      <c r="AG440" s="350">
        <v>12</v>
      </c>
      <c r="AH440" s="350">
        <v>10</v>
      </c>
      <c r="AI440" s="350">
        <v>10</v>
      </c>
      <c r="AJ440" s="345">
        <v>15</v>
      </c>
      <c r="AK440" s="352" t="s">
        <v>67</v>
      </c>
      <c r="AL440" s="352" t="s">
        <v>68</v>
      </c>
      <c r="AM440" s="353" t="s">
        <v>69</v>
      </c>
      <c r="AN440" s="353" t="s">
        <v>70</v>
      </c>
      <c r="AO440" s="314">
        <f t="shared" si="821"/>
        <v>0.687511574074074</v>
      </c>
      <c r="AP440" s="315">
        <f t="shared" si="822"/>
        <v>143</v>
      </c>
      <c r="AQ440" s="316" t="str">
        <f t="shared" si="823"/>
        <v>LOW</v>
      </c>
    </row>
    <row r="441" ht="29.25" customHeight="1" outlineLevel="1" spans="1:43">
      <c r="A441" s="363" t="s">
        <v>352</v>
      </c>
      <c r="B441" s="317">
        <v>0.562511574074074</v>
      </c>
      <c r="C441" s="293" t="str">
        <f t="shared" ref="C441:G441" si="916">TEXT(IF($B441=0," ",$B441-C$6),"hh:mm am/pm")</f>
        <v>11:30 001/p1</v>
      </c>
      <c r="D441" s="293" t="str">
        <f t="shared" si="916"/>
        <v>09:30 001/p1</v>
      </c>
      <c r="E441" s="293" t="str">
        <f t="shared" si="916"/>
        <v>10:30 001/p1</v>
      </c>
      <c r="F441" s="293" t="str">
        <f t="shared" si="916"/>
        <v>11:30 001/p1</v>
      </c>
      <c r="G441" s="293" t="str">
        <f t="shared" si="916"/>
        <v>12:30 001/p1</v>
      </c>
      <c r="H441" s="293" t="str">
        <f t="shared" ref="H441:I441" si="917">TEXT(IF($B441=0," ",$B441+H$6),"hh:mm am/pm")</f>
        <v>19:30 001/p1</v>
      </c>
      <c r="I441" s="293" t="str">
        <f t="shared" si="917"/>
        <v>00:30 001/p1</v>
      </c>
      <c r="J441" s="294" t="s">
        <v>321</v>
      </c>
      <c r="K441" s="295"/>
      <c r="L441" s="319" t="s">
        <v>119</v>
      </c>
      <c r="M441" s="320" t="s">
        <v>71</v>
      </c>
      <c r="N441" s="321" t="s">
        <v>57</v>
      </c>
      <c r="O441" s="322" t="s">
        <v>74</v>
      </c>
      <c r="P441" s="323" t="s">
        <v>75</v>
      </c>
      <c r="Q441" s="324">
        <v>1000</v>
      </c>
      <c r="R441" s="375" t="s">
        <v>60</v>
      </c>
      <c r="S441" s="326"/>
      <c r="T441" s="327" t="s">
        <v>61</v>
      </c>
      <c r="U441" s="321" t="s">
        <v>62</v>
      </c>
      <c r="V441" s="321">
        <v>2</v>
      </c>
      <c r="W441" s="321">
        <v>2</v>
      </c>
      <c r="X441" s="328"/>
      <c r="Y441" s="329" t="s">
        <v>79</v>
      </c>
      <c r="Z441" s="321">
        <v>3</v>
      </c>
      <c r="AA441" s="330">
        <v>120000</v>
      </c>
      <c r="AB441" s="330" t="s">
        <v>65</v>
      </c>
      <c r="AC441" s="331">
        <v>0.1</v>
      </c>
      <c r="AD441" s="331">
        <v>0.02</v>
      </c>
      <c r="AE441" s="330" t="s">
        <v>66</v>
      </c>
      <c r="AF441" s="332">
        <v>40000</v>
      </c>
      <c r="AG441" s="333">
        <v>8</v>
      </c>
      <c r="AH441" s="333">
        <v>7</v>
      </c>
      <c r="AI441" s="333">
        <v>7</v>
      </c>
      <c r="AJ441" s="327">
        <v>15</v>
      </c>
      <c r="AK441" s="335" t="s">
        <v>67</v>
      </c>
      <c r="AL441" s="335" t="s">
        <v>68</v>
      </c>
      <c r="AM441" s="336" t="s">
        <v>69</v>
      </c>
      <c r="AN441" s="336" t="s">
        <v>70</v>
      </c>
      <c r="AO441" s="314">
        <f t="shared" si="821"/>
        <v>0.652789351851852</v>
      </c>
      <c r="AP441" s="315">
        <f t="shared" si="822"/>
        <v>569</v>
      </c>
      <c r="AQ441" s="316" t="str">
        <f t="shared" si="823"/>
        <v>MICRO</v>
      </c>
    </row>
    <row r="442" ht="29.25" customHeight="1" outlineLevel="1" spans="1:43">
      <c r="B442" s="317">
        <v>0.583344907407407</v>
      </c>
      <c r="C442" s="293" t="str">
        <f t="shared" ref="C442:G442" si="918">TEXT(IF($B442=0," ",$B442-C$6),"hh:mm am/pm")</f>
        <v>12:00 001/p1</v>
      </c>
      <c r="D442" s="293" t="str">
        <f t="shared" si="918"/>
        <v>10:00 001/p1</v>
      </c>
      <c r="E442" s="293" t="str">
        <f t="shared" si="918"/>
        <v>11:00 001/p1</v>
      </c>
      <c r="F442" s="293" t="str">
        <f t="shared" si="918"/>
        <v>12:00 001/p1</v>
      </c>
      <c r="G442" s="293" t="str">
        <f t="shared" si="918"/>
        <v>13:00 001/p1</v>
      </c>
      <c r="H442" s="293" t="str">
        <f t="shared" ref="H442:I442" si="919">TEXT(IF($B442=0," ",$B442+H$6),"hh:mm am/pm")</f>
        <v>20:00 001/p1</v>
      </c>
      <c r="I442" s="293" t="str">
        <f t="shared" si="919"/>
        <v>01:00 001/p1</v>
      </c>
      <c r="J442" s="294" t="s">
        <v>149</v>
      </c>
      <c r="K442" s="295"/>
      <c r="L442" s="337" t="s">
        <v>149</v>
      </c>
      <c r="M442" s="338" t="s">
        <v>71</v>
      </c>
      <c r="N442" s="339" t="s">
        <v>57</v>
      </c>
      <c r="O442" s="340" t="s">
        <v>74</v>
      </c>
      <c r="P442" s="341" t="s">
        <v>75</v>
      </c>
      <c r="Q442" s="342">
        <v>40</v>
      </c>
      <c r="R442" s="343" t="s">
        <v>60</v>
      </c>
      <c r="S442" s="344"/>
      <c r="T442" s="345" t="s">
        <v>61</v>
      </c>
      <c r="U442" s="339" t="s">
        <v>62</v>
      </c>
      <c r="V442" s="339">
        <v>0.6</v>
      </c>
      <c r="W442" s="339">
        <v>0.6</v>
      </c>
      <c r="X442" s="354"/>
      <c r="Y442" s="347" t="s">
        <v>63</v>
      </c>
      <c r="Z442" s="339">
        <v>0.6</v>
      </c>
      <c r="AA442" s="348">
        <v>30000</v>
      </c>
      <c r="AB442" s="348" t="s">
        <v>65</v>
      </c>
      <c r="AC442" s="349">
        <v>0.1</v>
      </c>
      <c r="AD442" s="349">
        <v>0</v>
      </c>
      <c r="AE442" s="348" t="s">
        <v>112</v>
      </c>
      <c r="AF442" s="346">
        <v>20000</v>
      </c>
      <c r="AG442" s="350">
        <v>5</v>
      </c>
      <c r="AH442" s="350">
        <v>5</v>
      </c>
      <c r="AI442" s="350">
        <v>5</v>
      </c>
      <c r="AJ442" s="345">
        <v>15</v>
      </c>
      <c r="AK442" s="352" t="s">
        <v>150</v>
      </c>
      <c r="AL442" s="352" t="s">
        <v>68</v>
      </c>
      <c r="AM442" s="353" t="s">
        <v>69</v>
      </c>
      <c r="AN442" s="353" t="s">
        <v>70</v>
      </c>
      <c r="AO442" s="314">
        <f t="shared" si="821"/>
        <v>0.638900462962963</v>
      </c>
      <c r="AP442" s="315">
        <f t="shared" si="822"/>
        <v>75</v>
      </c>
      <c r="AQ442" s="316" t="str">
        <f t="shared" si="823"/>
        <v>MICRO</v>
      </c>
    </row>
    <row r="443" ht="29.25" customHeight="1" outlineLevel="1" spans="1:43">
      <c r="B443" s="317">
        <v>0.583344907407407</v>
      </c>
      <c r="C443" s="293" t="str">
        <f t="shared" ref="C443:G443" si="920">TEXT(IF($B443=0," ",$B443-C$6),"hh:mm am/pm")</f>
        <v>12:00 001/p1</v>
      </c>
      <c r="D443" s="293" t="str">
        <f t="shared" si="920"/>
        <v>10:00 001/p1</v>
      </c>
      <c r="E443" s="293" t="str">
        <f t="shared" si="920"/>
        <v>11:00 001/p1</v>
      </c>
      <c r="F443" s="293" t="str">
        <f t="shared" si="920"/>
        <v>12:00 001/p1</v>
      </c>
      <c r="G443" s="293" t="str">
        <f t="shared" si="920"/>
        <v>13:00 001/p1</v>
      </c>
      <c r="H443" s="293" t="str">
        <f t="shared" ref="H443:I443" si="921">TEXT(IF($B443=0," ",$B443+H$6),"hh:mm am/pm")</f>
        <v>20:00 001/p1</v>
      </c>
      <c r="I443" s="293" t="str">
        <f t="shared" si="921"/>
        <v>01:00 001/p1</v>
      </c>
      <c r="J443" s="294" t="s">
        <v>164</v>
      </c>
      <c r="K443" s="295"/>
      <c r="L443" s="319" t="s">
        <v>129</v>
      </c>
      <c r="M443" s="320" t="s">
        <v>71</v>
      </c>
      <c r="N443" s="321" t="s">
        <v>165</v>
      </c>
      <c r="O443" s="322" t="s">
        <v>74</v>
      </c>
      <c r="P443" s="323" t="s">
        <v>101</v>
      </c>
      <c r="Q443" s="324">
        <v>200</v>
      </c>
      <c r="R443" s="375" t="s">
        <v>60</v>
      </c>
      <c r="S443" s="326"/>
      <c r="T443" s="327" t="s">
        <v>61</v>
      </c>
      <c r="U443" s="321" t="s">
        <v>62</v>
      </c>
      <c r="V443" s="321">
        <v>2</v>
      </c>
      <c r="W443" s="321">
        <v>2</v>
      </c>
      <c r="X443" s="328"/>
      <c r="Y443" s="329" t="s">
        <v>79</v>
      </c>
      <c r="Z443" s="321">
        <v>2</v>
      </c>
      <c r="AA443" s="330">
        <v>60000</v>
      </c>
      <c r="AB443" s="330" t="s">
        <v>65</v>
      </c>
      <c r="AC443" s="331">
        <v>0.1</v>
      </c>
      <c r="AD443" s="331">
        <v>0</v>
      </c>
      <c r="AE443" s="330" t="s">
        <v>88</v>
      </c>
      <c r="AF443" s="332">
        <v>30000</v>
      </c>
      <c r="AG443" s="333">
        <v>8</v>
      </c>
      <c r="AH443" s="333">
        <v>8</v>
      </c>
      <c r="AI443" s="333">
        <v>8</v>
      </c>
      <c r="AJ443" s="327">
        <v>11</v>
      </c>
      <c r="AK443" s="335" t="s">
        <v>67</v>
      </c>
      <c r="AL443" s="335" t="s">
        <v>68</v>
      </c>
      <c r="AM443" s="336" t="s">
        <v>69</v>
      </c>
      <c r="AN443" s="336" t="s">
        <v>70</v>
      </c>
      <c r="AO443" s="314">
        <f t="shared" si="821"/>
        <v>0.647928240740741</v>
      </c>
      <c r="AP443" s="315">
        <f t="shared" si="822"/>
        <v>112</v>
      </c>
      <c r="AQ443" s="316" t="str">
        <f t="shared" si="823"/>
        <v>MICRO</v>
      </c>
    </row>
    <row r="444" ht="29.25" customHeight="1" outlineLevel="1" spans="1:43">
      <c r="A444" s="363" t="s">
        <v>352</v>
      </c>
      <c r="B444" s="317">
        <v>0.583344907407407</v>
      </c>
      <c r="C444" s="293" t="str">
        <f t="shared" ref="C444:G444" si="922">TEXT(IF($B444=0," ",$B444-C$6),"hh:mm am/pm")</f>
        <v>12:00 001/p1</v>
      </c>
      <c r="D444" s="293" t="str">
        <f t="shared" si="922"/>
        <v>10:00 001/p1</v>
      </c>
      <c r="E444" s="293" t="str">
        <f t="shared" si="922"/>
        <v>11:00 001/p1</v>
      </c>
      <c r="F444" s="293" t="str">
        <f t="shared" si="922"/>
        <v>12:00 001/p1</v>
      </c>
      <c r="G444" s="293" t="str">
        <f t="shared" si="922"/>
        <v>13:00 001/p1</v>
      </c>
      <c r="H444" s="293" t="str">
        <f t="shared" ref="H444:I444" si="923">TEXT(IF($B444=0," ",$B444+H$6),"hh:mm am/pm")</f>
        <v>20:00 001/p1</v>
      </c>
      <c r="I444" s="293" t="str">
        <f t="shared" si="923"/>
        <v>01:00 001/p1</v>
      </c>
      <c r="J444" s="294" t="s">
        <v>166</v>
      </c>
      <c r="K444" s="295"/>
      <c r="L444" s="337" t="s">
        <v>167</v>
      </c>
      <c r="M444" s="338" t="s">
        <v>71</v>
      </c>
      <c r="N444" s="339" t="s">
        <v>57</v>
      </c>
      <c r="O444" s="340" t="s">
        <v>74</v>
      </c>
      <c r="P444" s="341" t="s">
        <v>75</v>
      </c>
      <c r="Q444" s="342">
        <v>1000</v>
      </c>
      <c r="R444" s="343" t="s">
        <v>60</v>
      </c>
      <c r="S444" s="344"/>
      <c r="T444" s="345" t="s">
        <v>77</v>
      </c>
      <c r="U444" s="339" t="s">
        <v>78</v>
      </c>
      <c r="V444" s="339">
        <v>0.6</v>
      </c>
      <c r="W444" s="339">
        <v>0.6</v>
      </c>
      <c r="X444" s="354"/>
      <c r="Y444" s="347" t="s">
        <v>79</v>
      </c>
      <c r="Z444" s="339">
        <v>0.6</v>
      </c>
      <c r="AA444" s="348">
        <v>100000</v>
      </c>
      <c r="AB444" s="348" t="s">
        <v>65</v>
      </c>
      <c r="AC444" s="349">
        <v>0.1</v>
      </c>
      <c r="AD444" s="349">
        <v>0.02</v>
      </c>
      <c r="AE444" s="348" t="s">
        <v>66</v>
      </c>
      <c r="AF444" s="346">
        <v>40000</v>
      </c>
      <c r="AG444" s="350">
        <v>8</v>
      </c>
      <c r="AH444" s="350">
        <v>7</v>
      </c>
      <c r="AI444" s="350">
        <v>7</v>
      </c>
      <c r="AJ444" s="345">
        <v>15</v>
      </c>
      <c r="AK444" s="352" t="s">
        <v>67</v>
      </c>
      <c r="AL444" s="352" t="s">
        <v>68</v>
      </c>
      <c r="AM444" s="353" t="s">
        <v>69</v>
      </c>
      <c r="AN444" s="353" t="s">
        <v>70</v>
      </c>
      <c r="AO444" s="314">
        <f t="shared" si="821"/>
        <v>0.673622685185185</v>
      </c>
      <c r="AP444" s="315">
        <f t="shared" si="822"/>
        <v>1894</v>
      </c>
      <c r="AQ444" s="316" t="str">
        <f t="shared" si="823"/>
        <v>MICRO</v>
      </c>
    </row>
    <row r="445" ht="29.25" customHeight="1" outlineLevel="1" spans="1:43">
      <c r="B445" s="317">
        <v>0.625011574074074</v>
      </c>
      <c r="C445" s="293" t="str">
        <f t="shared" ref="C445:G445" si="924">TEXT(IF($B445=0," ",$B445-C$6),"hh:mm am/pm")</f>
        <v>13:00 001/p1</v>
      </c>
      <c r="D445" s="293" t="str">
        <f t="shared" si="924"/>
        <v>11:00 001/p1</v>
      </c>
      <c r="E445" s="293" t="str">
        <f t="shared" si="924"/>
        <v>12:00 001/p1</v>
      </c>
      <c r="F445" s="293" t="str">
        <f t="shared" si="924"/>
        <v>13:00 001/p1</v>
      </c>
      <c r="G445" s="293" t="str">
        <f t="shared" si="924"/>
        <v>14:00 001/p1</v>
      </c>
      <c r="H445" s="293" t="str">
        <f t="shared" ref="H445:I445" si="925">TEXT(IF($B445=0," ",$B445+H$6),"hh:mm am/pm")</f>
        <v>21:00 001/p1</v>
      </c>
      <c r="I445" s="293" t="str">
        <f t="shared" si="925"/>
        <v>02:00 001/p1</v>
      </c>
      <c r="J445" s="318" t="s">
        <v>168</v>
      </c>
      <c r="K445" s="295"/>
      <c r="L445" s="319" t="s">
        <v>73</v>
      </c>
      <c r="M445" s="320" t="s">
        <v>71</v>
      </c>
      <c r="N445" s="321" t="s">
        <v>57</v>
      </c>
      <c r="O445" s="322" t="s">
        <v>74</v>
      </c>
      <c r="P445" s="323" t="s">
        <v>75</v>
      </c>
      <c r="Q445" s="324">
        <v>4200</v>
      </c>
      <c r="R445" s="325" t="s">
        <v>76</v>
      </c>
      <c r="S445" s="326"/>
      <c r="T445" s="327" t="s">
        <v>115</v>
      </c>
      <c r="U445" s="321" t="s">
        <v>62</v>
      </c>
      <c r="V445" s="321">
        <v>3</v>
      </c>
      <c r="W445" s="321">
        <v>3</v>
      </c>
      <c r="X445" s="328"/>
      <c r="Y445" s="329" t="s">
        <v>79</v>
      </c>
      <c r="Z445" s="321">
        <v>3</v>
      </c>
      <c r="AA445" s="330">
        <v>160000</v>
      </c>
      <c r="AB445" s="330" t="s">
        <v>65</v>
      </c>
      <c r="AC445" s="331">
        <v>0.1</v>
      </c>
      <c r="AD445" s="331">
        <v>0.02</v>
      </c>
      <c r="AE445" s="330" t="s">
        <v>88</v>
      </c>
      <c r="AF445" s="332">
        <v>40000</v>
      </c>
      <c r="AG445" s="333">
        <v>10</v>
      </c>
      <c r="AH445" s="333">
        <v>8</v>
      </c>
      <c r="AI445" s="333">
        <v>8</v>
      </c>
      <c r="AJ445" s="327">
        <v>13</v>
      </c>
      <c r="AK445" s="335" t="s">
        <v>67</v>
      </c>
      <c r="AL445" s="335" t="s">
        <v>68</v>
      </c>
      <c r="AM445" s="336" t="s">
        <v>69</v>
      </c>
      <c r="AN445" s="336" t="s">
        <v>70</v>
      </c>
      <c r="AO445" s="314">
        <f t="shared" si="821"/>
        <v>0.722233796296296</v>
      </c>
      <c r="AP445" s="315">
        <f t="shared" si="822"/>
        <v>1591</v>
      </c>
      <c r="AQ445" s="316" t="str">
        <f t="shared" si="823"/>
        <v>MICRO</v>
      </c>
    </row>
    <row r="446" ht="29.25" customHeight="1" outlineLevel="1" spans="1:43">
      <c r="B446" s="317">
        <v>0.625011574074074</v>
      </c>
      <c r="C446" s="293" t="str">
        <f t="shared" ref="C446:G446" si="926">TEXT(IF($B446=0," ",$B446-C$6),"hh:mm am/pm")</f>
        <v>13:00 001/p1</v>
      </c>
      <c r="D446" s="293" t="str">
        <f t="shared" si="926"/>
        <v>11:00 001/p1</v>
      </c>
      <c r="E446" s="293" t="str">
        <f t="shared" si="926"/>
        <v>12:00 001/p1</v>
      </c>
      <c r="F446" s="293" t="str">
        <f t="shared" si="926"/>
        <v>13:00 001/p1</v>
      </c>
      <c r="G446" s="293" t="str">
        <f t="shared" si="926"/>
        <v>14:00 001/p1</v>
      </c>
      <c r="H446" s="293" t="str">
        <f t="shared" ref="H446:I446" si="927">TEXT(IF($B446=0," ",$B446+H$6),"hh:mm am/pm")</f>
        <v>21:00 001/p1</v>
      </c>
      <c r="I446" s="293" t="str">
        <f t="shared" si="927"/>
        <v>02:00 001/p1</v>
      </c>
      <c r="J446" s="294" t="s">
        <v>252</v>
      </c>
      <c r="K446" s="295"/>
      <c r="L446" s="337" t="s">
        <v>121</v>
      </c>
      <c r="M446" s="338" t="s">
        <v>71</v>
      </c>
      <c r="N446" s="339" t="s">
        <v>100</v>
      </c>
      <c r="O446" s="340" t="s">
        <v>109</v>
      </c>
      <c r="P446" s="341" t="s">
        <v>101</v>
      </c>
      <c r="Q446" s="342">
        <v>400</v>
      </c>
      <c r="R446" s="343" t="s">
        <v>60</v>
      </c>
      <c r="S446" s="344"/>
      <c r="T446" s="345" t="s">
        <v>61</v>
      </c>
      <c r="U446" s="339" t="s">
        <v>62</v>
      </c>
      <c r="V446" s="339">
        <v>4</v>
      </c>
      <c r="W446" s="339">
        <v>4</v>
      </c>
      <c r="X446" s="354"/>
      <c r="Y446" s="347" t="s">
        <v>63</v>
      </c>
      <c r="Z446" s="344"/>
      <c r="AA446" s="348" t="s">
        <v>64</v>
      </c>
      <c r="AB446" s="348" t="s">
        <v>65</v>
      </c>
      <c r="AC446" s="349">
        <v>0.1</v>
      </c>
      <c r="AD446" s="349">
        <v>0.02</v>
      </c>
      <c r="AE446" s="348" t="s">
        <v>66</v>
      </c>
      <c r="AF446" s="346">
        <v>50000</v>
      </c>
      <c r="AG446" s="350">
        <v>10</v>
      </c>
      <c r="AH446" s="350">
        <v>8</v>
      </c>
      <c r="AI446" s="350">
        <v>8</v>
      </c>
      <c r="AJ446" s="345">
        <v>15</v>
      </c>
      <c r="AK446" s="351" t="s">
        <v>67</v>
      </c>
      <c r="AL446" s="352" t="s">
        <v>68</v>
      </c>
      <c r="AM446" s="353" t="s">
        <v>69</v>
      </c>
      <c r="AN446" s="353" t="s">
        <v>70</v>
      </c>
      <c r="AO446" s="314">
        <f t="shared" si="821"/>
        <v>0.736122685185185</v>
      </c>
      <c r="AP446" s="315">
        <f t="shared" si="822"/>
        <v>114</v>
      </c>
      <c r="AQ446" s="316" t="str">
        <f t="shared" si="823"/>
        <v>MICRO</v>
      </c>
    </row>
    <row r="447" ht="29.25" customHeight="1" outlineLevel="1" spans="1:43">
      <c r="A447" s="363" t="s">
        <v>352</v>
      </c>
      <c r="B447" s="317">
        <v>0.666678240740741</v>
      </c>
      <c r="C447" s="293" t="str">
        <f t="shared" ref="C447:G447" si="928">TEXT(IF($B447=0," ",$B447-C$6),"hh:mm am/pm")</f>
        <v>14:00 001/p1</v>
      </c>
      <c r="D447" s="293" t="str">
        <f t="shared" si="928"/>
        <v>12:00 001/p1</v>
      </c>
      <c r="E447" s="293" t="str">
        <f t="shared" si="928"/>
        <v>13:00 001/p1</v>
      </c>
      <c r="F447" s="293" t="str">
        <f t="shared" si="928"/>
        <v>14:00 001/p1</v>
      </c>
      <c r="G447" s="293" t="str">
        <f t="shared" si="928"/>
        <v>15:00 001/p1</v>
      </c>
      <c r="H447" s="293" t="str">
        <f t="shared" ref="H447:I447" si="929">TEXT(IF($B447=0," ",$B447+H$6),"hh:mm am/pm")</f>
        <v>22:00 001/p1</v>
      </c>
      <c r="I447" s="293" t="str">
        <f t="shared" si="929"/>
        <v>03:00 001/p1</v>
      </c>
      <c r="J447" s="294" t="s">
        <v>137</v>
      </c>
      <c r="K447" s="295"/>
      <c r="L447" s="319" t="s">
        <v>129</v>
      </c>
      <c r="M447" s="320" t="s">
        <v>71</v>
      </c>
      <c r="N447" s="321" t="s">
        <v>122</v>
      </c>
      <c r="O447" s="322" t="s">
        <v>74</v>
      </c>
      <c r="P447" s="323" t="s">
        <v>101</v>
      </c>
      <c r="Q447" s="324">
        <v>100</v>
      </c>
      <c r="R447" s="375" t="s">
        <v>60</v>
      </c>
      <c r="S447" s="326"/>
      <c r="T447" s="327" t="s">
        <v>61</v>
      </c>
      <c r="U447" s="321" t="s">
        <v>62</v>
      </c>
      <c r="V447" s="321">
        <v>0.8</v>
      </c>
      <c r="W447" s="321">
        <v>0.8</v>
      </c>
      <c r="X447" s="328"/>
      <c r="Y447" s="329" t="s">
        <v>79</v>
      </c>
      <c r="Z447" s="321">
        <v>0.8</v>
      </c>
      <c r="AA447" s="330">
        <v>80000</v>
      </c>
      <c r="AB447" s="330" t="s">
        <v>65</v>
      </c>
      <c r="AC447" s="331">
        <v>0.1</v>
      </c>
      <c r="AD447" s="331">
        <v>0</v>
      </c>
      <c r="AE447" s="330" t="s">
        <v>88</v>
      </c>
      <c r="AF447" s="332">
        <v>40000</v>
      </c>
      <c r="AG447" s="333">
        <v>8</v>
      </c>
      <c r="AH447" s="333">
        <v>7</v>
      </c>
      <c r="AI447" s="333">
        <v>7</v>
      </c>
      <c r="AJ447" s="327">
        <v>12</v>
      </c>
      <c r="AK447" s="334" t="s">
        <v>67</v>
      </c>
      <c r="AL447" s="335" t="s">
        <v>68</v>
      </c>
      <c r="AM447" s="336" t="s">
        <v>69</v>
      </c>
      <c r="AN447" s="336" t="s">
        <v>70</v>
      </c>
      <c r="AO447" s="314">
        <f t="shared" si="821"/>
        <v>0.73681712962963</v>
      </c>
      <c r="AP447" s="315">
        <f t="shared" si="822"/>
        <v>139</v>
      </c>
      <c r="AQ447" s="316" t="str">
        <f t="shared" si="823"/>
        <v>MICRO</v>
      </c>
    </row>
    <row r="448" ht="29.25" customHeight="1" outlineLevel="1" spans="1:43">
      <c r="B448" s="317">
        <v>0.666678240740741</v>
      </c>
      <c r="C448" s="293" t="str">
        <f t="shared" ref="C448:G448" si="930">TEXT(IF($B448=0," ",$B448-C$6),"hh:mm am/pm")</f>
        <v>14:00 001/p1</v>
      </c>
      <c r="D448" s="293" t="str">
        <f t="shared" si="930"/>
        <v>12:00 001/p1</v>
      </c>
      <c r="E448" s="293" t="str">
        <f t="shared" si="930"/>
        <v>13:00 001/p1</v>
      </c>
      <c r="F448" s="293" t="str">
        <f t="shared" si="930"/>
        <v>14:00 001/p1</v>
      </c>
      <c r="G448" s="293" t="str">
        <f t="shared" si="930"/>
        <v>15:00 001/p1</v>
      </c>
      <c r="H448" s="293" t="str">
        <f t="shared" ref="H448:I448" si="931">TEXT(IF($B448=0," ",$B448+H$6),"hh:mm am/pm")</f>
        <v>22:00 001/p1</v>
      </c>
      <c r="I448" s="293" t="str">
        <f t="shared" si="931"/>
        <v>03:00 001/p1</v>
      </c>
      <c r="J448" s="294" t="s">
        <v>134</v>
      </c>
      <c r="K448" s="295"/>
      <c r="L448" s="337" t="s">
        <v>114</v>
      </c>
      <c r="M448" s="338" t="s">
        <v>71</v>
      </c>
      <c r="N448" s="339" t="s">
        <v>57</v>
      </c>
      <c r="O448" s="340" t="s">
        <v>74</v>
      </c>
      <c r="P448" s="341" t="s">
        <v>75</v>
      </c>
      <c r="Q448" s="342">
        <v>200</v>
      </c>
      <c r="R448" s="343" t="s">
        <v>60</v>
      </c>
      <c r="S448" s="344"/>
      <c r="T448" s="345" t="s">
        <v>115</v>
      </c>
      <c r="U448" s="339" t="s">
        <v>62</v>
      </c>
      <c r="V448" s="339">
        <v>0.4</v>
      </c>
      <c r="W448" s="339">
        <v>0.4</v>
      </c>
      <c r="X448" s="354"/>
      <c r="Y448" s="347" t="s">
        <v>79</v>
      </c>
      <c r="Z448" s="339">
        <v>0.6</v>
      </c>
      <c r="AA448" s="348">
        <v>40000</v>
      </c>
      <c r="AB448" s="348" t="s">
        <v>65</v>
      </c>
      <c r="AC448" s="349">
        <v>0.1</v>
      </c>
      <c r="AD448" s="349">
        <v>0</v>
      </c>
      <c r="AE448" s="348" t="s">
        <v>66</v>
      </c>
      <c r="AF448" s="346">
        <v>20000</v>
      </c>
      <c r="AG448" s="350">
        <v>8</v>
      </c>
      <c r="AH448" s="350">
        <v>7</v>
      </c>
      <c r="AI448" s="350">
        <v>7</v>
      </c>
      <c r="AJ448" s="345">
        <v>12</v>
      </c>
      <c r="AK448" s="351" t="s">
        <v>67</v>
      </c>
      <c r="AL448" s="352" t="s">
        <v>68</v>
      </c>
      <c r="AM448" s="353" t="s">
        <v>69</v>
      </c>
      <c r="AN448" s="353" t="s">
        <v>70</v>
      </c>
      <c r="AO448" s="314">
        <f t="shared" si="821"/>
        <v>0.73681712962963</v>
      </c>
      <c r="AP448" s="315">
        <f t="shared" si="822"/>
        <v>556</v>
      </c>
      <c r="AQ448" s="316" t="str">
        <f t="shared" si="823"/>
        <v>MICRO</v>
      </c>
    </row>
    <row r="449" ht="29.25" customHeight="1" outlineLevel="1" spans="1:43">
      <c r="A449" s="363" t="s">
        <v>352</v>
      </c>
      <c r="B449" s="317">
        <v>0.708344907407407</v>
      </c>
      <c r="C449" s="293" t="str">
        <f t="shared" ref="C449:G449" si="932">TEXT(IF($B449=0," ",$B449-C$6),"hh:mm am/pm")</f>
        <v>15:00 001/p1</v>
      </c>
      <c r="D449" s="293" t="str">
        <f t="shared" si="932"/>
        <v>13:00 001/p1</v>
      </c>
      <c r="E449" s="293" t="str">
        <f t="shared" si="932"/>
        <v>14:00 001/p1</v>
      </c>
      <c r="F449" s="293" t="str">
        <f t="shared" si="932"/>
        <v>15:00 001/p1</v>
      </c>
      <c r="G449" s="293" t="str">
        <f t="shared" si="932"/>
        <v>16:00 001/p1</v>
      </c>
      <c r="H449" s="293" t="str">
        <f t="shared" ref="H449:I449" si="933">TEXT(IF($B449=0," ",$B449+H$6),"hh:mm am/pm")</f>
        <v>23:00 001/p1</v>
      </c>
      <c r="I449" s="293" t="str">
        <f t="shared" si="933"/>
        <v>04:00 001/p1</v>
      </c>
      <c r="J449" s="294" t="s">
        <v>368</v>
      </c>
      <c r="K449" s="295"/>
      <c r="L449" s="319" t="s">
        <v>369</v>
      </c>
      <c r="M449" s="320" t="s">
        <v>71</v>
      </c>
      <c r="N449" s="321" t="s">
        <v>57</v>
      </c>
      <c r="O449" s="322" t="s">
        <v>58</v>
      </c>
      <c r="P449" s="323" t="s">
        <v>59</v>
      </c>
      <c r="Q449" s="324">
        <v>2000</v>
      </c>
      <c r="R449" s="375" t="s">
        <v>60</v>
      </c>
      <c r="S449" s="326"/>
      <c r="T449" s="327" t="s">
        <v>92</v>
      </c>
      <c r="U449" s="321" t="s">
        <v>62</v>
      </c>
      <c r="V449" s="321">
        <v>12</v>
      </c>
      <c r="W449" s="326"/>
      <c r="X449" s="328"/>
      <c r="Y449" s="329" t="s">
        <v>161</v>
      </c>
      <c r="Z449" s="326"/>
      <c r="AA449" s="330" t="s">
        <v>162</v>
      </c>
      <c r="AB449" s="330" t="s">
        <v>65</v>
      </c>
      <c r="AC449" s="331">
        <v>0.1</v>
      </c>
      <c r="AD449" s="331">
        <v>0.02</v>
      </c>
      <c r="AE449" s="330" t="s">
        <v>66</v>
      </c>
      <c r="AF449" s="332">
        <v>60000</v>
      </c>
      <c r="AG449" s="333">
        <v>10</v>
      </c>
      <c r="AH449" s="333">
        <v>10</v>
      </c>
      <c r="AI449" s="333">
        <v>10</v>
      </c>
      <c r="AJ449" s="327">
        <v>15</v>
      </c>
      <c r="AK449" s="334" t="s">
        <v>67</v>
      </c>
      <c r="AL449" s="335" t="s">
        <v>68</v>
      </c>
      <c r="AM449" s="336" t="s">
        <v>69</v>
      </c>
      <c r="AN449" s="336" t="s">
        <v>70</v>
      </c>
      <c r="AO449" s="314">
        <f t="shared" si="821"/>
        <v>0.819456018518518</v>
      </c>
      <c r="AP449" s="315">
        <f t="shared" si="822"/>
        <v>190</v>
      </c>
      <c r="AQ449" s="316" t="str">
        <f t="shared" si="823"/>
        <v>LOW</v>
      </c>
    </row>
    <row r="450" ht="29.25" customHeight="1" outlineLevel="1" spans="1:43">
      <c r="B450" s="317">
        <v>0.708344907407407</v>
      </c>
      <c r="C450" s="293" t="str">
        <f t="shared" ref="C450:G450" si="934">TEXT(IF($B450=0," ",$B450-C$6),"hh:mm am/pm")</f>
        <v>15:00 001/p1</v>
      </c>
      <c r="D450" s="293" t="str">
        <f t="shared" si="934"/>
        <v>13:00 001/p1</v>
      </c>
      <c r="E450" s="293" t="str">
        <f t="shared" si="934"/>
        <v>14:00 001/p1</v>
      </c>
      <c r="F450" s="293" t="str">
        <f t="shared" si="934"/>
        <v>15:00 001/p1</v>
      </c>
      <c r="G450" s="293" t="str">
        <f t="shared" si="934"/>
        <v>16:00 001/p1</v>
      </c>
      <c r="H450" s="293" t="str">
        <f t="shared" ref="H450:I450" si="935">TEXT(IF($B450=0," ",$B450+H$6),"hh:mm am/pm")</f>
        <v>23:00 001/p1</v>
      </c>
      <c r="I450" s="293" t="str">
        <f t="shared" si="935"/>
        <v>04:00 001/p1</v>
      </c>
      <c r="J450" s="294" t="s">
        <v>370</v>
      </c>
      <c r="K450" s="295"/>
      <c r="L450" s="337" t="s">
        <v>157</v>
      </c>
      <c r="M450" s="338" t="s">
        <v>71</v>
      </c>
      <c r="N450" s="339" t="s">
        <v>100</v>
      </c>
      <c r="O450" s="340" t="s">
        <v>82</v>
      </c>
      <c r="P450" s="341" t="s">
        <v>101</v>
      </c>
      <c r="Q450" s="342">
        <v>2500</v>
      </c>
      <c r="R450" s="343" t="s">
        <v>60</v>
      </c>
      <c r="S450" s="344"/>
      <c r="T450" s="345" t="s">
        <v>92</v>
      </c>
      <c r="U450" s="339" t="s">
        <v>62</v>
      </c>
      <c r="V450" s="339">
        <v>30</v>
      </c>
      <c r="W450" s="339">
        <v>30</v>
      </c>
      <c r="X450" s="354"/>
      <c r="Y450" s="347" t="s">
        <v>63</v>
      </c>
      <c r="Z450" s="344"/>
      <c r="AA450" s="348" t="s">
        <v>64</v>
      </c>
      <c r="AB450" s="348" t="s">
        <v>65</v>
      </c>
      <c r="AC450" s="349">
        <v>0.1</v>
      </c>
      <c r="AD450" s="349">
        <v>0.02</v>
      </c>
      <c r="AE450" s="348" t="s">
        <v>66</v>
      </c>
      <c r="AF450" s="346">
        <v>50000</v>
      </c>
      <c r="AG450" s="350">
        <v>10</v>
      </c>
      <c r="AH450" s="350">
        <v>10</v>
      </c>
      <c r="AI450" s="350">
        <v>10</v>
      </c>
      <c r="AJ450" s="345">
        <v>15</v>
      </c>
      <c r="AK450" s="351" t="s">
        <v>67</v>
      </c>
      <c r="AL450" s="352" t="s">
        <v>68</v>
      </c>
      <c r="AM450" s="353" t="s">
        <v>69</v>
      </c>
      <c r="AN450" s="353" t="s">
        <v>70</v>
      </c>
      <c r="AO450" s="314">
        <f t="shared" si="821"/>
        <v>0.819456018518518</v>
      </c>
      <c r="AP450" s="315">
        <f t="shared" si="822"/>
        <v>95</v>
      </c>
      <c r="AQ450" s="316" t="str">
        <f t="shared" si="823"/>
        <v>MEDIUM</v>
      </c>
    </row>
    <row r="451" ht="29.25" customHeight="1" outlineLevel="1" spans="1:43">
      <c r="B451" s="317">
        <v>0.708344907407407</v>
      </c>
      <c r="C451" s="293" t="str">
        <f t="shared" ref="C451:G451" si="936">TEXT(IF($B451=0," ",$B451-C$6),"hh:mm am/pm")</f>
        <v>15:00 001/p1</v>
      </c>
      <c r="D451" s="293" t="str">
        <f t="shared" si="936"/>
        <v>13:00 001/p1</v>
      </c>
      <c r="E451" s="293" t="str">
        <f t="shared" si="936"/>
        <v>14:00 001/p1</v>
      </c>
      <c r="F451" s="293" t="str">
        <f t="shared" si="936"/>
        <v>15:00 001/p1</v>
      </c>
      <c r="G451" s="293" t="str">
        <f t="shared" si="936"/>
        <v>16:00 001/p1</v>
      </c>
      <c r="H451" s="293" t="str">
        <f t="shared" ref="H451:I451" si="937">TEXT(IF($B451=0," ",$B451+H$6),"hh:mm am/pm")</f>
        <v>23:00 001/p1</v>
      </c>
      <c r="I451" s="293" t="str">
        <f t="shared" si="937"/>
        <v>04:00 001/p1</v>
      </c>
      <c r="J451" s="294" t="s">
        <v>149</v>
      </c>
      <c r="K451" s="295"/>
      <c r="L451" s="319" t="s">
        <v>149</v>
      </c>
      <c r="M451" s="320" t="s">
        <v>71</v>
      </c>
      <c r="N451" s="321" t="s">
        <v>57</v>
      </c>
      <c r="O451" s="322" t="s">
        <v>74</v>
      </c>
      <c r="P451" s="323" t="s">
        <v>75</v>
      </c>
      <c r="Q451" s="324">
        <v>40</v>
      </c>
      <c r="R451" s="375" t="s">
        <v>60</v>
      </c>
      <c r="S451" s="326"/>
      <c r="T451" s="327" t="s">
        <v>61</v>
      </c>
      <c r="U451" s="321" t="s">
        <v>62</v>
      </c>
      <c r="V451" s="321">
        <v>0.6</v>
      </c>
      <c r="W451" s="321">
        <v>0.6</v>
      </c>
      <c r="X451" s="328"/>
      <c r="Y451" s="332" t="s">
        <v>63</v>
      </c>
      <c r="Z451" s="321">
        <v>0.6</v>
      </c>
      <c r="AA451" s="330">
        <v>30000</v>
      </c>
      <c r="AB451" s="330" t="s">
        <v>65</v>
      </c>
      <c r="AC451" s="331">
        <v>0.1</v>
      </c>
      <c r="AD451" s="331">
        <v>0</v>
      </c>
      <c r="AE451" s="330" t="s">
        <v>112</v>
      </c>
      <c r="AF451" s="332">
        <v>20000</v>
      </c>
      <c r="AG451" s="333">
        <v>5</v>
      </c>
      <c r="AH451" s="333">
        <v>5</v>
      </c>
      <c r="AI451" s="333">
        <v>5</v>
      </c>
      <c r="AJ451" s="327">
        <v>15</v>
      </c>
      <c r="AK451" s="334" t="s">
        <v>150</v>
      </c>
      <c r="AL451" s="335" t="s">
        <v>68</v>
      </c>
      <c r="AM451" s="336" t="s">
        <v>69</v>
      </c>
      <c r="AN451" s="336" t="s">
        <v>70</v>
      </c>
      <c r="AO451" s="314">
        <f t="shared" si="821"/>
        <v>0.763900462962963</v>
      </c>
      <c r="AP451" s="315">
        <f t="shared" si="822"/>
        <v>75</v>
      </c>
      <c r="AQ451" s="316" t="str">
        <f t="shared" si="823"/>
        <v>MICRO</v>
      </c>
    </row>
    <row r="452" ht="29.25" customHeight="1" outlineLevel="1" spans="1:43">
      <c r="A452" s="363" t="s">
        <v>352</v>
      </c>
      <c r="B452" s="317">
        <v>0.718761574074074</v>
      </c>
      <c r="C452" s="293" t="str">
        <f t="shared" ref="C452:G452" si="938">TEXT(IF($B452=0," ",$B452-C$6),"hh:mm am/pm")</f>
        <v>15:15 001/p1</v>
      </c>
      <c r="D452" s="293" t="str">
        <f t="shared" si="938"/>
        <v>13:15 001/p1</v>
      </c>
      <c r="E452" s="293" t="str">
        <f t="shared" si="938"/>
        <v>14:15 001/p1</v>
      </c>
      <c r="F452" s="293" t="str">
        <f t="shared" si="938"/>
        <v>15:15 001/p1</v>
      </c>
      <c r="G452" s="293" t="str">
        <f t="shared" si="938"/>
        <v>16:15 001/p1</v>
      </c>
      <c r="H452" s="293" t="str">
        <f t="shared" ref="H452:I452" si="939">TEXT(IF($B452=0," ",$B452+H$6),"hh:mm am/pm")</f>
        <v>23:15 001/p1</v>
      </c>
      <c r="I452" s="293" t="str">
        <f t="shared" si="939"/>
        <v>04:15 001/p1</v>
      </c>
      <c r="J452" s="294" t="s">
        <v>338</v>
      </c>
      <c r="K452" s="295"/>
      <c r="L452" s="337" t="s">
        <v>124</v>
      </c>
      <c r="M452" s="338" t="s">
        <v>71</v>
      </c>
      <c r="N452" s="339" t="s">
        <v>165</v>
      </c>
      <c r="O452" s="340" t="s">
        <v>58</v>
      </c>
      <c r="P452" s="341" t="s">
        <v>101</v>
      </c>
      <c r="Q452" s="342">
        <v>160</v>
      </c>
      <c r="R452" s="343" t="s">
        <v>60</v>
      </c>
      <c r="S452" s="344"/>
      <c r="T452" s="345" t="s">
        <v>61</v>
      </c>
      <c r="U452" s="339" t="s">
        <v>62</v>
      </c>
      <c r="V452" s="339">
        <v>1</v>
      </c>
      <c r="W452" s="339">
        <v>1</v>
      </c>
      <c r="X452" s="354"/>
      <c r="Y452" s="346" t="s">
        <v>63</v>
      </c>
      <c r="Z452" s="344"/>
      <c r="AA452" s="348" t="s">
        <v>64</v>
      </c>
      <c r="AB452" s="348" t="s">
        <v>65</v>
      </c>
      <c r="AC452" s="349">
        <v>0.1</v>
      </c>
      <c r="AD452" s="349">
        <v>0</v>
      </c>
      <c r="AE452" s="348" t="s">
        <v>66</v>
      </c>
      <c r="AF452" s="346">
        <v>50000</v>
      </c>
      <c r="AG452" s="350">
        <v>8</v>
      </c>
      <c r="AH452" s="350">
        <v>7</v>
      </c>
      <c r="AI452" s="350">
        <v>7</v>
      </c>
      <c r="AJ452" s="345">
        <v>15</v>
      </c>
      <c r="AK452" s="351" t="s">
        <v>67</v>
      </c>
      <c r="AL452" s="352" t="s">
        <v>68</v>
      </c>
      <c r="AM452" s="353" t="s">
        <v>69</v>
      </c>
      <c r="AN452" s="353" t="s">
        <v>70</v>
      </c>
      <c r="AO452" s="314">
        <f t="shared" si="821"/>
        <v>0.809039351851852</v>
      </c>
      <c r="AP452" s="315">
        <f t="shared" si="822"/>
        <v>178</v>
      </c>
      <c r="AQ452" s="316" t="str">
        <f t="shared" si="823"/>
        <v>MICRO</v>
      </c>
    </row>
    <row r="453" ht="29.25" customHeight="1" outlineLevel="1" spans="1:43">
      <c r="B453" s="317">
        <v>0.729178240740741</v>
      </c>
      <c r="C453" s="293" t="str">
        <f t="shared" ref="C453:G453" si="940">TEXT(IF($B453=0," ",$B453-C$6),"hh:mm am/pm")</f>
        <v>15:30 001/p1</v>
      </c>
      <c r="D453" s="293" t="str">
        <f t="shared" si="940"/>
        <v>13:30 001/p1</v>
      </c>
      <c r="E453" s="293" t="str">
        <f t="shared" si="940"/>
        <v>14:30 001/p1</v>
      </c>
      <c r="F453" s="293" t="str">
        <f t="shared" si="940"/>
        <v>15:30 001/p1</v>
      </c>
      <c r="G453" s="293" t="str">
        <f t="shared" si="940"/>
        <v>16:30 001/p1</v>
      </c>
      <c r="H453" s="293" t="str">
        <f t="shared" ref="H453:I453" si="941">TEXT(IF($B453=0," ",$B453+H$6),"hh:mm am/pm")</f>
        <v>23:30 001/p1</v>
      </c>
      <c r="I453" s="293" t="str">
        <f t="shared" si="941"/>
        <v>04:30 001/p1</v>
      </c>
      <c r="J453" s="294" t="s">
        <v>371</v>
      </c>
      <c r="K453" s="295"/>
      <c r="L453" s="319" t="s">
        <v>81</v>
      </c>
      <c r="M453" s="320" t="s">
        <v>71</v>
      </c>
      <c r="N453" s="321" t="s">
        <v>57</v>
      </c>
      <c r="O453" s="322" t="s">
        <v>82</v>
      </c>
      <c r="P453" s="323" t="s">
        <v>75</v>
      </c>
      <c r="Q453" s="324">
        <v>1000</v>
      </c>
      <c r="R453" s="375" t="s">
        <v>60</v>
      </c>
      <c r="S453" s="326"/>
      <c r="T453" s="327" t="s">
        <v>61</v>
      </c>
      <c r="U453" s="321" t="s">
        <v>62</v>
      </c>
      <c r="V453" s="321">
        <v>2</v>
      </c>
      <c r="W453" s="321">
        <v>2</v>
      </c>
      <c r="X453" s="328"/>
      <c r="Y453" s="332" t="s">
        <v>63</v>
      </c>
      <c r="Z453" s="326"/>
      <c r="AA453" s="330" t="s">
        <v>64</v>
      </c>
      <c r="AB453" s="330" t="s">
        <v>65</v>
      </c>
      <c r="AC453" s="331">
        <v>0.1</v>
      </c>
      <c r="AD453" s="331">
        <v>0.02</v>
      </c>
      <c r="AE453" s="330" t="s">
        <v>88</v>
      </c>
      <c r="AF453" s="332">
        <v>60000</v>
      </c>
      <c r="AG453" s="333">
        <v>10</v>
      </c>
      <c r="AH453" s="333">
        <v>8</v>
      </c>
      <c r="AI453" s="333">
        <v>8</v>
      </c>
      <c r="AJ453" s="327">
        <v>14</v>
      </c>
      <c r="AK453" s="335" t="s">
        <v>67</v>
      </c>
      <c r="AL453" s="335" t="s">
        <v>68</v>
      </c>
      <c r="AM453" s="336" t="s">
        <v>69</v>
      </c>
      <c r="AN453" s="336" t="s">
        <v>70</v>
      </c>
      <c r="AO453" s="314">
        <f t="shared" si="821"/>
        <v>0.833344907407407</v>
      </c>
      <c r="AP453" s="315">
        <f t="shared" si="822"/>
        <v>569</v>
      </c>
      <c r="AQ453" s="316" t="str">
        <f t="shared" si="823"/>
        <v>MICRO</v>
      </c>
    </row>
    <row r="454" ht="29.25" customHeight="1" outlineLevel="1" spans="1:43">
      <c r="B454" s="317">
        <v>0.770844907407407</v>
      </c>
      <c r="C454" s="293" t="str">
        <f t="shared" ref="C454:G454" si="942">TEXT(IF($B454=0," ",$B454-C$6),"hh:mm am/pm")</f>
        <v>16:30 001/p1</v>
      </c>
      <c r="D454" s="293" t="str">
        <f t="shared" si="942"/>
        <v>14:30 001/p1</v>
      </c>
      <c r="E454" s="293" t="str">
        <f t="shared" si="942"/>
        <v>15:30 001/p1</v>
      </c>
      <c r="F454" s="293" t="str">
        <f t="shared" si="942"/>
        <v>16:30 001/p1</v>
      </c>
      <c r="G454" s="293" t="str">
        <f t="shared" si="942"/>
        <v>17:30 001/p1</v>
      </c>
      <c r="H454" s="293" t="str">
        <f t="shared" ref="H454:I454" si="943">TEXT(IF($B454=0," ",$B454+H$6),"hh:mm am/pm")</f>
        <v>00:30 001/p1</v>
      </c>
      <c r="I454" s="293" t="str">
        <f t="shared" si="943"/>
        <v>05:30 001/p1</v>
      </c>
      <c r="J454" s="318" t="s">
        <v>372</v>
      </c>
      <c r="K454" s="295"/>
      <c r="L454" s="337" t="s">
        <v>177</v>
      </c>
      <c r="M454" s="338" t="s">
        <v>71</v>
      </c>
      <c r="N454" s="339" t="s">
        <v>57</v>
      </c>
      <c r="O454" s="340" t="s">
        <v>74</v>
      </c>
      <c r="P454" s="341" t="s">
        <v>75</v>
      </c>
      <c r="Q454" s="342">
        <v>1800</v>
      </c>
      <c r="R454" s="325" t="s">
        <v>76</v>
      </c>
      <c r="S454" s="344"/>
      <c r="T454" s="345" t="s">
        <v>115</v>
      </c>
      <c r="U454" s="339" t="s">
        <v>62</v>
      </c>
      <c r="V454" s="339">
        <v>0.6</v>
      </c>
      <c r="W454" s="339">
        <v>0.6</v>
      </c>
      <c r="X454" s="354"/>
      <c r="Y454" s="346" t="s">
        <v>79</v>
      </c>
      <c r="Z454" s="339">
        <v>0.6</v>
      </c>
      <c r="AA454" s="348">
        <v>160000</v>
      </c>
      <c r="AB454" s="348" t="s">
        <v>65</v>
      </c>
      <c r="AC454" s="349">
        <v>0.1</v>
      </c>
      <c r="AD454" s="349">
        <v>0.02</v>
      </c>
      <c r="AE454" s="348" t="s">
        <v>66</v>
      </c>
      <c r="AF454" s="346">
        <v>40000</v>
      </c>
      <c r="AG454" s="350">
        <v>8</v>
      </c>
      <c r="AH454" s="350">
        <v>7</v>
      </c>
      <c r="AI454" s="350">
        <v>7</v>
      </c>
      <c r="AJ454" s="345">
        <v>15</v>
      </c>
      <c r="AK454" s="352" t="s">
        <v>67</v>
      </c>
      <c r="AL454" s="352" t="s">
        <v>68</v>
      </c>
      <c r="AM454" s="353" t="s">
        <v>69</v>
      </c>
      <c r="AN454" s="353" t="s">
        <v>70</v>
      </c>
      <c r="AO454" s="314">
        <f t="shared" si="821"/>
        <v>0.861122685185185</v>
      </c>
      <c r="AP454" s="315">
        <f t="shared" si="822"/>
        <v>3410</v>
      </c>
      <c r="AQ454" s="316" t="str">
        <f t="shared" si="823"/>
        <v>MICRO</v>
      </c>
    </row>
    <row r="455" ht="29.25" customHeight="1" outlineLevel="1" spans="1:43">
      <c r="A455" s="363" t="s">
        <v>352</v>
      </c>
      <c r="B455" s="317">
        <v>0.770844907407407</v>
      </c>
      <c r="C455" s="293" t="str">
        <f t="shared" ref="C455:G455" si="944">TEXT(IF($B455=0," ",$B455-C$6),"hh:mm am/pm")</f>
        <v>16:30 001/p1</v>
      </c>
      <c r="D455" s="293" t="str">
        <f t="shared" si="944"/>
        <v>14:30 001/p1</v>
      </c>
      <c r="E455" s="293" t="str">
        <f t="shared" si="944"/>
        <v>15:30 001/p1</v>
      </c>
      <c r="F455" s="293" t="str">
        <f t="shared" si="944"/>
        <v>16:30 001/p1</v>
      </c>
      <c r="G455" s="293" t="str">
        <f t="shared" si="944"/>
        <v>17:30 001/p1</v>
      </c>
      <c r="H455" s="293" t="str">
        <f t="shared" ref="H455:I455" si="945">TEXT(IF($B455=0," ",$B455+H$6),"hh:mm am/pm")</f>
        <v>00:30 001/p1</v>
      </c>
      <c r="I455" s="293" t="str">
        <f t="shared" si="945"/>
        <v>05:30 001/p1</v>
      </c>
      <c r="J455" s="294" t="s">
        <v>373</v>
      </c>
      <c r="K455" s="295"/>
      <c r="L455" s="319" t="s">
        <v>374</v>
      </c>
      <c r="M455" s="320" t="s">
        <v>71</v>
      </c>
      <c r="N455" s="321" t="s">
        <v>57</v>
      </c>
      <c r="O455" s="322" t="s">
        <v>74</v>
      </c>
      <c r="P455" s="323" t="s">
        <v>59</v>
      </c>
      <c r="Q455" s="324">
        <v>800</v>
      </c>
      <c r="R455" s="375" t="s">
        <v>60</v>
      </c>
      <c r="S455" s="326"/>
      <c r="T455" s="327" t="s">
        <v>61</v>
      </c>
      <c r="U455" s="321" t="s">
        <v>62</v>
      </c>
      <c r="V455" s="321">
        <v>5</v>
      </c>
      <c r="W455" s="326"/>
      <c r="X455" s="328"/>
      <c r="Y455" s="332" t="s">
        <v>161</v>
      </c>
      <c r="Z455" s="326"/>
      <c r="AA455" s="330" t="s">
        <v>162</v>
      </c>
      <c r="AB455" s="330" t="s">
        <v>65</v>
      </c>
      <c r="AC455" s="331">
        <v>0.1</v>
      </c>
      <c r="AD455" s="331">
        <v>0.02</v>
      </c>
      <c r="AE455" s="330" t="s">
        <v>66</v>
      </c>
      <c r="AF455" s="332">
        <v>50000</v>
      </c>
      <c r="AG455" s="333">
        <v>10</v>
      </c>
      <c r="AH455" s="333">
        <v>10</v>
      </c>
      <c r="AI455" s="333">
        <v>10</v>
      </c>
      <c r="AJ455" s="327">
        <v>15</v>
      </c>
      <c r="AK455" s="335" t="s">
        <v>67</v>
      </c>
      <c r="AL455" s="335" t="s">
        <v>68</v>
      </c>
      <c r="AM455" s="336" t="s">
        <v>69</v>
      </c>
      <c r="AN455" s="336" t="s">
        <v>70</v>
      </c>
      <c r="AO455" s="314">
        <f t="shared" si="821"/>
        <v>0.881956018518518</v>
      </c>
      <c r="AP455" s="315">
        <f t="shared" si="822"/>
        <v>182</v>
      </c>
      <c r="AQ455" s="316" t="str">
        <f t="shared" si="823"/>
        <v>MICRO</v>
      </c>
    </row>
    <row r="456" ht="29.25" customHeight="1" outlineLevel="1" spans="1:43">
      <c r="B456" s="317">
        <v>0.791678240740741</v>
      </c>
      <c r="C456" s="293" t="str">
        <f t="shared" ref="C456:G456" si="946">TEXT(IF($B456=0," ",$B456-C$6),"hh:mm am/pm")</f>
        <v>17:00 001/p1</v>
      </c>
      <c r="D456" s="293" t="str">
        <f t="shared" si="946"/>
        <v>15:00 001/p1</v>
      </c>
      <c r="E456" s="293" t="str">
        <f t="shared" si="946"/>
        <v>16:00 001/p1</v>
      </c>
      <c r="F456" s="293" t="str">
        <f t="shared" si="946"/>
        <v>17:00 001/p1</v>
      </c>
      <c r="G456" s="293" t="str">
        <f t="shared" si="946"/>
        <v>18:00 001/p1</v>
      </c>
      <c r="H456" s="293" t="str">
        <f t="shared" ref="H456:I456" si="947">TEXT(IF($B456=0," ",$B456+H$6),"hh:mm am/pm")</f>
        <v>01:00 001/p1</v>
      </c>
      <c r="I456" s="293" t="str">
        <f t="shared" si="947"/>
        <v>06:00 001/p1</v>
      </c>
      <c r="J456" s="294" t="s">
        <v>252</v>
      </c>
      <c r="K456" s="295"/>
      <c r="L456" s="337" t="s">
        <v>121</v>
      </c>
      <c r="M456" s="338" t="s">
        <v>71</v>
      </c>
      <c r="N456" s="339" t="s">
        <v>100</v>
      </c>
      <c r="O456" s="340" t="s">
        <v>109</v>
      </c>
      <c r="P456" s="341" t="s">
        <v>101</v>
      </c>
      <c r="Q456" s="342">
        <v>400</v>
      </c>
      <c r="R456" s="343" t="s">
        <v>60</v>
      </c>
      <c r="S456" s="344"/>
      <c r="T456" s="345" t="s">
        <v>61</v>
      </c>
      <c r="U456" s="339" t="s">
        <v>62</v>
      </c>
      <c r="V456" s="339">
        <v>2</v>
      </c>
      <c r="W456" s="339">
        <v>2</v>
      </c>
      <c r="X456" s="354"/>
      <c r="Y456" s="346" t="s">
        <v>63</v>
      </c>
      <c r="Z456" s="344"/>
      <c r="AA456" s="348" t="s">
        <v>64</v>
      </c>
      <c r="AB456" s="348" t="s">
        <v>65</v>
      </c>
      <c r="AC456" s="349">
        <v>0.1</v>
      </c>
      <c r="AD456" s="349">
        <v>0.02</v>
      </c>
      <c r="AE456" s="348" t="s">
        <v>66</v>
      </c>
      <c r="AF456" s="346">
        <v>50000</v>
      </c>
      <c r="AG456" s="350">
        <v>10</v>
      </c>
      <c r="AH456" s="350">
        <v>8</v>
      </c>
      <c r="AI456" s="350">
        <v>8</v>
      </c>
      <c r="AJ456" s="345">
        <v>15</v>
      </c>
      <c r="AK456" s="352" t="s">
        <v>67</v>
      </c>
      <c r="AL456" s="352" t="s">
        <v>68</v>
      </c>
      <c r="AM456" s="353" t="s">
        <v>69</v>
      </c>
      <c r="AN456" s="353" t="s">
        <v>70</v>
      </c>
      <c r="AO456" s="314">
        <f t="shared" si="821"/>
        <v>0.902789351851852</v>
      </c>
      <c r="AP456" s="315">
        <f t="shared" si="822"/>
        <v>228</v>
      </c>
      <c r="AQ456" s="316" t="str">
        <f t="shared" si="823"/>
        <v>MICRO</v>
      </c>
    </row>
    <row r="457" ht="29.25" customHeight="1" outlineLevel="1" spans="1:43">
      <c r="B457" s="317">
        <v>0.791678240740741</v>
      </c>
      <c r="C457" s="293" t="str">
        <f t="shared" ref="C457:G457" si="948">TEXT(IF($B457=0," ",$B457-C$6),"hh:mm am/pm")</f>
        <v>17:00 001/p1</v>
      </c>
      <c r="D457" s="293" t="str">
        <f t="shared" si="948"/>
        <v>15:00 001/p1</v>
      </c>
      <c r="E457" s="293" t="str">
        <f t="shared" si="948"/>
        <v>16:00 001/p1</v>
      </c>
      <c r="F457" s="293" t="str">
        <f t="shared" si="948"/>
        <v>17:00 001/p1</v>
      </c>
      <c r="G457" s="293" t="str">
        <f t="shared" si="948"/>
        <v>18:00 001/p1</v>
      </c>
      <c r="H457" s="293" t="str">
        <f t="shared" ref="H457:I457" si="949">TEXT(IF($B457=0," ",$B457+H$6),"hh:mm am/pm")</f>
        <v>01:00 001/p1</v>
      </c>
      <c r="I457" s="293" t="str">
        <f t="shared" si="949"/>
        <v>06:00 001/p1</v>
      </c>
      <c r="J457" s="294" t="s">
        <v>254</v>
      </c>
      <c r="K457" s="295"/>
      <c r="L457" s="319" t="s">
        <v>255</v>
      </c>
      <c r="M457" s="320" t="s">
        <v>71</v>
      </c>
      <c r="N457" s="321" t="s">
        <v>57</v>
      </c>
      <c r="O457" s="322" t="s">
        <v>104</v>
      </c>
      <c r="P457" s="323" t="s">
        <v>59</v>
      </c>
      <c r="Q457" s="324">
        <v>800</v>
      </c>
      <c r="R457" s="375" t="s">
        <v>60</v>
      </c>
      <c r="S457" s="326"/>
      <c r="T457" s="327" t="s">
        <v>61</v>
      </c>
      <c r="U457" s="321" t="s">
        <v>62</v>
      </c>
      <c r="V457" s="321">
        <v>1</v>
      </c>
      <c r="W457" s="321">
        <v>1</v>
      </c>
      <c r="X457" s="328"/>
      <c r="Y457" s="332" t="s">
        <v>63</v>
      </c>
      <c r="Z457" s="326"/>
      <c r="AA457" s="330" t="s">
        <v>64</v>
      </c>
      <c r="AB457" s="330" t="s">
        <v>65</v>
      </c>
      <c r="AC457" s="331">
        <v>0.1</v>
      </c>
      <c r="AD457" s="331">
        <v>0.02</v>
      </c>
      <c r="AE457" s="327" t="s">
        <v>66</v>
      </c>
      <c r="AF457" s="332">
        <v>30000</v>
      </c>
      <c r="AG457" s="333">
        <v>10</v>
      </c>
      <c r="AH457" s="333">
        <v>8</v>
      </c>
      <c r="AI457" s="333">
        <v>8</v>
      </c>
      <c r="AJ457" s="327">
        <v>13</v>
      </c>
      <c r="AK457" s="335" t="s">
        <v>67</v>
      </c>
      <c r="AL457" s="335" t="s">
        <v>68</v>
      </c>
      <c r="AM457" s="336" t="s">
        <v>69</v>
      </c>
      <c r="AN457" s="336" t="s">
        <v>70</v>
      </c>
      <c r="AO457" s="314">
        <f t="shared" si="821"/>
        <v>0.888900462962963</v>
      </c>
      <c r="AP457" s="315">
        <f t="shared" si="822"/>
        <v>910</v>
      </c>
      <c r="AQ457" s="316" t="str">
        <f t="shared" si="823"/>
        <v>MICRO</v>
      </c>
    </row>
    <row r="458" ht="29.25" customHeight="1" outlineLevel="1" spans="1:43">
      <c r="A458" s="363" t="s">
        <v>352</v>
      </c>
      <c r="B458" s="317">
        <v>0.791678240740741</v>
      </c>
      <c r="C458" s="293" t="str">
        <f t="shared" ref="C458:G458" si="950">TEXT(IF($B458=0," ",$B458-C$6),"hh:mm am/pm")</f>
        <v>17:00 001/p1</v>
      </c>
      <c r="D458" s="293" t="str">
        <f t="shared" si="950"/>
        <v>15:00 001/p1</v>
      </c>
      <c r="E458" s="293" t="str">
        <f t="shared" si="950"/>
        <v>16:00 001/p1</v>
      </c>
      <c r="F458" s="293" t="str">
        <f t="shared" si="950"/>
        <v>17:00 001/p1</v>
      </c>
      <c r="G458" s="293" t="str">
        <f t="shared" si="950"/>
        <v>18:00 001/p1</v>
      </c>
      <c r="H458" s="293" t="str">
        <f t="shared" ref="H458:I458" si="951">TEXT(IF($B458=0," ",$B458+H$6),"hh:mm am/pm")</f>
        <v>01:00 001/p1</v>
      </c>
      <c r="I458" s="293" t="str">
        <f t="shared" si="951"/>
        <v>06:00 001/p1</v>
      </c>
      <c r="J458" s="318" t="s">
        <v>332</v>
      </c>
      <c r="K458" s="295"/>
      <c r="L458" s="337" t="s">
        <v>332</v>
      </c>
      <c r="M458" s="338" t="s">
        <v>71</v>
      </c>
      <c r="N458" s="339" t="s">
        <v>57</v>
      </c>
      <c r="O458" s="340" t="s">
        <v>74</v>
      </c>
      <c r="P458" s="341" t="s">
        <v>75</v>
      </c>
      <c r="Q458" s="342">
        <v>100</v>
      </c>
      <c r="R458" s="377" t="s">
        <v>181</v>
      </c>
      <c r="S458" s="344"/>
      <c r="T458" s="345" t="s">
        <v>61</v>
      </c>
      <c r="U458" s="339" t="s">
        <v>62</v>
      </c>
      <c r="V458" s="339">
        <v>0</v>
      </c>
      <c r="W458" s="339">
        <v>0.6</v>
      </c>
      <c r="X458" s="346">
        <v>15000</v>
      </c>
      <c r="Y458" s="346" t="s">
        <v>79</v>
      </c>
      <c r="Z458" s="339">
        <v>1</v>
      </c>
      <c r="AA458" s="348">
        <v>30000</v>
      </c>
      <c r="AB458" s="348" t="s">
        <v>65</v>
      </c>
      <c r="AC458" s="349">
        <v>0.05</v>
      </c>
      <c r="AD458" s="349">
        <v>0</v>
      </c>
      <c r="AE458" s="345" t="s">
        <v>112</v>
      </c>
      <c r="AF458" s="346">
        <v>5000</v>
      </c>
      <c r="AG458" s="350">
        <v>6</v>
      </c>
      <c r="AH458" s="350">
        <v>5</v>
      </c>
      <c r="AI458" s="350">
        <v>5</v>
      </c>
      <c r="AJ458" s="345">
        <v>15</v>
      </c>
      <c r="AK458" s="352">
        <v>1132285</v>
      </c>
      <c r="AL458" s="378"/>
      <c r="AM458" s="353" t="s">
        <v>69</v>
      </c>
      <c r="AN458" s="353" t="s">
        <v>70</v>
      </c>
      <c r="AO458" s="314">
        <f t="shared" si="821"/>
        <v>0.857650462962963</v>
      </c>
      <c r="AP458" s="315" t="e">
        <f t="shared" si="822"/>
        <v>#DIV/0!</v>
      </c>
      <c r="AQ458" s="316" t="str">
        <f t="shared" si="823"/>
        <v> </v>
      </c>
    </row>
    <row r="459" ht="29.25" customHeight="1" outlineLevel="1" spans="1:43">
      <c r="B459" s="317">
        <v>0.812511574074074</v>
      </c>
      <c r="C459" s="293" t="str">
        <f t="shared" ref="C459:G459" si="952">TEXT(IF($B459=0," ",$B459-C$6),"hh:mm am/pm")</f>
        <v>17:30 001/p1</v>
      </c>
      <c r="D459" s="293" t="str">
        <f t="shared" si="952"/>
        <v>15:30 001/p1</v>
      </c>
      <c r="E459" s="293" t="str">
        <f t="shared" si="952"/>
        <v>16:30 001/p1</v>
      </c>
      <c r="F459" s="293" t="str">
        <f t="shared" si="952"/>
        <v>17:30 001/p1</v>
      </c>
      <c r="G459" s="293" t="str">
        <f t="shared" si="952"/>
        <v>18:30 001/p1</v>
      </c>
      <c r="H459" s="293" t="str">
        <f t="shared" ref="H459:I459" si="953">TEXT(IF($B459=0," ",$B459+H$6),"hh:mm am/pm")</f>
        <v>01:30 001/p1</v>
      </c>
      <c r="I459" s="293" t="str">
        <f t="shared" si="953"/>
        <v>06:30 001/p1</v>
      </c>
      <c r="J459" s="294" t="s">
        <v>149</v>
      </c>
      <c r="K459" s="295"/>
      <c r="L459" s="319" t="s">
        <v>149</v>
      </c>
      <c r="M459" s="320" t="s">
        <v>71</v>
      </c>
      <c r="N459" s="321" t="s">
        <v>57</v>
      </c>
      <c r="O459" s="322" t="s">
        <v>74</v>
      </c>
      <c r="P459" s="323" t="s">
        <v>75</v>
      </c>
      <c r="Q459" s="324">
        <v>40</v>
      </c>
      <c r="R459" s="375" t="s">
        <v>60</v>
      </c>
      <c r="S459" s="326"/>
      <c r="T459" s="327" t="s">
        <v>61</v>
      </c>
      <c r="U459" s="321" t="s">
        <v>62</v>
      </c>
      <c r="V459" s="321">
        <v>0.6</v>
      </c>
      <c r="W459" s="321">
        <v>0.6</v>
      </c>
      <c r="X459" s="328"/>
      <c r="Y459" s="332" t="s">
        <v>63</v>
      </c>
      <c r="Z459" s="321">
        <v>0.6</v>
      </c>
      <c r="AA459" s="330">
        <v>30000</v>
      </c>
      <c r="AB459" s="330" t="s">
        <v>65</v>
      </c>
      <c r="AC459" s="331">
        <v>0.1</v>
      </c>
      <c r="AD459" s="331">
        <v>0</v>
      </c>
      <c r="AE459" s="327" t="s">
        <v>112</v>
      </c>
      <c r="AF459" s="332">
        <v>20000</v>
      </c>
      <c r="AG459" s="333">
        <v>5</v>
      </c>
      <c r="AH459" s="333">
        <v>5</v>
      </c>
      <c r="AI459" s="333">
        <v>5</v>
      </c>
      <c r="AJ459" s="327">
        <v>15</v>
      </c>
      <c r="AK459" s="335" t="s">
        <v>150</v>
      </c>
      <c r="AL459" s="335" t="s">
        <v>68</v>
      </c>
      <c r="AM459" s="336" t="s">
        <v>69</v>
      </c>
      <c r="AN459" s="336" t="s">
        <v>70</v>
      </c>
      <c r="AO459" s="314">
        <f t="shared" si="821"/>
        <v>0.86806712962963</v>
      </c>
      <c r="AP459" s="315">
        <f t="shared" si="822"/>
        <v>75</v>
      </c>
      <c r="AQ459" s="316" t="str">
        <f t="shared" si="823"/>
        <v>MICRO</v>
      </c>
    </row>
    <row r="460" ht="29.25" customHeight="1" outlineLevel="1" spans="1:43">
      <c r="B460" s="317">
        <v>0.833344907407407</v>
      </c>
      <c r="C460" s="293" t="str">
        <f t="shared" ref="C460:G460" si="954">TEXT(IF($B460=0," ",$B460-C$6),"hh:mm am/pm")</f>
        <v>18:00 001/p1</v>
      </c>
      <c r="D460" s="293" t="str">
        <f t="shared" si="954"/>
        <v>16:00 001/p1</v>
      </c>
      <c r="E460" s="293" t="str">
        <f t="shared" si="954"/>
        <v>17:00 001/p1</v>
      </c>
      <c r="F460" s="293" t="str">
        <f t="shared" si="954"/>
        <v>18:00 001/p1</v>
      </c>
      <c r="G460" s="293" t="str">
        <f t="shared" si="954"/>
        <v>19:00 001/p1</v>
      </c>
      <c r="H460" s="293" t="str">
        <f t="shared" ref="H460:I460" si="955">TEXT(IF($B460=0," ",$B460+H$6),"hh:mm am/pm")</f>
        <v>02:00 001/p1</v>
      </c>
      <c r="I460" s="293" t="str">
        <f t="shared" si="955"/>
        <v>07:00 001/p1</v>
      </c>
      <c r="J460" s="294" t="s">
        <v>164</v>
      </c>
      <c r="K460" s="295"/>
      <c r="L460" s="337" t="s">
        <v>129</v>
      </c>
      <c r="M460" s="338" t="s">
        <v>71</v>
      </c>
      <c r="N460" s="339" t="s">
        <v>165</v>
      </c>
      <c r="O460" s="340" t="s">
        <v>74</v>
      </c>
      <c r="P460" s="341" t="s">
        <v>101</v>
      </c>
      <c r="Q460" s="342">
        <v>200</v>
      </c>
      <c r="R460" s="343" t="s">
        <v>60</v>
      </c>
      <c r="S460" s="344"/>
      <c r="T460" s="345" t="s">
        <v>61</v>
      </c>
      <c r="U460" s="339" t="s">
        <v>62</v>
      </c>
      <c r="V460" s="339">
        <v>2</v>
      </c>
      <c r="W460" s="339">
        <v>2</v>
      </c>
      <c r="X460" s="354"/>
      <c r="Y460" s="346" t="s">
        <v>79</v>
      </c>
      <c r="Z460" s="339">
        <v>2</v>
      </c>
      <c r="AA460" s="348">
        <v>100000</v>
      </c>
      <c r="AB460" s="348" t="s">
        <v>65</v>
      </c>
      <c r="AC460" s="349">
        <v>0.1</v>
      </c>
      <c r="AD460" s="349">
        <v>0</v>
      </c>
      <c r="AE460" s="345" t="s">
        <v>88</v>
      </c>
      <c r="AF460" s="346">
        <v>40000</v>
      </c>
      <c r="AG460" s="350">
        <v>10</v>
      </c>
      <c r="AH460" s="350">
        <v>8</v>
      </c>
      <c r="AI460" s="350">
        <v>8</v>
      </c>
      <c r="AJ460" s="345">
        <v>12</v>
      </c>
      <c r="AK460" s="352" t="s">
        <v>67</v>
      </c>
      <c r="AL460" s="352" t="s">
        <v>68</v>
      </c>
      <c r="AM460" s="353" t="s">
        <v>69</v>
      </c>
      <c r="AN460" s="353" t="s">
        <v>70</v>
      </c>
      <c r="AO460" s="314">
        <f t="shared" si="821"/>
        <v>0.923622685185185</v>
      </c>
      <c r="AP460" s="315">
        <f t="shared" si="822"/>
        <v>112</v>
      </c>
      <c r="AQ460" s="316" t="str">
        <f t="shared" si="823"/>
        <v>MICRO</v>
      </c>
    </row>
    <row r="461" ht="29.25" customHeight="1" outlineLevel="1" spans="1:43">
      <c r="A461" s="363" t="s">
        <v>352</v>
      </c>
      <c r="B461" s="317">
        <v>0.833344907407407</v>
      </c>
      <c r="C461" s="293" t="str">
        <f t="shared" ref="C461:G461" si="956">TEXT(IF($B461=0," ",$B461-C$6),"hh:mm am/pm")</f>
        <v>18:00 001/p1</v>
      </c>
      <c r="D461" s="293" t="str">
        <f t="shared" si="956"/>
        <v>16:00 001/p1</v>
      </c>
      <c r="E461" s="293" t="str">
        <f t="shared" si="956"/>
        <v>17:00 001/p1</v>
      </c>
      <c r="F461" s="293" t="str">
        <f t="shared" si="956"/>
        <v>18:00 001/p1</v>
      </c>
      <c r="G461" s="293" t="str">
        <f t="shared" si="956"/>
        <v>19:00 001/p1</v>
      </c>
      <c r="H461" s="293" t="str">
        <f t="shared" ref="H461:I461" si="957">TEXT(IF($B461=0," ",$B461+H$6),"hh:mm am/pm")</f>
        <v>02:00 001/p1</v>
      </c>
      <c r="I461" s="293" t="str">
        <f t="shared" si="957"/>
        <v>07:00 001/p1</v>
      </c>
      <c r="J461" s="294" t="s">
        <v>333</v>
      </c>
      <c r="K461" s="295"/>
      <c r="L461" s="319" t="s">
        <v>81</v>
      </c>
      <c r="M461" s="320" t="s">
        <v>71</v>
      </c>
      <c r="N461" s="321" t="s">
        <v>57</v>
      </c>
      <c r="O461" s="322" t="s">
        <v>82</v>
      </c>
      <c r="P461" s="323" t="s">
        <v>59</v>
      </c>
      <c r="Q461" s="324">
        <v>2000</v>
      </c>
      <c r="R461" s="375" t="s">
        <v>60</v>
      </c>
      <c r="S461" s="326"/>
      <c r="T461" s="327" t="s">
        <v>92</v>
      </c>
      <c r="U461" s="321" t="s">
        <v>62</v>
      </c>
      <c r="V461" s="321">
        <v>7</v>
      </c>
      <c r="W461" s="321">
        <v>7</v>
      </c>
      <c r="X461" s="328"/>
      <c r="Y461" s="332" t="s">
        <v>63</v>
      </c>
      <c r="Z461" s="326"/>
      <c r="AA461" s="330" t="s">
        <v>64</v>
      </c>
      <c r="AB461" s="330" t="s">
        <v>65</v>
      </c>
      <c r="AC461" s="331">
        <v>0.1</v>
      </c>
      <c r="AD461" s="331">
        <v>0.02</v>
      </c>
      <c r="AE461" s="327" t="s">
        <v>66</v>
      </c>
      <c r="AF461" s="332">
        <v>60000</v>
      </c>
      <c r="AG461" s="333">
        <v>10</v>
      </c>
      <c r="AH461" s="333">
        <v>8</v>
      </c>
      <c r="AI461" s="333">
        <v>8</v>
      </c>
      <c r="AJ461" s="327">
        <v>15</v>
      </c>
      <c r="AK461" s="335" t="s">
        <v>67</v>
      </c>
      <c r="AL461" s="335" t="s">
        <v>68</v>
      </c>
      <c r="AM461" s="336" t="s">
        <v>69</v>
      </c>
      <c r="AN461" s="336" t="s">
        <v>70</v>
      </c>
      <c r="AO461" s="314">
        <f t="shared" si="821"/>
        <v>0.944456018518518</v>
      </c>
      <c r="AP461" s="315">
        <f t="shared" si="822"/>
        <v>325</v>
      </c>
      <c r="AQ461" s="316" t="str">
        <f t="shared" si="823"/>
        <v>LOW</v>
      </c>
    </row>
    <row r="462" ht="29.25" customHeight="1" outlineLevel="1" spans="1:43">
      <c r="B462" s="317">
        <v>0.833344907407407</v>
      </c>
      <c r="C462" s="293" t="str">
        <f t="shared" ref="C462:G462" si="958">TEXT(IF($B462=0," ",$B462-C$6),"hh:mm am/pm")</f>
        <v>18:00 001/p1</v>
      </c>
      <c r="D462" s="293" t="str">
        <f t="shared" si="958"/>
        <v>16:00 001/p1</v>
      </c>
      <c r="E462" s="293" t="str">
        <f t="shared" si="958"/>
        <v>17:00 001/p1</v>
      </c>
      <c r="F462" s="293" t="str">
        <f t="shared" si="958"/>
        <v>18:00 001/p1</v>
      </c>
      <c r="G462" s="293" t="str">
        <f t="shared" si="958"/>
        <v>19:00 001/p1</v>
      </c>
      <c r="H462" s="293" t="str">
        <f t="shared" ref="H462:I462" si="959">TEXT(IF($B462=0," ",$B462+H$6),"hh:mm am/pm")</f>
        <v>02:00 001/p1</v>
      </c>
      <c r="I462" s="293" t="str">
        <f t="shared" si="959"/>
        <v>07:00 001/p1</v>
      </c>
      <c r="J462" s="318" t="s">
        <v>225</v>
      </c>
      <c r="K462" s="295"/>
      <c r="L462" s="337" t="s">
        <v>73</v>
      </c>
      <c r="M462" s="338" t="s">
        <v>71</v>
      </c>
      <c r="N462" s="339" t="s">
        <v>57</v>
      </c>
      <c r="O462" s="340" t="s">
        <v>74</v>
      </c>
      <c r="P462" s="341" t="s">
        <v>75</v>
      </c>
      <c r="Q462" s="342">
        <v>6200</v>
      </c>
      <c r="R462" s="325" t="s">
        <v>76</v>
      </c>
      <c r="S462" s="344"/>
      <c r="T462" s="345" t="s">
        <v>115</v>
      </c>
      <c r="U462" s="339" t="s">
        <v>62</v>
      </c>
      <c r="V462" s="339">
        <v>4</v>
      </c>
      <c r="W462" s="339">
        <v>4</v>
      </c>
      <c r="X462" s="354"/>
      <c r="Y462" s="346" t="s">
        <v>79</v>
      </c>
      <c r="Z462" s="339">
        <v>4</v>
      </c>
      <c r="AA462" s="348">
        <v>120000</v>
      </c>
      <c r="AB462" s="348" t="s">
        <v>65</v>
      </c>
      <c r="AC462" s="349">
        <v>0.1</v>
      </c>
      <c r="AD462" s="349">
        <v>0.02</v>
      </c>
      <c r="AE462" s="348" t="s">
        <v>88</v>
      </c>
      <c r="AF462" s="346">
        <v>40000</v>
      </c>
      <c r="AG462" s="350">
        <v>10</v>
      </c>
      <c r="AH462" s="350">
        <v>8</v>
      </c>
      <c r="AI462" s="350">
        <v>8</v>
      </c>
      <c r="AJ462" s="345">
        <v>13</v>
      </c>
      <c r="AK462" s="352" t="s">
        <v>67</v>
      </c>
      <c r="AL462" s="352" t="s">
        <v>68</v>
      </c>
      <c r="AM462" s="353" t="s">
        <v>69</v>
      </c>
      <c r="AN462" s="353" t="s">
        <v>70</v>
      </c>
      <c r="AO462" s="314">
        <f t="shared" si="821"/>
        <v>0.93056712962963</v>
      </c>
      <c r="AP462" s="315">
        <f t="shared" si="822"/>
        <v>1762</v>
      </c>
      <c r="AQ462" s="316" t="str">
        <f t="shared" si="823"/>
        <v>MICRO</v>
      </c>
    </row>
    <row r="463" ht="29.25" customHeight="1" outlineLevel="1" spans="1:43">
      <c r="B463" s="317">
        <v>0.854178240740741</v>
      </c>
      <c r="C463" s="293" t="str">
        <f t="shared" ref="C463:G463" si="960">TEXT(IF($B463=0," ",$B463-C$6),"hh:mm am/pm")</f>
        <v>18:30 001/p1</v>
      </c>
      <c r="D463" s="293" t="str">
        <f t="shared" si="960"/>
        <v>16:30 001/p1</v>
      </c>
      <c r="E463" s="293" t="str">
        <f t="shared" si="960"/>
        <v>17:30 001/p1</v>
      </c>
      <c r="F463" s="293" t="str">
        <f t="shared" si="960"/>
        <v>18:30 001/p1</v>
      </c>
      <c r="G463" s="293" t="str">
        <f t="shared" si="960"/>
        <v>19:30 001/p1</v>
      </c>
      <c r="H463" s="293" t="str">
        <f t="shared" ref="H463:I463" si="961">TEXT(IF($B463=0," ",$B463+H$6),"hh:mm am/pm")</f>
        <v>02:30 001/p1</v>
      </c>
      <c r="I463" s="293" t="str">
        <f t="shared" si="961"/>
        <v>07:30 001/p1</v>
      </c>
      <c r="J463" s="294" t="s">
        <v>334</v>
      </c>
      <c r="K463" s="295"/>
      <c r="L463" s="319" t="s">
        <v>335</v>
      </c>
      <c r="M463" s="320" t="s">
        <v>71</v>
      </c>
      <c r="N463" s="321" t="s">
        <v>57</v>
      </c>
      <c r="O463" s="322" t="s">
        <v>58</v>
      </c>
      <c r="P463" s="323" t="s">
        <v>256</v>
      </c>
      <c r="Q463" s="324">
        <v>100</v>
      </c>
      <c r="R463" s="375" t="s">
        <v>60</v>
      </c>
      <c r="S463" s="326"/>
      <c r="T463" s="327" t="s">
        <v>77</v>
      </c>
      <c r="U463" s="321" t="s">
        <v>62</v>
      </c>
      <c r="V463" s="321">
        <v>0.8</v>
      </c>
      <c r="W463" s="321">
        <v>0.8</v>
      </c>
      <c r="X463" s="328"/>
      <c r="Y463" s="332" t="s">
        <v>63</v>
      </c>
      <c r="Z463" s="326"/>
      <c r="AA463" s="330" t="s">
        <v>64</v>
      </c>
      <c r="AB463" s="330" t="s">
        <v>65</v>
      </c>
      <c r="AC463" s="331">
        <v>0.1</v>
      </c>
      <c r="AD463" s="331">
        <v>0</v>
      </c>
      <c r="AE463" s="330" t="s">
        <v>66</v>
      </c>
      <c r="AF463" s="332">
        <v>50000</v>
      </c>
      <c r="AG463" s="333">
        <v>7</v>
      </c>
      <c r="AH463" s="333">
        <v>6</v>
      </c>
      <c r="AI463" s="333">
        <v>6</v>
      </c>
      <c r="AJ463" s="327">
        <v>15</v>
      </c>
      <c r="AK463" s="335" t="s">
        <v>67</v>
      </c>
      <c r="AL463" s="335" t="s">
        <v>68</v>
      </c>
      <c r="AM463" s="336" t="s">
        <v>69</v>
      </c>
      <c r="AN463" s="336" t="s">
        <v>70</v>
      </c>
      <c r="AO463" s="314">
        <f t="shared" si="821"/>
        <v>0.93056712962963</v>
      </c>
      <c r="AP463" s="315">
        <f t="shared" si="822"/>
        <v>139</v>
      </c>
      <c r="AQ463" s="316" t="str">
        <f t="shared" si="823"/>
        <v>MICRO</v>
      </c>
    </row>
    <row r="464" ht="29.25" customHeight="1" outlineLevel="1" spans="1:43">
      <c r="B464" s="317">
        <v>0.875011574074074</v>
      </c>
      <c r="C464" s="293" t="str">
        <f t="shared" ref="C464:G464" si="962">TEXT(IF($B464=0," ",$B464-C$6),"hh:mm am/pm")</f>
        <v>19:00 001/p1</v>
      </c>
      <c r="D464" s="293" t="str">
        <f t="shared" si="962"/>
        <v>17:00 001/p1</v>
      </c>
      <c r="E464" s="293" t="str">
        <f t="shared" si="962"/>
        <v>18:00 001/p1</v>
      </c>
      <c r="F464" s="293" t="str">
        <f t="shared" si="962"/>
        <v>19:00 001/p1</v>
      </c>
      <c r="G464" s="293" t="str">
        <f t="shared" si="962"/>
        <v>20:00 001/p1</v>
      </c>
      <c r="H464" s="293" t="str">
        <f t="shared" ref="H464:I464" si="963">TEXT(IF($B464=0," ",$B464+H$6),"hh:mm am/pm")</f>
        <v>03:00 001/p1</v>
      </c>
      <c r="I464" s="293" t="str">
        <f t="shared" si="963"/>
        <v>08:00 001/p1</v>
      </c>
      <c r="J464" s="294" t="s">
        <v>260</v>
      </c>
      <c r="K464" s="295"/>
      <c r="L464" s="337" t="s">
        <v>192</v>
      </c>
      <c r="M464" s="338" t="s">
        <v>71</v>
      </c>
      <c r="N464" s="339" t="s">
        <v>57</v>
      </c>
      <c r="O464" s="340" t="s">
        <v>233</v>
      </c>
      <c r="P464" s="341" t="s">
        <v>59</v>
      </c>
      <c r="Q464" s="342">
        <v>2400</v>
      </c>
      <c r="R464" s="343" t="s">
        <v>60</v>
      </c>
      <c r="S464" s="344"/>
      <c r="T464" s="345" t="s">
        <v>61</v>
      </c>
      <c r="U464" s="339" t="s">
        <v>62</v>
      </c>
      <c r="V464" s="339">
        <v>8</v>
      </c>
      <c r="W464" s="339">
        <v>8</v>
      </c>
      <c r="X464" s="354"/>
      <c r="Y464" s="346" t="s">
        <v>63</v>
      </c>
      <c r="Z464" s="344"/>
      <c r="AA464" s="348" t="s">
        <v>64</v>
      </c>
      <c r="AB464" s="348" t="s">
        <v>65</v>
      </c>
      <c r="AC464" s="349">
        <v>0.1</v>
      </c>
      <c r="AD464" s="349">
        <v>0.02</v>
      </c>
      <c r="AE464" s="348" t="s">
        <v>88</v>
      </c>
      <c r="AF464" s="346">
        <v>60000</v>
      </c>
      <c r="AG464" s="350">
        <v>10</v>
      </c>
      <c r="AH464" s="350">
        <v>8</v>
      </c>
      <c r="AI464" s="350">
        <v>8</v>
      </c>
      <c r="AJ464" s="345">
        <v>14</v>
      </c>
      <c r="AK464" s="352" t="s">
        <v>67</v>
      </c>
      <c r="AL464" s="352" t="s">
        <v>68</v>
      </c>
      <c r="AM464" s="353" t="s">
        <v>69</v>
      </c>
      <c r="AN464" s="353" t="s">
        <v>70</v>
      </c>
      <c r="AO464" s="314">
        <f t="shared" si="821"/>
        <v>0.979178240740741</v>
      </c>
      <c r="AP464" s="315">
        <f t="shared" si="822"/>
        <v>341</v>
      </c>
      <c r="AQ464" s="316" t="str">
        <f t="shared" si="823"/>
        <v>LOW</v>
      </c>
    </row>
    <row r="465" ht="28.5" customHeight="1" outlineLevel="1" spans="1:43">
      <c r="A465" s="363" t="s">
        <v>352</v>
      </c>
      <c r="B465" s="317">
        <v>0.875011574074074</v>
      </c>
      <c r="C465" s="293" t="str">
        <f t="shared" ref="C465:G465" si="964">TEXT(IF($B465=0," ",$B465-C$6),"hh:mm am/pm")</f>
        <v>19:00 001/p1</v>
      </c>
      <c r="D465" s="293" t="str">
        <f t="shared" si="964"/>
        <v>17:00 001/p1</v>
      </c>
      <c r="E465" s="293" t="str">
        <f t="shared" si="964"/>
        <v>18:00 001/p1</v>
      </c>
      <c r="F465" s="293" t="str">
        <f t="shared" si="964"/>
        <v>19:00 001/p1</v>
      </c>
      <c r="G465" s="293" t="str">
        <f t="shared" si="964"/>
        <v>20:00 001/p1</v>
      </c>
      <c r="H465" s="293" t="str">
        <f t="shared" ref="H465:I465" si="965">TEXT(IF($B465=0," ",$B465+H$6),"hh:mm am/pm")</f>
        <v>03:00 001/p1</v>
      </c>
      <c r="I465" s="293" t="str">
        <f t="shared" si="965"/>
        <v>08:00 001/p1</v>
      </c>
      <c r="J465" s="294" t="s">
        <v>375</v>
      </c>
      <c r="K465" s="295"/>
      <c r="L465" s="319" t="s">
        <v>160</v>
      </c>
      <c r="M465" s="320" t="s">
        <v>71</v>
      </c>
      <c r="N465" s="321" t="s">
        <v>57</v>
      </c>
      <c r="O465" s="322" t="s">
        <v>74</v>
      </c>
      <c r="P465" s="323" t="s">
        <v>59</v>
      </c>
      <c r="Q465" s="324">
        <v>5000</v>
      </c>
      <c r="R465" s="375" t="s">
        <v>60</v>
      </c>
      <c r="S465" s="375" t="s">
        <v>188</v>
      </c>
      <c r="T465" s="327" t="s">
        <v>61</v>
      </c>
      <c r="U465" s="321" t="s">
        <v>62</v>
      </c>
      <c r="V465" s="321">
        <v>30</v>
      </c>
      <c r="W465" s="326"/>
      <c r="X465" s="328"/>
      <c r="Y465" s="332" t="s">
        <v>161</v>
      </c>
      <c r="Z465" s="326"/>
      <c r="AA465" s="330" t="s">
        <v>162</v>
      </c>
      <c r="AB465" s="330" t="s">
        <v>65</v>
      </c>
      <c r="AC465" s="331">
        <v>0.08</v>
      </c>
      <c r="AD465" s="331">
        <v>0.02</v>
      </c>
      <c r="AE465" s="330" t="s">
        <v>66</v>
      </c>
      <c r="AF465" s="332">
        <v>40000</v>
      </c>
      <c r="AG465" s="333">
        <v>10</v>
      </c>
      <c r="AH465" s="333">
        <v>10</v>
      </c>
      <c r="AI465" s="333">
        <v>10</v>
      </c>
      <c r="AJ465" s="327">
        <v>14</v>
      </c>
      <c r="AK465" s="335" t="s">
        <v>67</v>
      </c>
      <c r="AL465" s="335" t="s">
        <v>68</v>
      </c>
      <c r="AM465" s="336" t="s">
        <v>69</v>
      </c>
      <c r="AN465" s="336" t="s">
        <v>70</v>
      </c>
      <c r="AO465" s="314">
        <f t="shared" si="821"/>
        <v>0.979178240740741</v>
      </c>
      <c r="AP465" s="315">
        <f t="shared" si="822"/>
        <v>186</v>
      </c>
      <c r="AQ465" s="316" t="str">
        <f t="shared" si="823"/>
        <v>MEDIUM</v>
      </c>
    </row>
    <row r="466" ht="29.25" customHeight="1" outlineLevel="1" spans="1:43">
      <c r="B466" s="317">
        <v>0.875011574074074</v>
      </c>
      <c r="C466" s="293" t="str">
        <f t="shared" ref="C466:G466" si="966">TEXT(IF($B466=0," ",$B466-C$6),"hh:mm am/pm")</f>
        <v>19:00 001/p1</v>
      </c>
      <c r="D466" s="293" t="str">
        <f t="shared" si="966"/>
        <v>17:00 001/p1</v>
      </c>
      <c r="E466" s="293" t="str">
        <f t="shared" si="966"/>
        <v>18:00 001/p1</v>
      </c>
      <c r="F466" s="293" t="str">
        <f t="shared" si="966"/>
        <v>19:00 001/p1</v>
      </c>
      <c r="G466" s="293" t="str">
        <f t="shared" si="966"/>
        <v>20:00 001/p1</v>
      </c>
      <c r="H466" s="293" t="str">
        <f t="shared" ref="H466:I466" si="967">TEXT(IF($B466=0," ",$B466+H$6),"hh:mm am/pm")</f>
        <v>03:00 001/p1</v>
      </c>
      <c r="I466" s="293" t="str">
        <f t="shared" si="967"/>
        <v>08:00 001/p1</v>
      </c>
      <c r="J466" s="294" t="s">
        <v>116</v>
      </c>
      <c r="K466" s="295"/>
      <c r="L466" s="337" t="s">
        <v>117</v>
      </c>
      <c r="M466" s="338" t="s">
        <v>71</v>
      </c>
      <c r="N466" s="339" t="s">
        <v>100</v>
      </c>
      <c r="O466" s="340" t="s">
        <v>74</v>
      </c>
      <c r="P466" s="341" t="s">
        <v>101</v>
      </c>
      <c r="Q466" s="342">
        <v>240</v>
      </c>
      <c r="R466" s="343" t="s">
        <v>60</v>
      </c>
      <c r="S466" s="344"/>
      <c r="T466" s="345" t="s">
        <v>61</v>
      </c>
      <c r="U466" s="339" t="s">
        <v>62</v>
      </c>
      <c r="V466" s="339">
        <v>1</v>
      </c>
      <c r="W466" s="339">
        <v>1</v>
      </c>
      <c r="X466" s="354"/>
      <c r="Y466" s="346" t="s">
        <v>79</v>
      </c>
      <c r="Z466" s="339">
        <v>1</v>
      </c>
      <c r="AA466" s="348">
        <v>100000</v>
      </c>
      <c r="AB466" s="348" t="s">
        <v>65</v>
      </c>
      <c r="AC466" s="349">
        <v>0.1</v>
      </c>
      <c r="AD466" s="349">
        <v>0.02</v>
      </c>
      <c r="AE466" s="348" t="s">
        <v>88</v>
      </c>
      <c r="AF466" s="346">
        <v>40000</v>
      </c>
      <c r="AG466" s="350">
        <v>8</v>
      </c>
      <c r="AH466" s="350">
        <v>7</v>
      </c>
      <c r="AI466" s="350">
        <v>7</v>
      </c>
      <c r="AJ466" s="345">
        <v>12</v>
      </c>
      <c r="AK466" s="352" t="s">
        <v>67</v>
      </c>
      <c r="AL466" s="352" t="s">
        <v>68</v>
      </c>
      <c r="AM466" s="353" t="s">
        <v>69</v>
      </c>
      <c r="AN466" s="353" t="s">
        <v>70</v>
      </c>
      <c r="AO466" s="314">
        <f t="shared" si="821"/>
        <v>0.945150462962963</v>
      </c>
      <c r="AP466" s="315">
        <f t="shared" si="822"/>
        <v>273</v>
      </c>
      <c r="AQ466" s="316" t="str">
        <f t="shared" si="823"/>
        <v>MICRO</v>
      </c>
    </row>
    <row r="467" ht="29.25" customHeight="1" outlineLevel="1" spans="1:43">
      <c r="A467" s="363" t="s">
        <v>352</v>
      </c>
      <c r="B467" s="317">
        <v>0.875011574074074</v>
      </c>
      <c r="C467" s="293" t="str">
        <f t="shared" ref="C467:G467" si="968">TEXT(IF($B467=0," ",$B467-C$6),"hh:mm am/pm")</f>
        <v>19:00 001/p1</v>
      </c>
      <c r="D467" s="293" t="str">
        <f t="shared" si="968"/>
        <v>17:00 001/p1</v>
      </c>
      <c r="E467" s="293" t="str">
        <f t="shared" si="968"/>
        <v>18:00 001/p1</v>
      </c>
      <c r="F467" s="293" t="str">
        <f t="shared" si="968"/>
        <v>19:00 001/p1</v>
      </c>
      <c r="G467" s="293" t="str">
        <f t="shared" si="968"/>
        <v>20:00 001/p1</v>
      </c>
      <c r="H467" s="293" t="str">
        <f t="shared" ref="H467:I467" si="969">TEXT(IF($B467=0," ",$B467+H$6),"hh:mm am/pm")</f>
        <v>03:00 001/p1</v>
      </c>
      <c r="I467" s="293" t="str">
        <f t="shared" si="969"/>
        <v>08:00 001/p1</v>
      </c>
      <c r="J467" s="294" t="s">
        <v>262</v>
      </c>
      <c r="K467" s="295"/>
      <c r="L467" s="319" t="s">
        <v>119</v>
      </c>
      <c r="M467" s="320" t="s">
        <v>71</v>
      </c>
      <c r="N467" s="321" t="s">
        <v>57</v>
      </c>
      <c r="O467" s="322" t="s">
        <v>74</v>
      </c>
      <c r="P467" s="323" t="s">
        <v>75</v>
      </c>
      <c r="Q467" s="324">
        <v>1500</v>
      </c>
      <c r="R467" s="375" t="s">
        <v>60</v>
      </c>
      <c r="S467" s="326"/>
      <c r="T467" s="327" t="s">
        <v>77</v>
      </c>
      <c r="U467" s="321" t="s">
        <v>78</v>
      </c>
      <c r="V467" s="321">
        <v>1</v>
      </c>
      <c r="W467" s="321">
        <v>1</v>
      </c>
      <c r="X467" s="328"/>
      <c r="Y467" s="332" t="s">
        <v>79</v>
      </c>
      <c r="Z467" s="321">
        <v>1</v>
      </c>
      <c r="AA467" s="330">
        <v>120000</v>
      </c>
      <c r="AB467" s="330" t="s">
        <v>65</v>
      </c>
      <c r="AC467" s="331">
        <v>0.1</v>
      </c>
      <c r="AD467" s="331">
        <v>0.02</v>
      </c>
      <c r="AE467" s="327" t="s">
        <v>88</v>
      </c>
      <c r="AF467" s="332">
        <v>30000</v>
      </c>
      <c r="AG467" s="333">
        <v>7</v>
      </c>
      <c r="AH467" s="333">
        <v>6</v>
      </c>
      <c r="AI467" s="333">
        <v>6</v>
      </c>
      <c r="AJ467" s="327">
        <v>13</v>
      </c>
      <c r="AK467" s="335" t="s">
        <v>67</v>
      </c>
      <c r="AL467" s="335" t="s">
        <v>68</v>
      </c>
      <c r="AM467" s="336" t="s">
        <v>69</v>
      </c>
      <c r="AN467" s="336" t="s">
        <v>70</v>
      </c>
      <c r="AO467" s="314">
        <f t="shared" si="821"/>
        <v>0.941678240740741</v>
      </c>
      <c r="AP467" s="315">
        <f t="shared" si="822"/>
        <v>1705</v>
      </c>
      <c r="AQ467" s="316" t="str">
        <f t="shared" si="823"/>
        <v>MICRO</v>
      </c>
    </row>
    <row r="468" ht="29.25" customHeight="1" outlineLevel="1" spans="1:43">
      <c r="B468" s="317">
        <v>0.888888888888889</v>
      </c>
      <c r="C468" s="293" t="str">
        <f t="shared" ref="C468:G468" si="970">TEXT(IF($B468=0," ",$B468-C$6),"hh:mm am/pm")</f>
        <v>19:20 001/p1</v>
      </c>
      <c r="D468" s="293" t="str">
        <f t="shared" si="970"/>
        <v>17:20 001/p1</v>
      </c>
      <c r="E468" s="293" t="str">
        <f t="shared" si="970"/>
        <v>18:20 001/p1</v>
      </c>
      <c r="F468" s="293" t="str">
        <f t="shared" si="970"/>
        <v>19:20 001/p1</v>
      </c>
      <c r="G468" s="293" t="str">
        <f t="shared" si="970"/>
        <v>20:20 001/p1</v>
      </c>
      <c r="H468" s="293" t="str">
        <f t="shared" ref="H468:I468" si="971">TEXT(IF($B468=0," ",$B468+H$6),"hh:mm am/pm")</f>
        <v>03:20 001/p1</v>
      </c>
      <c r="I468" s="293" t="str">
        <f t="shared" si="971"/>
        <v>08:20 001/p1</v>
      </c>
      <c r="J468" s="294" t="s">
        <v>113</v>
      </c>
      <c r="K468" s="295"/>
      <c r="L468" s="337" t="s">
        <v>114</v>
      </c>
      <c r="M468" s="338" t="s">
        <v>71</v>
      </c>
      <c r="N468" s="339" t="s">
        <v>57</v>
      </c>
      <c r="O468" s="340" t="s">
        <v>74</v>
      </c>
      <c r="P468" s="341" t="s">
        <v>75</v>
      </c>
      <c r="Q468" s="342">
        <v>150</v>
      </c>
      <c r="R468" s="343" t="s">
        <v>60</v>
      </c>
      <c r="S468" s="344"/>
      <c r="T468" s="345" t="s">
        <v>61</v>
      </c>
      <c r="U468" s="339" t="s">
        <v>62</v>
      </c>
      <c r="V468" s="339">
        <v>0.2</v>
      </c>
      <c r="W468" s="339">
        <v>0.2</v>
      </c>
      <c r="X468" s="354"/>
      <c r="Y468" s="346" t="s">
        <v>79</v>
      </c>
      <c r="Z468" s="339">
        <v>0.4</v>
      </c>
      <c r="AA468" s="348">
        <v>90000</v>
      </c>
      <c r="AB468" s="348" t="s">
        <v>65</v>
      </c>
      <c r="AC468" s="349">
        <v>0.1</v>
      </c>
      <c r="AD468" s="349">
        <v>0</v>
      </c>
      <c r="AE468" s="345" t="s">
        <v>88</v>
      </c>
      <c r="AF468" s="346">
        <v>30000</v>
      </c>
      <c r="AG468" s="350">
        <v>6</v>
      </c>
      <c r="AH468" s="350">
        <v>5</v>
      </c>
      <c r="AI468" s="350">
        <v>5</v>
      </c>
      <c r="AJ468" s="345">
        <v>13</v>
      </c>
      <c r="AK468" s="352" t="s">
        <v>67</v>
      </c>
      <c r="AL468" s="352" t="s">
        <v>68</v>
      </c>
      <c r="AM468" s="353" t="s">
        <v>69</v>
      </c>
      <c r="AN468" s="353" t="s">
        <v>70</v>
      </c>
      <c r="AO468" s="314">
        <f t="shared" si="821"/>
        <v>0.946527777777778</v>
      </c>
      <c r="AP468" s="315">
        <f t="shared" si="822"/>
        <v>834</v>
      </c>
      <c r="AQ468" s="316" t="str">
        <f t="shared" si="823"/>
        <v>MICRO</v>
      </c>
    </row>
    <row r="469" ht="29.25" customHeight="1" outlineLevel="1" spans="1:43">
      <c r="B469" s="317">
        <v>0.916678240740741</v>
      </c>
      <c r="C469" s="293" t="str">
        <f t="shared" ref="C469:G469" si="972">TEXT(IF($B469=0," ",$B469-C$6),"hh:mm am/pm")</f>
        <v>20:00 001/p1</v>
      </c>
      <c r="D469" s="293" t="str">
        <f t="shared" si="972"/>
        <v>18:00 001/p1</v>
      </c>
      <c r="E469" s="293" t="str">
        <f t="shared" si="972"/>
        <v>19:00 001/p1</v>
      </c>
      <c r="F469" s="293" t="str">
        <f t="shared" si="972"/>
        <v>20:00 001/p1</v>
      </c>
      <c r="G469" s="293" t="str">
        <f t="shared" si="972"/>
        <v>21:00 001/p1</v>
      </c>
      <c r="H469" s="293" t="str">
        <f t="shared" ref="H469:I469" si="973">TEXT(IF($B469=0," ",$B469+H$6),"hh:mm am/pm")</f>
        <v>04:00 001/p1</v>
      </c>
      <c r="I469" s="293" t="str">
        <f t="shared" si="973"/>
        <v>09:00 001/p1</v>
      </c>
      <c r="J469" s="294" t="s">
        <v>340</v>
      </c>
      <c r="K469" s="295"/>
      <c r="L469" s="319" t="s">
        <v>174</v>
      </c>
      <c r="M469" s="320" t="s">
        <v>71</v>
      </c>
      <c r="N469" s="321" t="s">
        <v>57</v>
      </c>
      <c r="O469" s="322" t="s">
        <v>82</v>
      </c>
      <c r="P469" s="323" t="s">
        <v>59</v>
      </c>
      <c r="Q469" s="324">
        <v>2000</v>
      </c>
      <c r="R469" s="375" t="s">
        <v>60</v>
      </c>
      <c r="S469" s="326"/>
      <c r="T469" s="327" t="s">
        <v>92</v>
      </c>
      <c r="U469" s="321" t="s">
        <v>62</v>
      </c>
      <c r="V469" s="321">
        <v>22</v>
      </c>
      <c r="W469" s="321">
        <v>22</v>
      </c>
      <c r="X469" s="328"/>
      <c r="Y469" s="329" t="s">
        <v>63</v>
      </c>
      <c r="Z469" s="326"/>
      <c r="AA469" s="330" t="s">
        <v>64</v>
      </c>
      <c r="AB469" s="330" t="s">
        <v>65</v>
      </c>
      <c r="AC469" s="331">
        <v>0.1</v>
      </c>
      <c r="AD469" s="331">
        <v>0.02</v>
      </c>
      <c r="AE469" s="327" t="s">
        <v>66</v>
      </c>
      <c r="AF469" s="332">
        <v>50000</v>
      </c>
      <c r="AG469" s="333">
        <v>8</v>
      </c>
      <c r="AH469" s="333">
        <v>8</v>
      </c>
      <c r="AI469" s="333">
        <v>8</v>
      </c>
      <c r="AJ469" s="327">
        <v>15</v>
      </c>
      <c r="AK469" s="334" t="s">
        <v>67</v>
      </c>
      <c r="AL469" s="335" t="s">
        <v>68</v>
      </c>
      <c r="AM469" s="336" t="s">
        <v>69</v>
      </c>
      <c r="AN469" s="336" t="s">
        <v>70</v>
      </c>
      <c r="AO469" s="314">
        <f t="shared" si="821"/>
        <v>1.00695601851852</v>
      </c>
      <c r="AP469" s="315">
        <f t="shared" si="822"/>
        <v>104</v>
      </c>
      <c r="AQ469" s="316" t="str">
        <f t="shared" si="823"/>
        <v>MEDIUM</v>
      </c>
    </row>
    <row r="470" ht="29.25" customHeight="1" outlineLevel="1" spans="1:43">
      <c r="A470" s="363" t="s">
        <v>352</v>
      </c>
      <c r="B470" s="317">
        <v>0.916678240740741</v>
      </c>
      <c r="C470" s="293" t="str">
        <f t="shared" ref="C470:G470" si="974">TEXT(IF($B470=0," ",$B470-C$6),"hh:mm am/pm")</f>
        <v>20:00 001/p1</v>
      </c>
      <c r="D470" s="293" t="str">
        <f t="shared" si="974"/>
        <v>18:00 001/p1</v>
      </c>
      <c r="E470" s="293" t="str">
        <f t="shared" si="974"/>
        <v>19:00 001/p1</v>
      </c>
      <c r="F470" s="293" t="str">
        <f t="shared" si="974"/>
        <v>20:00 001/p1</v>
      </c>
      <c r="G470" s="293" t="str">
        <f t="shared" si="974"/>
        <v>21:00 001/p1</v>
      </c>
      <c r="H470" s="293" t="str">
        <f t="shared" ref="H470:I470" si="975">TEXT(IF($B470=0," ",$B470+H$6),"hh:mm am/pm")</f>
        <v>04:00 001/p1</v>
      </c>
      <c r="I470" s="293" t="str">
        <f t="shared" si="975"/>
        <v>09:00 001/p1</v>
      </c>
      <c r="J470" s="318" t="s">
        <v>168</v>
      </c>
      <c r="K470" s="295"/>
      <c r="L470" s="337" t="s">
        <v>73</v>
      </c>
      <c r="M470" s="338" t="s">
        <v>71</v>
      </c>
      <c r="N470" s="339" t="s">
        <v>57</v>
      </c>
      <c r="O470" s="340" t="s">
        <v>74</v>
      </c>
      <c r="P470" s="341" t="s">
        <v>256</v>
      </c>
      <c r="Q470" s="342">
        <v>4200</v>
      </c>
      <c r="R470" s="325" t="s">
        <v>76</v>
      </c>
      <c r="S470" s="344"/>
      <c r="T470" s="345" t="s">
        <v>77</v>
      </c>
      <c r="U470" s="339" t="s">
        <v>78</v>
      </c>
      <c r="V470" s="339">
        <v>3</v>
      </c>
      <c r="W470" s="339">
        <v>3</v>
      </c>
      <c r="X470" s="354"/>
      <c r="Y470" s="347" t="s">
        <v>79</v>
      </c>
      <c r="Z470" s="339">
        <v>3</v>
      </c>
      <c r="AA470" s="348">
        <v>160000</v>
      </c>
      <c r="AB470" s="348" t="s">
        <v>65</v>
      </c>
      <c r="AC470" s="349">
        <v>0.1</v>
      </c>
      <c r="AD470" s="349">
        <v>0.02</v>
      </c>
      <c r="AE470" s="348" t="s">
        <v>88</v>
      </c>
      <c r="AF470" s="346">
        <v>40000</v>
      </c>
      <c r="AG470" s="350">
        <v>8</v>
      </c>
      <c r="AH470" s="350">
        <v>7</v>
      </c>
      <c r="AI470" s="350">
        <v>7</v>
      </c>
      <c r="AJ470" s="345">
        <v>13</v>
      </c>
      <c r="AK470" s="352" t="s">
        <v>67</v>
      </c>
      <c r="AL470" s="352" t="s">
        <v>68</v>
      </c>
      <c r="AM470" s="353" t="s">
        <v>69</v>
      </c>
      <c r="AN470" s="353" t="s">
        <v>70</v>
      </c>
      <c r="AO470" s="314">
        <f t="shared" si="821"/>
        <v>0.992372685185185</v>
      </c>
      <c r="AP470" s="315">
        <f t="shared" si="822"/>
        <v>1591</v>
      </c>
      <c r="AQ470" s="316" t="str">
        <f t="shared" si="823"/>
        <v>MICRO</v>
      </c>
    </row>
    <row r="471" ht="29.25" customHeight="1" outlineLevel="1" spans="1:43">
      <c r="B471" s="317">
        <v>0.916678240740741</v>
      </c>
      <c r="C471" s="293" t="str">
        <f t="shared" ref="C471:G471" si="976">TEXT(IF($B471=0," ",$B471-C$6),"hh:mm am/pm")</f>
        <v>20:00 001/p1</v>
      </c>
      <c r="D471" s="293" t="str">
        <f t="shared" si="976"/>
        <v>18:00 001/p1</v>
      </c>
      <c r="E471" s="293" t="str">
        <f t="shared" si="976"/>
        <v>19:00 001/p1</v>
      </c>
      <c r="F471" s="293" t="str">
        <f t="shared" si="976"/>
        <v>20:00 001/p1</v>
      </c>
      <c r="G471" s="293" t="str">
        <f t="shared" si="976"/>
        <v>21:00 001/p1</v>
      </c>
      <c r="H471" s="293" t="str">
        <f t="shared" ref="H471:I471" si="977">TEXT(IF($B471=0," ",$B471+H$6),"hh:mm am/pm")</f>
        <v>04:00 001/p1</v>
      </c>
      <c r="I471" s="293" t="str">
        <f t="shared" si="977"/>
        <v>09:00 001/p1</v>
      </c>
      <c r="J471" s="294" t="s">
        <v>341</v>
      </c>
      <c r="K471" s="295"/>
      <c r="L471" s="319" t="s">
        <v>266</v>
      </c>
      <c r="M471" s="320" t="s">
        <v>71</v>
      </c>
      <c r="N471" s="321" t="s">
        <v>100</v>
      </c>
      <c r="O471" s="322" t="s">
        <v>82</v>
      </c>
      <c r="P471" s="323" t="s">
        <v>101</v>
      </c>
      <c r="Q471" s="324">
        <v>2400</v>
      </c>
      <c r="R471" s="375" t="s">
        <v>60</v>
      </c>
      <c r="S471" s="326"/>
      <c r="T471" s="327" t="s">
        <v>92</v>
      </c>
      <c r="U471" s="321" t="s">
        <v>62</v>
      </c>
      <c r="V471" s="321">
        <v>11</v>
      </c>
      <c r="W471" s="321">
        <v>11</v>
      </c>
      <c r="X471" s="328"/>
      <c r="Y471" s="329" t="s">
        <v>63</v>
      </c>
      <c r="Z471" s="326"/>
      <c r="AA471" s="330" t="s">
        <v>64</v>
      </c>
      <c r="AB471" s="330" t="s">
        <v>65</v>
      </c>
      <c r="AC471" s="331">
        <v>0.1</v>
      </c>
      <c r="AD471" s="331">
        <v>0.02</v>
      </c>
      <c r="AE471" s="330" t="s">
        <v>88</v>
      </c>
      <c r="AF471" s="332">
        <v>60000</v>
      </c>
      <c r="AG471" s="333">
        <v>7</v>
      </c>
      <c r="AH471" s="333">
        <v>6</v>
      </c>
      <c r="AI471" s="333">
        <v>6</v>
      </c>
      <c r="AJ471" s="327">
        <v>14</v>
      </c>
      <c r="AK471" s="334" t="s">
        <v>67</v>
      </c>
      <c r="AL471" s="335" t="s">
        <v>68</v>
      </c>
      <c r="AM471" s="336" t="s">
        <v>69</v>
      </c>
      <c r="AN471" s="336" t="s">
        <v>70</v>
      </c>
      <c r="AO471" s="314">
        <f t="shared" si="821"/>
        <v>0.988206018518519</v>
      </c>
      <c r="AP471" s="315">
        <f t="shared" si="822"/>
        <v>248</v>
      </c>
      <c r="AQ471" s="316" t="str">
        <f t="shared" si="823"/>
        <v>LOW</v>
      </c>
    </row>
    <row r="472" ht="29.25" customHeight="1" outlineLevel="1" spans="1:43">
      <c r="B472" s="317">
        <v>0.927094907407407</v>
      </c>
      <c r="C472" s="293" t="str">
        <f t="shared" ref="C472:G472" si="978">TEXT(IF($B472=0," ",$B472-C$6),"hh:mm am/pm")</f>
        <v>20:15 001/p1</v>
      </c>
      <c r="D472" s="293" t="str">
        <f t="shared" si="978"/>
        <v>18:15 001/p1</v>
      </c>
      <c r="E472" s="293" t="str">
        <f t="shared" si="978"/>
        <v>19:15 001/p1</v>
      </c>
      <c r="F472" s="293" t="str">
        <f t="shared" si="978"/>
        <v>20:15 001/p1</v>
      </c>
      <c r="G472" s="293" t="str">
        <f t="shared" si="978"/>
        <v>21:15 001/p1</v>
      </c>
      <c r="H472" s="293" t="str">
        <f t="shared" ref="H472:I472" si="979">TEXT(IF($B472=0," ",$B472+H$6),"hh:mm am/pm")</f>
        <v>04:15 001/p1</v>
      </c>
      <c r="I472" s="293" t="str">
        <f t="shared" si="979"/>
        <v>09:15 001/p1</v>
      </c>
      <c r="J472" s="294" t="s">
        <v>149</v>
      </c>
      <c r="K472" s="295"/>
      <c r="L472" s="337" t="s">
        <v>149</v>
      </c>
      <c r="M472" s="338" t="s">
        <v>71</v>
      </c>
      <c r="N472" s="339" t="s">
        <v>57</v>
      </c>
      <c r="O472" s="340" t="s">
        <v>74</v>
      </c>
      <c r="P472" s="341" t="s">
        <v>75</v>
      </c>
      <c r="Q472" s="342">
        <v>50</v>
      </c>
      <c r="R472" s="343" t="s">
        <v>60</v>
      </c>
      <c r="S472" s="344"/>
      <c r="T472" s="345" t="s">
        <v>61</v>
      </c>
      <c r="U472" s="339" t="s">
        <v>62</v>
      </c>
      <c r="V472" s="339">
        <v>0.6</v>
      </c>
      <c r="W472" s="339">
        <v>0.6</v>
      </c>
      <c r="X472" s="354"/>
      <c r="Y472" s="347" t="s">
        <v>63</v>
      </c>
      <c r="Z472" s="339">
        <v>0.6</v>
      </c>
      <c r="AA472" s="348">
        <v>30000</v>
      </c>
      <c r="AB472" s="348" t="s">
        <v>65</v>
      </c>
      <c r="AC472" s="349">
        <v>0.1</v>
      </c>
      <c r="AD472" s="349">
        <v>0</v>
      </c>
      <c r="AE472" s="348" t="s">
        <v>112</v>
      </c>
      <c r="AF472" s="346">
        <v>20000</v>
      </c>
      <c r="AG472" s="350">
        <v>5</v>
      </c>
      <c r="AH472" s="350">
        <v>5</v>
      </c>
      <c r="AI472" s="350">
        <v>5</v>
      </c>
      <c r="AJ472" s="345">
        <v>15</v>
      </c>
      <c r="AK472" s="352" t="s">
        <v>150</v>
      </c>
      <c r="AL472" s="352" t="s">
        <v>68</v>
      </c>
      <c r="AM472" s="353" t="s">
        <v>69</v>
      </c>
      <c r="AN472" s="353" t="s">
        <v>70</v>
      </c>
      <c r="AO472" s="314">
        <f t="shared" si="821"/>
        <v>0.982650462962963</v>
      </c>
      <c r="AP472" s="315">
        <f t="shared" si="822"/>
        <v>93</v>
      </c>
      <c r="AQ472" s="316" t="str">
        <f t="shared" si="823"/>
        <v>MICRO</v>
      </c>
    </row>
    <row r="473" ht="29.25" customHeight="1" outlineLevel="1" spans="1:43">
      <c r="A473" s="363" t="s">
        <v>352</v>
      </c>
      <c r="B473" s="317">
        <v>0.958344907407407</v>
      </c>
      <c r="C473" s="293" t="str">
        <f t="shared" ref="C473:G473" si="980">TEXT(IF($B473=0," ",$B473-C$6),"hh:mm am/pm")</f>
        <v>21:00 001/p1</v>
      </c>
      <c r="D473" s="293" t="str">
        <f t="shared" si="980"/>
        <v>19:00 001/p1</v>
      </c>
      <c r="E473" s="293" t="str">
        <f t="shared" si="980"/>
        <v>20:00 001/p1</v>
      </c>
      <c r="F473" s="293" t="str">
        <f t="shared" si="980"/>
        <v>21:00 001/p1</v>
      </c>
      <c r="G473" s="293" t="str">
        <f t="shared" si="980"/>
        <v>22:00 001/p1</v>
      </c>
      <c r="H473" s="293" t="str">
        <f t="shared" ref="H473:I473" si="981">TEXT(IF($B473=0," ",$B473+H$6),"hh:mm am/pm")</f>
        <v>05:00 001/p1</v>
      </c>
      <c r="I473" s="293" t="str">
        <f t="shared" si="981"/>
        <v>10:00 001/p1</v>
      </c>
      <c r="J473" s="294" t="s">
        <v>269</v>
      </c>
      <c r="K473" s="295"/>
      <c r="L473" s="319" t="s">
        <v>126</v>
      </c>
      <c r="M473" s="320" t="s">
        <v>71</v>
      </c>
      <c r="N473" s="321" t="s">
        <v>57</v>
      </c>
      <c r="O473" s="322" t="s">
        <v>144</v>
      </c>
      <c r="P473" s="323" t="s">
        <v>59</v>
      </c>
      <c r="Q473" s="324">
        <v>240</v>
      </c>
      <c r="R473" s="375" t="s">
        <v>60</v>
      </c>
      <c r="S473" s="326"/>
      <c r="T473" s="327" t="s">
        <v>61</v>
      </c>
      <c r="U473" s="321" t="s">
        <v>62</v>
      </c>
      <c r="V473" s="321">
        <v>4</v>
      </c>
      <c r="W473" s="321">
        <v>4</v>
      </c>
      <c r="X473" s="328"/>
      <c r="Y473" s="329" t="s">
        <v>63</v>
      </c>
      <c r="Z473" s="326"/>
      <c r="AA473" s="330" t="s">
        <v>64</v>
      </c>
      <c r="AB473" s="330" t="s">
        <v>65</v>
      </c>
      <c r="AC473" s="331">
        <v>0.1</v>
      </c>
      <c r="AD473" s="331">
        <v>0.02</v>
      </c>
      <c r="AE473" s="327" t="s">
        <v>66</v>
      </c>
      <c r="AF473" s="332">
        <v>30000</v>
      </c>
      <c r="AG473" s="333">
        <v>7</v>
      </c>
      <c r="AH473" s="333">
        <v>6</v>
      </c>
      <c r="AI473" s="333">
        <v>6</v>
      </c>
      <c r="AJ473" s="327">
        <v>13</v>
      </c>
      <c r="AK473" s="334" t="s">
        <v>67</v>
      </c>
      <c r="AL473" s="335" t="s">
        <v>68</v>
      </c>
      <c r="AM473" s="336" t="s">
        <v>69</v>
      </c>
      <c r="AN473" s="336" t="s">
        <v>70</v>
      </c>
      <c r="AO473" s="314">
        <f t="shared" si="821"/>
        <v>1.02501157407407</v>
      </c>
      <c r="AP473" s="315">
        <f t="shared" si="822"/>
        <v>69</v>
      </c>
      <c r="AQ473" s="316" t="str">
        <f t="shared" si="823"/>
        <v>MICRO</v>
      </c>
    </row>
    <row r="474" ht="29.25" customHeight="1" outlineLevel="1" spans="1:43">
      <c r="B474" s="317">
        <v>0.958344907407407</v>
      </c>
      <c r="C474" s="293" t="str">
        <f t="shared" ref="C474:G474" si="982">TEXT(IF($B474=0," ",$B474-C$6),"hh:mm am/pm")</f>
        <v>21:00 001/p1</v>
      </c>
      <c r="D474" s="293" t="str">
        <f t="shared" si="982"/>
        <v>19:00 001/p1</v>
      </c>
      <c r="E474" s="293" t="str">
        <f t="shared" si="982"/>
        <v>20:00 001/p1</v>
      </c>
      <c r="F474" s="293" t="str">
        <f t="shared" si="982"/>
        <v>21:00 001/p1</v>
      </c>
      <c r="G474" s="293" t="str">
        <f t="shared" si="982"/>
        <v>22:00 001/p1</v>
      </c>
      <c r="H474" s="293" t="str">
        <f t="shared" ref="H474:I474" si="983">TEXT(IF($B474=0," ",$B474+H$6),"hh:mm am/pm")</f>
        <v>05:00 001/p1</v>
      </c>
      <c r="I474" s="293" t="str">
        <f t="shared" si="983"/>
        <v>10:00 001/p1</v>
      </c>
      <c r="J474" s="294" t="s">
        <v>163</v>
      </c>
      <c r="K474" s="295"/>
      <c r="L474" s="337" t="s">
        <v>119</v>
      </c>
      <c r="M474" s="338" t="s">
        <v>71</v>
      </c>
      <c r="N474" s="339" t="s">
        <v>57</v>
      </c>
      <c r="O474" s="340" t="s">
        <v>74</v>
      </c>
      <c r="P474" s="341" t="s">
        <v>75</v>
      </c>
      <c r="Q474" s="342">
        <v>800</v>
      </c>
      <c r="R474" s="343" t="s">
        <v>60</v>
      </c>
      <c r="S474" s="344"/>
      <c r="T474" s="345" t="s">
        <v>77</v>
      </c>
      <c r="U474" s="339" t="s">
        <v>78</v>
      </c>
      <c r="V474" s="339">
        <v>0.8</v>
      </c>
      <c r="W474" s="339">
        <v>0.8</v>
      </c>
      <c r="X474" s="354"/>
      <c r="Y474" s="347" t="s">
        <v>79</v>
      </c>
      <c r="Z474" s="339">
        <v>0.8</v>
      </c>
      <c r="AA474" s="348">
        <v>60000</v>
      </c>
      <c r="AB474" s="348" t="s">
        <v>65</v>
      </c>
      <c r="AC474" s="349">
        <v>0.1</v>
      </c>
      <c r="AD474" s="349">
        <v>0.02</v>
      </c>
      <c r="AE474" s="345" t="s">
        <v>66</v>
      </c>
      <c r="AF474" s="346">
        <v>20000</v>
      </c>
      <c r="AG474" s="350">
        <v>6</v>
      </c>
      <c r="AH474" s="350">
        <v>5</v>
      </c>
      <c r="AI474" s="350">
        <v>5</v>
      </c>
      <c r="AJ474" s="345">
        <v>12</v>
      </c>
      <c r="AK474" s="351" t="s">
        <v>67</v>
      </c>
      <c r="AL474" s="352" t="s">
        <v>68</v>
      </c>
      <c r="AM474" s="353" t="s">
        <v>69</v>
      </c>
      <c r="AN474" s="353" t="s">
        <v>70</v>
      </c>
      <c r="AO474" s="314">
        <f t="shared" si="821"/>
        <v>1.01181712962963</v>
      </c>
      <c r="AP474" s="315">
        <f t="shared" si="822"/>
        <v>1137</v>
      </c>
      <c r="AQ474" s="316" t="str">
        <f t="shared" si="823"/>
        <v>MICRO</v>
      </c>
    </row>
    <row r="475" ht="29.25" customHeight="1" outlineLevel="1" spans="1:43">
      <c r="B475" s="317">
        <v>0.958344907407407</v>
      </c>
      <c r="C475" s="293" t="str">
        <f t="shared" ref="C475:G475" si="984">TEXT(IF($B475=0," ",$B475-C$6),"hh:mm am/pm")</f>
        <v>21:00 001/p1</v>
      </c>
      <c r="D475" s="293" t="str">
        <f t="shared" si="984"/>
        <v>19:00 001/p1</v>
      </c>
      <c r="E475" s="293" t="str">
        <f t="shared" si="984"/>
        <v>20:00 001/p1</v>
      </c>
      <c r="F475" s="293" t="str">
        <f t="shared" si="984"/>
        <v>21:00 001/p1</v>
      </c>
      <c r="G475" s="293" t="str">
        <f t="shared" si="984"/>
        <v>22:00 001/p1</v>
      </c>
      <c r="H475" s="293" t="str">
        <f t="shared" ref="H475:I475" si="985">TEXT(IF($B475=0," ",$B475+H$6),"hh:mm am/pm")</f>
        <v>05:00 001/p1</v>
      </c>
      <c r="I475" s="293" t="str">
        <f t="shared" si="985"/>
        <v>10:00 001/p1</v>
      </c>
      <c r="J475" s="294" t="s">
        <v>270</v>
      </c>
      <c r="K475" s="295"/>
      <c r="L475" s="319" t="s">
        <v>114</v>
      </c>
      <c r="M475" s="320" t="s">
        <v>71</v>
      </c>
      <c r="N475" s="321" t="s">
        <v>57</v>
      </c>
      <c r="O475" s="322" t="s">
        <v>74</v>
      </c>
      <c r="P475" s="323" t="s">
        <v>75</v>
      </c>
      <c r="Q475" s="324">
        <v>80</v>
      </c>
      <c r="R475" s="375" t="s">
        <v>60</v>
      </c>
      <c r="S475" s="326"/>
      <c r="T475" s="327" t="s">
        <v>77</v>
      </c>
      <c r="U475" s="321" t="s">
        <v>62</v>
      </c>
      <c r="V475" s="321">
        <v>0.2</v>
      </c>
      <c r="W475" s="321">
        <v>0.2</v>
      </c>
      <c r="X475" s="328"/>
      <c r="Y475" s="329" t="s">
        <v>79</v>
      </c>
      <c r="Z475" s="321">
        <v>0.2</v>
      </c>
      <c r="AA475" s="330">
        <v>50000</v>
      </c>
      <c r="AB475" s="330" t="s">
        <v>65</v>
      </c>
      <c r="AC475" s="331">
        <v>0.1</v>
      </c>
      <c r="AD475" s="331">
        <v>0</v>
      </c>
      <c r="AE475" s="327" t="s">
        <v>66</v>
      </c>
      <c r="AF475" s="332">
        <v>20000</v>
      </c>
      <c r="AG475" s="333">
        <v>5</v>
      </c>
      <c r="AH475" s="333">
        <v>5</v>
      </c>
      <c r="AI475" s="333">
        <v>5</v>
      </c>
      <c r="AJ475" s="327">
        <v>12</v>
      </c>
      <c r="AK475" s="335" t="s">
        <v>67</v>
      </c>
      <c r="AL475" s="335" t="s">
        <v>68</v>
      </c>
      <c r="AM475" s="336" t="s">
        <v>69</v>
      </c>
      <c r="AN475" s="336" t="s">
        <v>70</v>
      </c>
      <c r="AO475" s="314">
        <f t="shared" si="821"/>
        <v>1.0034837962963</v>
      </c>
      <c r="AP475" s="315">
        <f t="shared" si="822"/>
        <v>445</v>
      </c>
      <c r="AQ475" s="316" t="str">
        <f t="shared" si="823"/>
        <v>MICRO</v>
      </c>
    </row>
    <row r="476" ht="29.25" customHeight="1" outlineLevel="1" spans="1:43">
      <c r="A476" s="363" t="s">
        <v>352</v>
      </c>
      <c r="B476" s="317">
        <v>0.958344907407407</v>
      </c>
      <c r="C476" s="293" t="str">
        <f t="shared" ref="C476:G476" si="986">TEXT(IF($B476=0," ",$B476-C$6),"hh:mm am/pm")</f>
        <v>21:00 001/p1</v>
      </c>
      <c r="D476" s="293" t="str">
        <f t="shared" si="986"/>
        <v>19:00 001/p1</v>
      </c>
      <c r="E476" s="293" t="str">
        <f t="shared" si="986"/>
        <v>20:00 001/p1</v>
      </c>
      <c r="F476" s="293" t="str">
        <f t="shared" si="986"/>
        <v>21:00 001/p1</v>
      </c>
      <c r="G476" s="293" t="str">
        <f t="shared" si="986"/>
        <v>22:00 001/p1</v>
      </c>
      <c r="H476" s="293" t="str">
        <f t="shared" ref="H476:I476" si="987">TEXT(IF($B476=0," ",$B476+H$6),"hh:mm am/pm")</f>
        <v>05:00 001/p1</v>
      </c>
      <c r="I476" s="293" t="str">
        <f t="shared" si="987"/>
        <v>10:00 001/p1</v>
      </c>
      <c r="J476" s="294" t="s">
        <v>376</v>
      </c>
      <c r="K476" s="295"/>
      <c r="L476" s="337" t="s">
        <v>268</v>
      </c>
      <c r="M476" s="338" t="s">
        <v>71</v>
      </c>
      <c r="N476" s="339" t="s">
        <v>100</v>
      </c>
      <c r="O476" s="340" t="s">
        <v>82</v>
      </c>
      <c r="P476" s="341" t="s">
        <v>101</v>
      </c>
      <c r="Q476" s="342">
        <v>2000</v>
      </c>
      <c r="R476" s="343" t="s">
        <v>60</v>
      </c>
      <c r="S476" s="344"/>
      <c r="T476" s="345" t="s">
        <v>92</v>
      </c>
      <c r="U476" s="339" t="s">
        <v>62</v>
      </c>
      <c r="V476" s="339">
        <v>30</v>
      </c>
      <c r="W476" s="339">
        <v>30</v>
      </c>
      <c r="X476" s="354"/>
      <c r="Y476" s="347" t="s">
        <v>63</v>
      </c>
      <c r="Z476" s="344"/>
      <c r="AA476" s="348" t="s">
        <v>64</v>
      </c>
      <c r="AB476" s="348" t="s">
        <v>65</v>
      </c>
      <c r="AC476" s="349">
        <v>0.1</v>
      </c>
      <c r="AD476" s="349">
        <v>0.02</v>
      </c>
      <c r="AE476" s="345" t="s">
        <v>88</v>
      </c>
      <c r="AF476" s="346">
        <v>80000</v>
      </c>
      <c r="AG476" s="350">
        <v>6</v>
      </c>
      <c r="AH476" s="350">
        <v>6</v>
      </c>
      <c r="AI476" s="350">
        <v>6</v>
      </c>
      <c r="AJ476" s="345">
        <v>15</v>
      </c>
      <c r="AK476" s="352" t="s">
        <v>67</v>
      </c>
      <c r="AL476" s="352" t="s">
        <v>68</v>
      </c>
      <c r="AM476" s="353" t="s">
        <v>69</v>
      </c>
      <c r="AN476" s="353" t="s">
        <v>70</v>
      </c>
      <c r="AO476" s="314">
        <f t="shared" si="821"/>
        <v>1.02431712962963</v>
      </c>
      <c r="AP476" s="315">
        <f t="shared" si="822"/>
        <v>76</v>
      </c>
      <c r="AQ476" s="316" t="str">
        <f t="shared" si="823"/>
        <v>MEDIUM</v>
      </c>
    </row>
    <row r="477" ht="29.25" customHeight="1" outlineLevel="1" spans="1:43">
      <c r="B477" s="317">
        <v>0.965289351851852</v>
      </c>
      <c r="C477" s="293" t="str">
        <f t="shared" ref="C477:G477" si="988">TEXT(IF($B477=0," ",$B477-C$6),"hh:mm am/pm")</f>
        <v>21:10 001/p1</v>
      </c>
      <c r="D477" s="293" t="str">
        <f t="shared" si="988"/>
        <v>19:10 001/p1</v>
      </c>
      <c r="E477" s="293" t="str">
        <f t="shared" si="988"/>
        <v>20:10 001/p1</v>
      </c>
      <c r="F477" s="293" t="str">
        <f t="shared" si="988"/>
        <v>21:10 001/p1</v>
      </c>
      <c r="G477" s="293" t="str">
        <f t="shared" si="988"/>
        <v>22:10 001/p1</v>
      </c>
      <c r="H477" s="293" t="str">
        <f t="shared" ref="H477:I477" si="989">TEXT(IF($B477=0," ",$B477+H$6),"hh:mm am/pm")</f>
        <v>05:10 001/p1</v>
      </c>
      <c r="I477" s="293" t="str">
        <f t="shared" si="989"/>
        <v>10:10 001/p1</v>
      </c>
      <c r="J477" s="294" t="s">
        <v>377</v>
      </c>
      <c r="K477" s="295"/>
      <c r="L477" s="319" t="s">
        <v>272</v>
      </c>
      <c r="M477" s="320" t="s">
        <v>71</v>
      </c>
      <c r="N477" s="321" t="s">
        <v>57</v>
      </c>
      <c r="O477" s="322" t="s">
        <v>82</v>
      </c>
      <c r="P477" s="323" t="s">
        <v>75</v>
      </c>
      <c r="Q477" s="324">
        <v>2000</v>
      </c>
      <c r="R477" s="375" t="s">
        <v>60</v>
      </c>
      <c r="S477" s="326"/>
      <c r="T477" s="327" t="s">
        <v>92</v>
      </c>
      <c r="U477" s="321" t="s">
        <v>62</v>
      </c>
      <c r="V477" s="321">
        <v>11</v>
      </c>
      <c r="W477" s="321">
        <v>11</v>
      </c>
      <c r="X477" s="328"/>
      <c r="Y477" s="329" t="s">
        <v>63</v>
      </c>
      <c r="Z477" s="326"/>
      <c r="AA477" s="330" t="s">
        <v>64</v>
      </c>
      <c r="AB477" s="330" t="s">
        <v>65</v>
      </c>
      <c r="AC477" s="331">
        <v>0.1</v>
      </c>
      <c r="AD477" s="331">
        <v>0.02</v>
      </c>
      <c r="AE477" s="327" t="s">
        <v>88</v>
      </c>
      <c r="AF477" s="332">
        <v>50000</v>
      </c>
      <c r="AG477" s="333">
        <v>6</v>
      </c>
      <c r="AH477" s="333">
        <v>6</v>
      </c>
      <c r="AI477" s="333">
        <v>6</v>
      </c>
      <c r="AJ477" s="327">
        <v>13</v>
      </c>
      <c r="AK477" s="335" t="s">
        <v>67</v>
      </c>
      <c r="AL477" s="335" t="s">
        <v>68</v>
      </c>
      <c r="AM477" s="336" t="s">
        <v>69</v>
      </c>
      <c r="AN477" s="336" t="s">
        <v>70</v>
      </c>
      <c r="AO477" s="314">
        <f t="shared" si="821"/>
        <v>1.02292824074074</v>
      </c>
      <c r="AP477" s="315">
        <f t="shared" si="822"/>
        <v>207</v>
      </c>
      <c r="AQ477" s="316" t="str">
        <f t="shared" si="823"/>
        <v>LOW</v>
      </c>
    </row>
    <row r="478" ht="29.25" customHeight="1" outlineLevel="1" spans="1:43">
      <c r="B478" s="317">
        <v>0.965289351851852</v>
      </c>
      <c r="C478" s="293" t="str">
        <f t="shared" ref="C478:G478" si="990">TEXT(IF($B478=0," ",$B478-C$6),"hh:mm am/pm")</f>
        <v>21:10 001/p1</v>
      </c>
      <c r="D478" s="293" t="str">
        <f t="shared" si="990"/>
        <v>19:10 001/p1</v>
      </c>
      <c r="E478" s="293" t="str">
        <f t="shared" si="990"/>
        <v>20:10 001/p1</v>
      </c>
      <c r="F478" s="293" t="str">
        <f t="shared" si="990"/>
        <v>21:10 001/p1</v>
      </c>
      <c r="G478" s="293" t="str">
        <f t="shared" si="990"/>
        <v>22:10 001/p1</v>
      </c>
      <c r="H478" s="293" t="str">
        <f t="shared" ref="H478:I478" si="991">TEXT(IF($B478=0," ",$B478+H$6),"hh:mm am/pm")</f>
        <v>05:10 001/p1</v>
      </c>
      <c r="I478" s="293" t="str">
        <f t="shared" si="991"/>
        <v>10:10 001/p1</v>
      </c>
      <c r="J478" s="294" t="s">
        <v>273</v>
      </c>
      <c r="K478" s="295"/>
      <c r="L478" s="337" t="s">
        <v>129</v>
      </c>
      <c r="M478" s="338" t="s">
        <v>71</v>
      </c>
      <c r="N478" s="339" t="s">
        <v>122</v>
      </c>
      <c r="O478" s="340" t="s">
        <v>74</v>
      </c>
      <c r="P478" s="341" t="s">
        <v>101</v>
      </c>
      <c r="Q478" s="342">
        <v>80</v>
      </c>
      <c r="R478" s="343" t="s">
        <v>60</v>
      </c>
      <c r="S478" s="344"/>
      <c r="T478" s="345" t="s">
        <v>61</v>
      </c>
      <c r="U478" s="339" t="s">
        <v>62</v>
      </c>
      <c r="V478" s="339">
        <v>0.6</v>
      </c>
      <c r="W478" s="339">
        <v>0.6</v>
      </c>
      <c r="X478" s="354"/>
      <c r="Y478" s="347" t="s">
        <v>79</v>
      </c>
      <c r="Z478" s="339">
        <v>0.6</v>
      </c>
      <c r="AA478" s="348">
        <v>100000</v>
      </c>
      <c r="AB478" s="348" t="s">
        <v>65</v>
      </c>
      <c r="AC478" s="349">
        <v>0.1</v>
      </c>
      <c r="AD478" s="349">
        <v>0</v>
      </c>
      <c r="AE478" s="345" t="s">
        <v>88</v>
      </c>
      <c r="AF478" s="346">
        <v>40000</v>
      </c>
      <c r="AG478" s="350">
        <v>6</v>
      </c>
      <c r="AH478" s="350">
        <v>5</v>
      </c>
      <c r="AI478" s="350">
        <v>5</v>
      </c>
      <c r="AJ478" s="345">
        <v>12</v>
      </c>
      <c r="AK478" s="352" t="s">
        <v>67</v>
      </c>
      <c r="AL478" s="352" t="s">
        <v>68</v>
      </c>
      <c r="AM478" s="353" t="s">
        <v>69</v>
      </c>
      <c r="AN478" s="353" t="s">
        <v>70</v>
      </c>
      <c r="AO478" s="314">
        <f t="shared" si="821"/>
        <v>1.01876157407407</v>
      </c>
      <c r="AP478" s="315">
        <f t="shared" si="822"/>
        <v>149</v>
      </c>
      <c r="AQ478" s="316" t="str">
        <f t="shared" si="823"/>
        <v>MICRO</v>
      </c>
    </row>
    <row r="479" ht="29.25" customHeight="1" outlineLevel="1" spans="1:43">
      <c r="A479" s="363" t="s">
        <v>352</v>
      </c>
      <c r="B479" s="317">
        <v>0.979178240740741</v>
      </c>
      <c r="C479" s="293" t="str">
        <f t="shared" ref="C479:G479" si="992">TEXT(IF($B479=0," ",$B479-C$6),"hh:mm am/pm")</f>
        <v>21:30 001/p1</v>
      </c>
      <c r="D479" s="293" t="str">
        <f t="shared" si="992"/>
        <v>19:30 001/p1</v>
      </c>
      <c r="E479" s="293" t="str">
        <f t="shared" si="992"/>
        <v>20:30 001/p1</v>
      </c>
      <c r="F479" s="293" t="str">
        <f t="shared" si="992"/>
        <v>21:30 001/p1</v>
      </c>
      <c r="G479" s="293" t="str">
        <f t="shared" si="992"/>
        <v>22:30 001/p1</v>
      </c>
      <c r="H479" s="293" t="str">
        <f t="shared" ref="H479:I479" si="993">TEXT(IF($B479=0," ",$B479+H$6),"hh:mm am/pm")</f>
        <v>05:30 001/p1</v>
      </c>
      <c r="I479" s="293" t="str">
        <f t="shared" si="993"/>
        <v>10:30 001/p1</v>
      </c>
      <c r="J479" s="294" t="s">
        <v>274</v>
      </c>
      <c r="K479" s="295"/>
      <c r="L479" s="319" t="s">
        <v>192</v>
      </c>
      <c r="M479" s="320" t="s">
        <v>71</v>
      </c>
      <c r="N479" s="321" t="s">
        <v>57</v>
      </c>
      <c r="O479" s="322" t="s">
        <v>233</v>
      </c>
      <c r="P479" s="323" t="s">
        <v>59</v>
      </c>
      <c r="Q479" s="324">
        <v>240</v>
      </c>
      <c r="R479" s="375" t="s">
        <v>60</v>
      </c>
      <c r="S479" s="326"/>
      <c r="T479" s="327" t="s">
        <v>61</v>
      </c>
      <c r="U479" s="321" t="s">
        <v>62</v>
      </c>
      <c r="V479" s="321">
        <v>2</v>
      </c>
      <c r="W479" s="321">
        <v>2</v>
      </c>
      <c r="X479" s="328"/>
      <c r="Y479" s="329" t="s">
        <v>63</v>
      </c>
      <c r="Z479" s="326"/>
      <c r="AA479" s="330" t="s">
        <v>64</v>
      </c>
      <c r="AB479" s="330" t="s">
        <v>65</v>
      </c>
      <c r="AC479" s="331">
        <v>0.1</v>
      </c>
      <c r="AD479" s="331">
        <v>0.02</v>
      </c>
      <c r="AE479" s="327" t="s">
        <v>66</v>
      </c>
      <c r="AF479" s="332">
        <v>30000</v>
      </c>
      <c r="AG479" s="333">
        <v>5</v>
      </c>
      <c r="AH479" s="333">
        <v>5</v>
      </c>
      <c r="AI479" s="333">
        <v>5</v>
      </c>
      <c r="AJ479" s="327">
        <v>13</v>
      </c>
      <c r="AK479" s="335" t="s">
        <v>67</v>
      </c>
      <c r="AL479" s="335" t="s">
        <v>68</v>
      </c>
      <c r="AM479" s="336" t="s">
        <v>69</v>
      </c>
      <c r="AN479" s="336" t="s">
        <v>70</v>
      </c>
      <c r="AO479" s="314">
        <f t="shared" si="821"/>
        <v>1.02778935185185</v>
      </c>
      <c r="AP479" s="315">
        <f t="shared" si="822"/>
        <v>137</v>
      </c>
      <c r="AQ479" s="316" t="str">
        <f t="shared" si="823"/>
        <v>MICRO</v>
      </c>
    </row>
    <row r="480" ht="29.25" customHeight="1" outlineLevel="1" spans="1:43">
      <c r="B480" s="317">
        <v>0.979178240740741</v>
      </c>
      <c r="C480" s="293" t="str">
        <f t="shared" ref="C480:G480" si="994">TEXT(IF($B480=0," ",$B480-C$6),"hh:mm am/pm")</f>
        <v>21:30 001/p1</v>
      </c>
      <c r="D480" s="293" t="str">
        <f t="shared" si="994"/>
        <v>19:30 001/p1</v>
      </c>
      <c r="E480" s="293" t="str">
        <f t="shared" si="994"/>
        <v>20:30 001/p1</v>
      </c>
      <c r="F480" s="293" t="str">
        <f t="shared" si="994"/>
        <v>21:30 001/p1</v>
      </c>
      <c r="G480" s="293" t="str">
        <f t="shared" si="994"/>
        <v>22:30 001/p1</v>
      </c>
      <c r="H480" s="293" t="str">
        <f t="shared" ref="H480:I480" si="995">TEXT(IF($B480=0," ",$B480+H$6),"hh:mm am/pm")</f>
        <v>05:30 001/p1</v>
      </c>
      <c r="I480" s="293" t="str">
        <f t="shared" si="995"/>
        <v>10:30 001/p1</v>
      </c>
      <c r="J480" s="294" t="s">
        <v>345</v>
      </c>
      <c r="K480" s="295"/>
      <c r="L480" s="337" t="s">
        <v>346</v>
      </c>
      <c r="M480" s="338" t="s">
        <v>71</v>
      </c>
      <c r="N480" s="339" t="s">
        <v>57</v>
      </c>
      <c r="O480" s="340" t="s">
        <v>74</v>
      </c>
      <c r="P480" s="341" t="s">
        <v>59</v>
      </c>
      <c r="Q480" s="342">
        <v>3000</v>
      </c>
      <c r="R480" s="343" t="s">
        <v>60</v>
      </c>
      <c r="S480" s="344"/>
      <c r="T480" s="345" t="s">
        <v>61</v>
      </c>
      <c r="U480" s="339" t="s">
        <v>78</v>
      </c>
      <c r="V480" s="339">
        <v>30</v>
      </c>
      <c r="W480" s="339">
        <v>30</v>
      </c>
      <c r="X480" s="354"/>
      <c r="Y480" s="347" t="s">
        <v>63</v>
      </c>
      <c r="Z480" s="344"/>
      <c r="AA480" s="348" t="s">
        <v>64</v>
      </c>
      <c r="AB480" s="348" t="s">
        <v>65</v>
      </c>
      <c r="AC480" s="349">
        <v>0.1</v>
      </c>
      <c r="AD480" s="349">
        <v>0.02</v>
      </c>
      <c r="AE480" s="345" t="s">
        <v>88</v>
      </c>
      <c r="AF480" s="346">
        <v>50000</v>
      </c>
      <c r="AG480" s="350">
        <v>5</v>
      </c>
      <c r="AH480" s="350">
        <v>5</v>
      </c>
      <c r="AI480" s="350">
        <v>5</v>
      </c>
      <c r="AJ480" s="345">
        <v>13</v>
      </c>
      <c r="AK480" s="351" t="s">
        <v>67</v>
      </c>
      <c r="AL480" s="352" t="s">
        <v>68</v>
      </c>
      <c r="AM480" s="353" t="s">
        <v>69</v>
      </c>
      <c r="AN480" s="353" t="s">
        <v>70</v>
      </c>
      <c r="AO480" s="314">
        <f t="shared" si="821"/>
        <v>1.02778935185185</v>
      </c>
      <c r="AP480" s="315">
        <f t="shared" si="822"/>
        <v>114</v>
      </c>
      <c r="AQ480" s="316" t="str">
        <f t="shared" si="823"/>
        <v>MEDIUM</v>
      </c>
    </row>
    <row r="481" ht="29.25" customHeight="1" outlineLevel="1" spans="1:43">
      <c r="B481" s="383"/>
      <c r="C481" s="293" t="str">
        <f t="shared" ref="C481:G481" si="996">TEXT(IF($B481=0," ",$B481-C$6),"hh:mm am/pm")</f>
        <v> </v>
      </c>
      <c r="D481" s="293" t="str">
        <f t="shared" si="996"/>
        <v> </v>
      </c>
      <c r="E481" s="293" t="str">
        <f t="shared" si="996"/>
        <v> </v>
      </c>
      <c r="F481" s="293" t="str">
        <f t="shared" si="996"/>
        <v> </v>
      </c>
      <c r="G481" s="293" t="str">
        <f t="shared" si="996"/>
        <v> </v>
      </c>
      <c r="H481" s="293" t="str">
        <f t="shared" ref="H481:I481" si="997">TEXT(IF($B481=0," ",$B481+H$6),"hh:mm am/pm")</f>
        <v> </v>
      </c>
      <c r="I481" s="293" t="str">
        <f t="shared" si="997"/>
        <v> </v>
      </c>
      <c r="J481" s="380" t="s">
        <v>193</v>
      </c>
      <c r="K481" s="381"/>
      <c r="L481" s="380" t="s">
        <v>194</v>
      </c>
      <c r="M481" s="382"/>
      <c r="N481" s="382"/>
      <c r="O481" s="382"/>
      <c r="P481" s="382"/>
      <c r="Q481" s="382"/>
      <c r="R481" s="382"/>
      <c r="S481" s="382"/>
      <c r="T481" s="382"/>
      <c r="U481" s="382"/>
      <c r="V481" s="382"/>
      <c r="W481" s="382"/>
      <c r="X481" s="382"/>
      <c r="Y481" s="382"/>
      <c r="Z481" s="382"/>
      <c r="AA481" s="382"/>
      <c r="AB481" s="382"/>
      <c r="AC481" s="382"/>
      <c r="AD481" s="382"/>
      <c r="AE481" s="382"/>
      <c r="AF481" s="382"/>
      <c r="AG481" s="382"/>
      <c r="AH481" s="382"/>
      <c r="AI481" s="382"/>
      <c r="AJ481" s="382"/>
      <c r="AK481" s="382"/>
      <c r="AL481" s="382"/>
      <c r="AM481" s="383"/>
      <c r="AN481" s="374"/>
      <c r="AO481" s="383"/>
      <c r="AP481" s="374"/>
      <c r="AQ481" s="383"/>
    </row>
    <row r="482" ht="29.25" customHeight="1" outlineLevel="1" spans="1:43">
      <c r="A482" s="363" t="s">
        <v>352</v>
      </c>
      <c r="B482" s="292">
        <v>0.416678240740741</v>
      </c>
      <c r="C482" s="293" t="str">
        <f t="shared" ref="C482:G482" si="998">TEXT(IF($B482=0," ",$B482-C$6),"hh:mm am/pm")</f>
        <v>08:00 001/p1</v>
      </c>
      <c r="D482" s="293" t="str">
        <f t="shared" si="998"/>
        <v>06:00 001/p1</v>
      </c>
      <c r="E482" s="293" t="str">
        <f t="shared" si="998"/>
        <v>07:00 001/p1</v>
      </c>
      <c r="F482" s="293" t="str">
        <f t="shared" si="998"/>
        <v>08:00 001/p1</v>
      </c>
      <c r="G482" s="293" t="str">
        <f t="shared" si="998"/>
        <v>09:00 001/p1</v>
      </c>
      <c r="H482" s="293" t="str">
        <f t="shared" ref="H482:I482" si="999">TEXT(IF($B482=0," ",$B482+H$6),"hh:mm am/pm")</f>
        <v>16:00 001/p1</v>
      </c>
      <c r="I482" s="293" t="str">
        <f t="shared" si="999"/>
        <v>21:00 001/p1</v>
      </c>
      <c r="J482" s="384" t="str">
        <f>L436</f>
        <v>#AS Reentry</v>
      </c>
      <c r="K482" s="385"/>
      <c r="L482" s="386" t="s">
        <v>195</v>
      </c>
      <c r="M482" s="387" t="s">
        <v>196</v>
      </c>
      <c r="N482" s="388" t="s">
        <v>57</v>
      </c>
      <c r="O482" s="529" t="s">
        <v>74</v>
      </c>
      <c r="P482" s="390" t="s">
        <v>75</v>
      </c>
      <c r="Q482" s="391">
        <f>15*4</f>
        <v>60</v>
      </c>
      <c r="R482" s="388" t="s">
        <v>60</v>
      </c>
      <c r="S482" s="530"/>
      <c r="T482" s="394">
        <v>0.1</v>
      </c>
      <c r="U482" s="388" t="s">
        <v>62</v>
      </c>
      <c r="V482" s="388">
        <v>0.8</v>
      </c>
      <c r="W482" s="388">
        <v>0.8</v>
      </c>
      <c r="X482" s="395"/>
      <c r="Y482" s="396" t="s">
        <v>79</v>
      </c>
      <c r="Z482" s="388">
        <v>0.8</v>
      </c>
      <c r="AA482" s="397">
        <v>20000</v>
      </c>
      <c r="AB482" s="397" t="s">
        <v>65</v>
      </c>
      <c r="AC482" s="394">
        <v>0.05</v>
      </c>
      <c r="AD482" s="394">
        <v>0</v>
      </c>
      <c r="AE482" s="392" t="s">
        <v>88</v>
      </c>
      <c r="AF482" s="399">
        <v>10000</v>
      </c>
      <c r="AG482" s="400">
        <v>4</v>
      </c>
      <c r="AH482" s="400">
        <v>4</v>
      </c>
      <c r="AI482" s="400">
        <v>4</v>
      </c>
      <c r="AJ482" s="392">
        <v>9</v>
      </c>
      <c r="AK482" s="401" t="s">
        <v>67</v>
      </c>
      <c r="AL482" s="402" t="s">
        <v>68</v>
      </c>
      <c r="AM482" s="403" t="s">
        <v>197</v>
      </c>
      <c r="AN482" s="403" t="s">
        <v>198</v>
      </c>
      <c r="AO482" s="314">
        <f>IF(B482=0," ",TIME(,ROUNDDOWN(AG482*AJ482/60,0)*5+(AG482*AJ482),)+B482)</f>
        <v>0.441678240740741</v>
      </c>
      <c r="AP482" s="315">
        <f>IF(Q482=0,,ROUNDUP(Q482/(V482*(1-AC482-AD482)),0))</f>
        <v>79</v>
      </c>
      <c r="AQ482" s="316" t="str">
        <f>IFERROR(IF(V482=0," ",IF(V482&lt;=5,"MICRO",IF(V482&lt;=19.8,"LOW",IF(V482&lt;=99.8,"MEDIUM",IF(V482&lt;=500,"HIGH",IF(V482&gt;500,"SUPER HIGH",)))))),"")</f>
        <v>MICRO</v>
      </c>
    </row>
    <row r="483" ht="29.25" customHeight="1" outlineLevel="1" spans="1:43">
      <c r="B483" s="365"/>
      <c r="C483" s="293" t="str">
        <f t="shared" ref="C483:G483" si="1000">TEXT(IF($B483=0," ",$B483-C$6),"hh:mm am/pm")</f>
        <v> </v>
      </c>
      <c r="D483" s="293" t="str">
        <f t="shared" si="1000"/>
        <v> </v>
      </c>
      <c r="E483" s="293" t="str">
        <f t="shared" si="1000"/>
        <v> </v>
      </c>
      <c r="F483" s="293" t="str">
        <f t="shared" si="1000"/>
        <v> </v>
      </c>
      <c r="G483" s="293" t="str">
        <f t="shared" si="1000"/>
        <v> </v>
      </c>
      <c r="H483" s="293" t="str">
        <f t="shared" ref="H483:I483" si="1001">TEXT(IF($B483=0," ",$B483+H$6),"hh:mm am/pm")</f>
        <v> </v>
      </c>
      <c r="I483" s="293" t="str">
        <f t="shared" si="1001"/>
        <v> </v>
      </c>
      <c r="J483" s="344"/>
      <c r="K483" s="367"/>
      <c r="L483" s="367"/>
      <c r="M483" s="368"/>
      <c r="N483" s="369"/>
      <c r="O483" s="370"/>
      <c r="P483" s="370"/>
      <c r="Q483" s="369"/>
      <c r="R483" s="369"/>
      <c r="S483" s="369"/>
      <c r="T483" s="371"/>
      <c r="U483" s="369"/>
      <c r="V483" s="369"/>
      <c r="W483" s="369"/>
      <c r="X483" s="372"/>
      <c r="Y483" s="367"/>
      <c r="Z483" s="369"/>
      <c r="AA483" s="372"/>
      <c r="AB483" s="372"/>
      <c r="AC483" s="371"/>
      <c r="AD483" s="367"/>
      <c r="AE483" s="367"/>
      <c r="AF483" s="372"/>
      <c r="AG483" s="367"/>
      <c r="AH483" s="367"/>
      <c r="AI483" s="367"/>
      <c r="AJ483" s="367"/>
      <c r="AK483" s="373"/>
      <c r="AL483" s="373"/>
      <c r="AM483" s="373"/>
      <c r="AN483" s="373"/>
      <c r="AO483" s="383"/>
      <c r="AP483" s="374"/>
      <c r="AQ483" s="383"/>
    </row>
    <row r="484" ht="29.25" customHeight="1" outlineLevel="1" spans="1:43">
      <c r="B484" s="317">
        <v>0.437511574074074</v>
      </c>
      <c r="C484" s="293" t="str">
        <f t="shared" ref="C484:G484" si="1002">TEXT(IF($B484=0," ",$B484-C$6),"hh:mm am/pm")</f>
        <v>08:30 001/p1</v>
      </c>
      <c r="D484" s="293" t="str">
        <f t="shared" si="1002"/>
        <v>06:30 001/p1</v>
      </c>
      <c r="E484" s="293" t="str">
        <f t="shared" si="1002"/>
        <v>07:30 001/p1</v>
      </c>
      <c r="F484" s="293" t="str">
        <f t="shared" si="1002"/>
        <v>08:30 001/p1</v>
      </c>
      <c r="G484" s="293" t="str">
        <f t="shared" si="1002"/>
        <v>09:30 001/p1</v>
      </c>
      <c r="H484" s="293" t="str">
        <f t="shared" ref="H484:I484" si="1003">TEXT(IF($B484=0," ",$B484+H$6),"hh:mm am/pm")</f>
        <v>16:30 001/p1</v>
      </c>
      <c r="I484" s="293" t="str">
        <f t="shared" si="1003"/>
        <v>21:30 001/p1</v>
      </c>
      <c r="J484" s="405" t="str">
        <f>L437</f>
        <v>#AS OmaX PKO</v>
      </c>
      <c r="K484" s="406"/>
      <c r="L484" s="407" t="s">
        <v>199</v>
      </c>
      <c r="M484" s="408" t="s">
        <v>196</v>
      </c>
      <c r="N484" s="409" t="s">
        <v>100</v>
      </c>
      <c r="O484" s="410" t="s">
        <v>74</v>
      </c>
      <c r="P484" s="411" t="s">
        <v>101</v>
      </c>
      <c r="Q484" s="412">
        <f>12*5</f>
        <v>60</v>
      </c>
      <c r="R484" s="409" t="s">
        <v>60</v>
      </c>
      <c r="S484" s="413"/>
      <c r="T484" s="414">
        <v>0.1</v>
      </c>
      <c r="U484" s="409" t="s">
        <v>62</v>
      </c>
      <c r="V484" s="409">
        <v>0.6</v>
      </c>
      <c r="W484" s="409">
        <v>0.6</v>
      </c>
      <c r="X484" s="415"/>
      <c r="Y484" s="416" t="s">
        <v>79</v>
      </c>
      <c r="Z484" s="409">
        <v>0.8</v>
      </c>
      <c r="AA484" s="417">
        <v>20000</v>
      </c>
      <c r="AB484" s="417" t="s">
        <v>65</v>
      </c>
      <c r="AC484" s="414">
        <v>0.05</v>
      </c>
      <c r="AD484" s="414">
        <v>0</v>
      </c>
      <c r="AE484" s="418" t="s">
        <v>88</v>
      </c>
      <c r="AF484" s="419">
        <v>10000</v>
      </c>
      <c r="AG484" s="420">
        <v>4</v>
      </c>
      <c r="AH484" s="420">
        <v>4</v>
      </c>
      <c r="AI484" s="420">
        <v>4</v>
      </c>
      <c r="AJ484" s="418">
        <v>9</v>
      </c>
      <c r="AK484" s="421" t="s">
        <v>67</v>
      </c>
      <c r="AL484" s="421" t="s">
        <v>68</v>
      </c>
      <c r="AM484" s="422" t="s">
        <v>197</v>
      </c>
      <c r="AN484" s="403" t="s">
        <v>198</v>
      </c>
      <c r="AO484" s="314">
        <f t="shared" ref="AO484:AO487" si="1004">IF(B484=0," ",TIME(,ROUNDDOWN(AG484*AJ484/60,0)*5+(AG484*AJ484),)+B484)</f>
        <v>0.462511574074074</v>
      </c>
      <c r="AP484" s="315">
        <f t="shared" ref="AP484:AP487" si="1005">IF(Q484=0,,ROUNDUP(Q484/(V484*(1-AC484-AD484)),0))</f>
        <v>106</v>
      </c>
      <c r="AQ484" s="316" t="str">
        <f t="shared" ref="AQ484:AQ487" si="1006">IFERROR(IF(V484=0," ",IF(V484&lt;=5,"MICRO",IF(V484&lt;=19.8,"LOW",IF(V484&lt;=99.8,"MEDIUM",IF(V484&lt;=500,"HIGH",IF(V484&gt;500,"SUPER HIGH",)))))),"")</f>
        <v>MICRO</v>
      </c>
    </row>
    <row r="485" ht="29.25" customHeight="1" outlineLevel="1" spans="1:43">
      <c r="A485" s="363" t="s">
        <v>352</v>
      </c>
      <c r="B485" s="365"/>
      <c r="C485" s="293" t="str">
        <f t="shared" ref="C485:G485" si="1007">TEXT(IF($B485=0," ",$B485-C$6),"hh:mm am/pm")</f>
        <v> </v>
      </c>
      <c r="D485" s="293" t="str">
        <f t="shared" si="1007"/>
        <v> </v>
      </c>
      <c r="E485" s="293" t="str">
        <f t="shared" si="1007"/>
        <v> </v>
      </c>
      <c r="F485" s="293" t="str">
        <f t="shared" si="1007"/>
        <v> </v>
      </c>
      <c r="G485" s="293" t="str">
        <f t="shared" si="1007"/>
        <v> </v>
      </c>
      <c r="H485" s="293" t="str">
        <f t="shared" ref="H485:I485" si="1008">TEXT(IF($B485=0," ",$B485+H$6),"hh:mm am/pm")</f>
        <v> </v>
      </c>
      <c r="I485" s="293" t="str">
        <f t="shared" si="1008"/>
        <v> </v>
      </c>
      <c r="J485" s="344"/>
      <c r="K485" s="367"/>
      <c r="L485" s="367"/>
      <c r="M485" s="368"/>
      <c r="N485" s="369"/>
      <c r="O485" s="370"/>
      <c r="P485" s="370"/>
      <c r="Q485" s="369"/>
      <c r="R485" s="369"/>
      <c r="S485" s="369"/>
      <c r="T485" s="371"/>
      <c r="U485" s="369"/>
      <c r="V485" s="369"/>
      <c r="W485" s="369"/>
      <c r="X485" s="372"/>
      <c r="Y485" s="367"/>
      <c r="Z485" s="369"/>
      <c r="AA485" s="372"/>
      <c r="AB485" s="372"/>
      <c r="AC485" s="371"/>
      <c r="AD485" s="367"/>
      <c r="AE485" s="367"/>
      <c r="AF485" s="372"/>
      <c r="AG485" s="367"/>
      <c r="AH485" s="367"/>
      <c r="AI485" s="367"/>
      <c r="AJ485" s="367"/>
      <c r="AK485" s="373"/>
      <c r="AL485" s="373"/>
      <c r="AM485" s="373"/>
      <c r="AN485" s="373"/>
      <c r="AO485" s="314" t="str">
        <f t="shared" si="1004"/>
        <v> </v>
      </c>
      <c r="AP485" s="374">
        <f t="shared" si="1005"/>
        <v>0</v>
      </c>
      <c r="AQ485" s="316" t="str">
        <f t="shared" si="1006"/>
        <v> </v>
      </c>
    </row>
    <row r="486" ht="29.25" customHeight="1" outlineLevel="1" spans="1:43">
      <c r="B486" s="317">
        <v>0.437511574074074</v>
      </c>
      <c r="C486" s="293" t="str">
        <f t="shared" ref="C486:G486" si="1009">TEXT(IF($B486=0," ",$B486-C$6),"hh:mm am/pm")</f>
        <v>08:30 001/p1</v>
      </c>
      <c r="D486" s="293" t="str">
        <f t="shared" si="1009"/>
        <v>06:30 001/p1</v>
      </c>
      <c r="E486" s="293" t="str">
        <f t="shared" si="1009"/>
        <v>07:30 001/p1</v>
      </c>
      <c r="F486" s="293" t="str">
        <f t="shared" si="1009"/>
        <v>08:30 001/p1</v>
      </c>
      <c r="G486" s="293" t="str">
        <f t="shared" si="1009"/>
        <v>09:30 001/p1</v>
      </c>
      <c r="H486" s="293" t="str">
        <f t="shared" ref="H486:I486" si="1010">TEXT(IF($B486=0," ",$B486+H$6),"hh:mm am/pm")</f>
        <v>16:30 001/p1</v>
      </c>
      <c r="I486" s="293" t="str">
        <f t="shared" si="1010"/>
        <v>21:30 001/p1</v>
      </c>
      <c r="J486" s="423" t="str">
        <f>L394</f>
        <v>#AS WarmUp</v>
      </c>
      <c r="K486" s="424"/>
      <c r="L486" s="425" t="s">
        <v>200</v>
      </c>
      <c r="M486" s="408" t="s">
        <v>196</v>
      </c>
      <c r="N486" s="409" t="s">
        <v>57</v>
      </c>
      <c r="O486" s="410" t="s">
        <v>74</v>
      </c>
      <c r="P486" s="411" t="s">
        <v>75</v>
      </c>
      <c r="Q486" s="412">
        <f t="shared" ref="Q486:Q487" si="1011">22*5</f>
        <v>110</v>
      </c>
      <c r="R486" s="409" t="s">
        <v>60</v>
      </c>
      <c r="S486" s="426"/>
      <c r="T486" s="414">
        <v>0.1</v>
      </c>
      <c r="U486" s="409" t="s">
        <v>62</v>
      </c>
      <c r="V486" s="409">
        <v>1.2</v>
      </c>
      <c r="W486" s="409">
        <v>1.2</v>
      </c>
      <c r="X486" s="415"/>
      <c r="Y486" s="416" t="s">
        <v>79</v>
      </c>
      <c r="Z486" s="409">
        <v>1.2</v>
      </c>
      <c r="AA486" s="417">
        <v>20000</v>
      </c>
      <c r="AB486" s="417" t="s">
        <v>65</v>
      </c>
      <c r="AC486" s="414">
        <v>0.05</v>
      </c>
      <c r="AD486" s="414">
        <v>0</v>
      </c>
      <c r="AE486" s="418" t="s">
        <v>88</v>
      </c>
      <c r="AF486" s="419">
        <v>10000</v>
      </c>
      <c r="AG486" s="420">
        <v>5</v>
      </c>
      <c r="AH486" s="420">
        <v>5</v>
      </c>
      <c r="AI486" s="420">
        <v>4</v>
      </c>
      <c r="AJ486" s="418">
        <v>9</v>
      </c>
      <c r="AK486" s="421" t="s">
        <v>67</v>
      </c>
      <c r="AL486" s="428" t="s">
        <v>68</v>
      </c>
      <c r="AM486" s="422" t="s">
        <v>197</v>
      </c>
      <c r="AN486" s="403" t="s">
        <v>198</v>
      </c>
      <c r="AO486" s="314">
        <f t="shared" si="1004"/>
        <v>0.468761574074074</v>
      </c>
      <c r="AP486" s="315">
        <f t="shared" si="1005"/>
        <v>97</v>
      </c>
      <c r="AQ486" s="316" t="str">
        <f t="shared" si="1006"/>
        <v>MICRO</v>
      </c>
    </row>
    <row r="487" ht="29.25" customHeight="1" outlineLevel="1" spans="1:43">
      <c r="B487" s="317">
        <v>0.479178240740741</v>
      </c>
      <c r="C487" s="293" t="str">
        <f t="shared" ref="C487:G487" si="1012">TEXT(IF($B487=0," ",$B487-C$6),"hh:mm am/pm")</f>
        <v>09:30 001/p1</v>
      </c>
      <c r="D487" s="293" t="str">
        <f t="shared" si="1012"/>
        <v>07:30 001/p1</v>
      </c>
      <c r="E487" s="293" t="str">
        <f t="shared" si="1012"/>
        <v>08:30 001/p1</v>
      </c>
      <c r="F487" s="293" t="str">
        <f t="shared" si="1012"/>
        <v>09:30 001/p1</v>
      </c>
      <c r="G487" s="293" t="str">
        <f t="shared" si="1012"/>
        <v>10:30 001/p1</v>
      </c>
      <c r="H487" s="293" t="str">
        <f t="shared" ref="H487:I487" si="1013">TEXT(IF($B487=0," ",$B487+H$6),"hh:mm am/pm")</f>
        <v>17:30 001/p1</v>
      </c>
      <c r="I487" s="293" t="str">
        <f t="shared" si="1013"/>
        <v>22:30 001/p1</v>
      </c>
      <c r="J487" s="124"/>
      <c r="K487" s="406"/>
      <c r="L487" s="407" t="s">
        <v>200</v>
      </c>
      <c r="M487" s="408" t="s">
        <v>196</v>
      </c>
      <c r="N487" s="409" t="s">
        <v>57</v>
      </c>
      <c r="O487" s="410" t="s">
        <v>74</v>
      </c>
      <c r="P487" s="411" t="s">
        <v>75</v>
      </c>
      <c r="Q487" s="412">
        <f t="shared" si="1011"/>
        <v>110</v>
      </c>
      <c r="R487" s="409" t="s">
        <v>60</v>
      </c>
      <c r="S487" s="426"/>
      <c r="T487" s="414">
        <v>0.1</v>
      </c>
      <c r="U487" s="409" t="s">
        <v>62</v>
      </c>
      <c r="V487" s="409">
        <v>1.2</v>
      </c>
      <c r="W487" s="409">
        <v>1.2</v>
      </c>
      <c r="X487" s="415"/>
      <c r="Y487" s="416" t="s">
        <v>79</v>
      </c>
      <c r="Z487" s="409">
        <v>1.2</v>
      </c>
      <c r="AA487" s="417">
        <v>20000</v>
      </c>
      <c r="AB487" s="417" t="s">
        <v>65</v>
      </c>
      <c r="AC487" s="414">
        <v>0.05</v>
      </c>
      <c r="AD487" s="414">
        <v>0</v>
      </c>
      <c r="AE487" s="418" t="s">
        <v>88</v>
      </c>
      <c r="AF487" s="419">
        <v>10000</v>
      </c>
      <c r="AG487" s="420">
        <v>4</v>
      </c>
      <c r="AH487" s="420">
        <v>4</v>
      </c>
      <c r="AI487" s="420">
        <v>4</v>
      </c>
      <c r="AJ487" s="418">
        <v>9</v>
      </c>
      <c r="AK487" s="429" t="s">
        <v>67</v>
      </c>
      <c r="AL487" s="428" t="s">
        <v>68</v>
      </c>
      <c r="AM487" s="422" t="s">
        <v>197</v>
      </c>
      <c r="AN487" s="403" t="s">
        <v>198</v>
      </c>
      <c r="AO487" s="314">
        <f t="shared" si="1004"/>
        <v>0.504178240740741</v>
      </c>
      <c r="AP487" s="315">
        <f t="shared" si="1005"/>
        <v>97</v>
      </c>
      <c r="AQ487" s="316" t="str">
        <f t="shared" si="1006"/>
        <v>MICRO</v>
      </c>
    </row>
    <row r="488" ht="29.25" customHeight="1" outlineLevel="1" spans="1:43">
      <c r="A488" s="363"/>
      <c r="B488" s="365"/>
      <c r="C488" s="293" t="str">
        <f t="shared" ref="C488:G488" si="1014">TEXT(IF($B488=0," ",$B488-C$6),"hh:mm am/pm")</f>
        <v> </v>
      </c>
      <c r="D488" s="293" t="str">
        <f t="shared" si="1014"/>
        <v> </v>
      </c>
      <c r="E488" s="293" t="str">
        <f t="shared" si="1014"/>
        <v> </v>
      </c>
      <c r="F488" s="293" t="str">
        <f t="shared" si="1014"/>
        <v> </v>
      </c>
      <c r="G488" s="293" t="str">
        <f t="shared" si="1014"/>
        <v> </v>
      </c>
      <c r="H488" s="293" t="str">
        <f t="shared" ref="H488:I488" si="1015">TEXT(IF($B488=0," ",$B488+H$6),"hh:mm am/pm")</f>
        <v> </v>
      </c>
      <c r="I488" s="293" t="str">
        <f t="shared" si="1015"/>
        <v> </v>
      </c>
      <c r="J488" s="485"/>
      <c r="K488" s="366"/>
      <c r="L488" s="366"/>
      <c r="M488" s="368"/>
      <c r="N488" s="369"/>
      <c r="O488" s="370"/>
      <c r="P488" s="370"/>
      <c r="Q488" s="369"/>
      <c r="R488" s="369"/>
      <c r="S488" s="369"/>
      <c r="T488" s="371"/>
      <c r="U488" s="369"/>
      <c r="V488" s="369"/>
      <c r="W488" s="369"/>
      <c r="X488" s="372"/>
      <c r="Y488" s="367"/>
      <c r="Z488" s="369"/>
      <c r="AA488" s="372"/>
      <c r="AB488" s="372"/>
      <c r="AC488" s="371"/>
      <c r="AD488" s="371"/>
      <c r="AE488" s="367"/>
      <c r="AF488" s="372"/>
      <c r="AG488" s="367"/>
      <c r="AH488" s="367"/>
      <c r="AI488" s="367"/>
      <c r="AJ488" s="367"/>
      <c r="AK488" s="373"/>
      <c r="AL488" s="373"/>
      <c r="AM488" s="373"/>
      <c r="AN488" s="373"/>
      <c r="AO488" s="383"/>
      <c r="AP488" s="374"/>
      <c r="AQ488" s="383"/>
    </row>
    <row r="489" ht="29.25" customHeight="1" outlineLevel="1" spans="1:43">
      <c r="B489" s="317">
        <v>0.541678240740741</v>
      </c>
      <c r="C489" s="293" t="str">
        <f t="shared" ref="C489:G489" si="1016">TEXT(IF($B489=0," ",$B489-C$6),"hh:mm am/pm")</f>
        <v>11:00 001/p1</v>
      </c>
      <c r="D489" s="293" t="str">
        <f t="shared" si="1016"/>
        <v>09:00 001/p1</v>
      </c>
      <c r="E489" s="293" t="str">
        <f t="shared" si="1016"/>
        <v>10:00 001/p1</v>
      </c>
      <c r="F489" s="293" t="str">
        <f t="shared" si="1016"/>
        <v>11:00 001/p1</v>
      </c>
      <c r="G489" s="293" t="str">
        <f t="shared" si="1016"/>
        <v>12:00 001/p1</v>
      </c>
      <c r="H489" s="293" t="str">
        <f t="shared" ref="H489:I489" si="1017">TEXT(IF($B489=0," ",$B489+H$6),"hh:mm am/pm")</f>
        <v>19:00 001/p1</v>
      </c>
      <c r="I489" s="293" t="str">
        <f t="shared" si="1017"/>
        <v>00:00 001/p1</v>
      </c>
      <c r="J489" s="423" t="str">
        <f>L399</f>
        <v>#AS Battle HR+SPS</v>
      </c>
      <c r="K489" s="424"/>
      <c r="L489" s="425" t="s">
        <v>201</v>
      </c>
      <c r="M489" s="408" t="s">
        <v>196</v>
      </c>
      <c r="N489" s="409" t="s">
        <v>57</v>
      </c>
      <c r="O489" s="410" t="s">
        <v>74</v>
      </c>
      <c r="P489" s="411" t="s">
        <v>59</v>
      </c>
      <c r="Q489" s="412">
        <f>40*4</f>
        <v>160</v>
      </c>
      <c r="R489" s="414" t="s">
        <v>60</v>
      </c>
      <c r="S489" s="413"/>
      <c r="T489" s="414">
        <v>0.1</v>
      </c>
      <c r="U489" s="409" t="s">
        <v>62</v>
      </c>
      <c r="V489" s="409">
        <v>3</v>
      </c>
      <c r="W489" s="409">
        <v>3</v>
      </c>
      <c r="X489" s="415"/>
      <c r="Y489" s="416" t="s">
        <v>79</v>
      </c>
      <c r="Z489" s="409">
        <v>3</v>
      </c>
      <c r="AA489" s="417">
        <v>20000</v>
      </c>
      <c r="AB489" s="417" t="s">
        <v>65</v>
      </c>
      <c r="AC489" s="414">
        <v>0.05</v>
      </c>
      <c r="AD489" s="414">
        <v>0</v>
      </c>
      <c r="AE489" s="418" t="s">
        <v>88</v>
      </c>
      <c r="AF489" s="419">
        <v>10000</v>
      </c>
      <c r="AG489" s="420">
        <v>5</v>
      </c>
      <c r="AH489" s="420">
        <v>5</v>
      </c>
      <c r="AI489" s="420">
        <v>4</v>
      </c>
      <c r="AJ489" s="418">
        <v>9</v>
      </c>
      <c r="AK489" s="421" t="s">
        <v>67</v>
      </c>
      <c r="AL489" s="428" t="s">
        <v>68</v>
      </c>
      <c r="AM489" s="422" t="s">
        <v>197</v>
      </c>
      <c r="AN489" s="403" t="s">
        <v>198</v>
      </c>
      <c r="AO489" s="314">
        <f t="shared" ref="AO489:AO493" si="1018">IF(B489=0," ",TIME(,ROUNDDOWN(AG489*AJ489/60,0)*5+(AG489*AJ489),)+B489)</f>
        <v>0.572928240740741</v>
      </c>
      <c r="AP489" s="315">
        <f t="shared" ref="AP489:AP493" si="1019">IF(Q489=0,,ROUNDUP(Q489/(V489*(1-AC489-AD489)),0))</f>
        <v>57</v>
      </c>
      <c r="AQ489" s="316" t="str">
        <f t="shared" ref="AQ489:AQ493" si="1020">IFERROR(IF(V489=0," ",IF(V489&lt;=5,"MICRO",IF(V489&lt;=19.8,"LOW",IF(V489&lt;=99.8,"MEDIUM",IF(V489&lt;=500,"HIGH",IF(V489&gt;500,"SUPER HIGH",)))))),"")</f>
        <v>MICRO</v>
      </c>
    </row>
    <row r="490" ht="29.25" customHeight="1" outlineLevel="1" spans="1:43">
      <c r="A490" s="363" t="s">
        <v>352</v>
      </c>
      <c r="B490" s="317">
        <v>0.583344907407407</v>
      </c>
      <c r="C490" s="293" t="str">
        <f t="shared" ref="C490:G490" si="1021">TEXT(IF($B490=0," ",$B490-C$6),"hh:mm am/pm")</f>
        <v>12:00 001/p1</v>
      </c>
      <c r="D490" s="293" t="str">
        <f t="shared" si="1021"/>
        <v>10:00 001/p1</v>
      </c>
      <c r="E490" s="293" t="str">
        <f t="shared" si="1021"/>
        <v>11:00 001/p1</v>
      </c>
      <c r="F490" s="293" t="str">
        <f t="shared" si="1021"/>
        <v>12:00 001/p1</v>
      </c>
      <c r="G490" s="293" t="str">
        <f t="shared" si="1021"/>
        <v>13:00 001/p1</v>
      </c>
      <c r="H490" s="293" t="str">
        <f t="shared" ref="H490:I490" si="1022">TEXT(IF($B490=0," ",$B490+H$6),"hh:mm am/pm")</f>
        <v>20:00 001/p1</v>
      </c>
      <c r="I490" s="293" t="str">
        <f t="shared" si="1022"/>
        <v>01:00 001/p1</v>
      </c>
      <c r="J490" s="29"/>
      <c r="K490" s="431"/>
      <c r="L490" s="432" t="s">
        <v>202</v>
      </c>
      <c r="M490" s="408" t="s">
        <v>196</v>
      </c>
      <c r="N490" s="409" t="s">
        <v>57</v>
      </c>
      <c r="O490" s="410" t="s">
        <v>74</v>
      </c>
      <c r="P490" s="411" t="s">
        <v>59</v>
      </c>
      <c r="Q490" s="412">
        <f>40*6</f>
        <v>240</v>
      </c>
      <c r="R490" s="414" t="s">
        <v>60</v>
      </c>
      <c r="S490" s="413"/>
      <c r="T490" s="414">
        <v>0.1</v>
      </c>
      <c r="U490" s="409" t="s">
        <v>62</v>
      </c>
      <c r="V490" s="409">
        <v>3</v>
      </c>
      <c r="W490" s="409">
        <v>3</v>
      </c>
      <c r="X490" s="415"/>
      <c r="Y490" s="416" t="s">
        <v>79</v>
      </c>
      <c r="Z490" s="409">
        <v>3</v>
      </c>
      <c r="AA490" s="417">
        <v>20000</v>
      </c>
      <c r="AB490" s="417" t="s">
        <v>65</v>
      </c>
      <c r="AC490" s="414">
        <v>0.05</v>
      </c>
      <c r="AD490" s="414">
        <v>0</v>
      </c>
      <c r="AE490" s="418" t="s">
        <v>88</v>
      </c>
      <c r="AF490" s="419">
        <v>10000</v>
      </c>
      <c r="AG490" s="420">
        <v>5</v>
      </c>
      <c r="AH490" s="420">
        <v>5</v>
      </c>
      <c r="AI490" s="420">
        <v>4</v>
      </c>
      <c r="AJ490" s="418">
        <v>9</v>
      </c>
      <c r="AK490" s="421" t="s">
        <v>67</v>
      </c>
      <c r="AL490" s="428" t="s">
        <v>68</v>
      </c>
      <c r="AM490" s="422" t="s">
        <v>197</v>
      </c>
      <c r="AN490" s="403" t="s">
        <v>198</v>
      </c>
      <c r="AO490" s="314">
        <f t="shared" si="1018"/>
        <v>0.614594907407407</v>
      </c>
      <c r="AP490" s="315">
        <f t="shared" si="1019"/>
        <v>85</v>
      </c>
      <c r="AQ490" s="316" t="str">
        <f t="shared" si="1020"/>
        <v>MICRO</v>
      </c>
    </row>
    <row r="491" ht="29.25" customHeight="1" outlineLevel="1" spans="1:43">
      <c r="B491" s="317">
        <v>0.625011574074074</v>
      </c>
      <c r="C491" s="293" t="str">
        <f t="shared" ref="C491:G491" si="1023">TEXT(IF($B491=0," ",$B491-C$6),"hh:mm am/pm")</f>
        <v>13:00 001/p1</v>
      </c>
      <c r="D491" s="293" t="str">
        <f t="shared" si="1023"/>
        <v>11:00 001/p1</v>
      </c>
      <c r="E491" s="293" t="str">
        <f t="shared" si="1023"/>
        <v>12:00 001/p1</v>
      </c>
      <c r="F491" s="293" t="str">
        <f t="shared" si="1023"/>
        <v>13:00 001/p1</v>
      </c>
      <c r="G491" s="293" t="str">
        <f t="shared" si="1023"/>
        <v>14:00 001/p1</v>
      </c>
      <c r="H491" s="293" t="str">
        <f t="shared" ref="H491:I491" si="1024">TEXT(IF($B491=0," ",$B491+H$6),"hh:mm am/pm")</f>
        <v>21:00 001/p1</v>
      </c>
      <c r="I491" s="293" t="str">
        <f t="shared" si="1024"/>
        <v>02:00 001/p1</v>
      </c>
      <c r="J491" s="29"/>
      <c r="K491" s="431"/>
      <c r="L491" s="432" t="s">
        <v>203</v>
      </c>
      <c r="M491" s="408" t="s">
        <v>196</v>
      </c>
      <c r="N491" s="409" t="s">
        <v>57</v>
      </c>
      <c r="O491" s="410" t="s">
        <v>74</v>
      </c>
      <c r="P491" s="411" t="s">
        <v>59</v>
      </c>
      <c r="Q491" s="412">
        <f>40*7</f>
        <v>280</v>
      </c>
      <c r="R491" s="414" t="s">
        <v>60</v>
      </c>
      <c r="S491" s="413"/>
      <c r="T491" s="414">
        <v>0.1</v>
      </c>
      <c r="U491" s="409" t="s">
        <v>62</v>
      </c>
      <c r="V491" s="409">
        <v>3</v>
      </c>
      <c r="W491" s="409">
        <v>3</v>
      </c>
      <c r="X491" s="415"/>
      <c r="Y491" s="416" t="s">
        <v>79</v>
      </c>
      <c r="Z491" s="409">
        <v>3</v>
      </c>
      <c r="AA491" s="417">
        <v>20000</v>
      </c>
      <c r="AB491" s="417" t="s">
        <v>65</v>
      </c>
      <c r="AC491" s="414">
        <v>0.05</v>
      </c>
      <c r="AD491" s="414">
        <v>0</v>
      </c>
      <c r="AE491" s="418" t="s">
        <v>88</v>
      </c>
      <c r="AF491" s="419">
        <v>10000</v>
      </c>
      <c r="AG491" s="420">
        <v>5</v>
      </c>
      <c r="AH491" s="420">
        <v>5</v>
      </c>
      <c r="AI491" s="420">
        <v>4</v>
      </c>
      <c r="AJ491" s="418">
        <v>9</v>
      </c>
      <c r="AK491" s="421" t="s">
        <v>67</v>
      </c>
      <c r="AL491" s="428" t="s">
        <v>68</v>
      </c>
      <c r="AM491" s="422" t="s">
        <v>197</v>
      </c>
      <c r="AN491" s="403" t="s">
        <v>198</v>
      </c>
      <c r="AO491" s="314">
        <f t="shared" si="1018"/>
        <v>0.656261574074074</v>
      </c>
      <c r="AP491" s="315">
        <f t="shared" si="1019"/>
        <v>99</v>
      </c>
      <c r="AQ491" s="316" t="str">
        <f t="shared" si="1020"/>
        <v>MICRO</v>
      </c>
    </row>
    <row r="492" ht="29.25" customHeight="1" outlineLevel="1" spans="1:43">
      <c r="B492" s="317">
        <v>0.666678240740741</v>
      </c>
      <c r="C492" s="293" t="str">
        <f t="shared" ref="C492:G492" si="1025">TEXT(IF($B492=0," ",$B492-C$6),"hh:mm am/pm")</f>
        <v>14:00 001/p1</v>
      </c>
      <c r="D492" s="293" t="str">
        <f t="shared" si="1025"/>
        <v>12:00 001/p1</v>
      </c>
      <c r="E492" s="293" t="str">
        <f t="shared" si="1025"/>
        <v>13:00 001/p1</v>
      </c>
      <c r="F492" s="293" t="str">
        <f t="shared" si="1025"/>
        <v>14:00 001/p1</v>
      </c>
      <c r="G492" s="293" t="str">
        <f t="shared" si="1025"/>
        <v>15:00 001/p1</v>
      </c>
      <c r="H492" s="293" t="str">
        <f t="shared" ref="H492:I492" si="1026">TEXT(IF($B492=0," ",$B492+H$6),"hh:mm am/pm")</f>
        <v>22:00 001/p1</v>
      </c>
      <c r="I492" s="293" t="str">
        <f t="shared" si="1026"/>
        <v>03:00 001/p1</v>
      </c>
      <c r="J492" s="29"/>
      <c r="K492" s="431"/>
      <c r="L492" s="432" t="s">
        <v>204</v>
      </c>
      <c r="M492" s="408" t="s">
        <v>196</v>
      </c>
      <c r="N492" s="409" t="s">
        <v>57</v>
      </c>
      <c r="O492" s="410" t="s">
        <v>74</v>
      </c>
      <c r="P492" s="411" t="s">
        <v>59</v>
      </c>
      <c r="Q492" s="412">
        <f>40*8</f>
        <v>320</v>
      </c>
      <c r="R492" s="414" t="s">
        <v>60</v>
      </c>
      <c r="S492" s="413"/>
      <c r="T492" s="414">
        <v>0.1</v>
      </c>
      <c r="U492" s="409" t="s">
        <v>62</v>
      </c>
      <c r="V492" s="409">
        <v>3</v>
      </c>
      <c r="W492" s="409">
        <v>3</v>
      </c>
      <c r="X492" s="415"/>
      <c r="Y492" s="416" t="s">
        <v>79</v>
      </c>
      <c r="Z492" s="409">
        <v>3</v>
      </c>
      <c r="AA492" s="417">
        <v>20000</v>
      </c>
      <c r="AB492" s="417" t="s">
        <v>65</v>
      </c>
      <c r="AC492" s="414">
        <v>0.05</v>
      </c>
      <c r="AD492" s="414">
        <v>0</v>
      </c>
      <c r="AE492" s="418" t="s">
        <v>88</v>
      </c>
      <c r="AF492" s="419">
        <v>10000</v>
      </c>
      <c r="AG492" s="420">
        <v>4</v>
      </c>
      <c r="AH492" s="420">
        <v>4</v>
      </c>
      <c r="AI492" s="420">
        <v>4</v>
      </c>
      <c r="AJ492" s="418">
        <v>9</v>
      </c>
      <c r="AK492" s="421" t="s">
        <v>67</v>
      </c>
      <c r="AL492" s="428" t="s">
        <v>68</v>
      </c>
      <c r="AM492" s="422" t="s">
        <v>197</v>
      </c>
      <c r="AN492" s="403" t="s">
        <v>198</v>
      </c>
      <c r="AO492" s="314">
        <f t="shared" si="1018"/>
        <v>0.691678240740741</v>
      </c>
      <c r="AP492" s="315">
        <f t="shared" si="1019"/>
        <v>113</v>
      </c>
      <c r="AQ492" s="316" t="str">
        <f t="shared" si="1020"/>
        <v>MICRO</v>
      </c>
    </row>
    <row r="493" ht="29.25" customHeight="1" outlineLevel="1" spans="1:43">
      <c r="A493" s="363"/>
      <c r="B493" s="317">
        <v>0.729178240740741</v>
      </c>
      <c r="C493" s="293" t="str">
        <f t="shared" ref="C493:G493" si="1027">TEXT(IF($B493=0," ",$B493-C$6),"hh:mm am/pm")</f>
        <v>15:30 001/p1</v>
      </c>
      <c r="D493" s="293" t="str">
        <f t="shared" si="1027"/>
        <v>13:30 001/p1</v>
      </c>
      <c r="E493" s="293" t="str">
        <f t="shared" si="1027"/>
        <v>14:30 001/p1</v>
      </c>
      <c r="F493" s="293" t="str">
        <f t="shared" si="1027"/>
        <v>15:30 001/p1</v>
      </c>
      <c r="G493" s="293" t="str">
        <f t="shared" si="1027"/>
        <v>16:30 001/p1</v>
      </c>
      <c r="H493" s="293" t="str">
        <f t="shared" ref="H493:I493" si="1028">TEXT(IF($B493=0," ",$B493+H$6),"hh:mm am/pm")</f>
        <v>23:30 001/p1</v>
      </c>
      <c r="I493" s="293" t="str">
        <f t="shared" si="1028"/>
        <v>04:30 001/p1</v>
      </c>
      <c r="J493" s="124"/>
      <c r="K493" s="406"/>
      <c r="L493" s="407" t="s">
        <v>280</v>
      </c>
      <c r="M493" s="408" t="s">
        <v>196</v>
      </c>
      <c r="N493" s="409" t="s">
        <v>57</v>
      </c>
      <c r="O493" s="410" t="s">
        <v>74</v>
      </c>
      <c r="P493" s="411" t="s">
        <v>59</v>
      </c>
      <c r="Q493" s="412">
        <f>40*15</f>
        <v>600</v>
      </c>
      <c r="R493" s="414" t="s">
        <v>60</v>
      </c>
      <c r="S493" s="413"/>
      <c r="T493" s="414">
        <v>0.1</v>
      </c>
      <c r="U493" s="409" t="s">
        <v>62</v>
      </c>
      <c r="V493" s="409">
        <v>3</v>
      </c>
      <c r="W493" s="409">
        <v>3</v>
      </c>
      <c r="X493" s="415"/>
      <c r="Y493" s="416" t="s">
        <v>79</v>
      </c>
      <c r="Z493" s="409">
        <v>4</v>
      </c>
      <c r="AA493" s="417">
        <v>20000</v>
      </c>
      <c r="AB493" s="417" t="s">
        <v>65</v>
      </c>
      <c r="AC493" s="414">
        <v>0.05</v>
      </c>
      <c r="AD493" s="414">
        <v>0</v>
      </c>
      <c r="AE493" s="418" t="s">
        <v>88</v>
      </c>
      <c r="AF493" s="419">
        <v>10000</v>
      </c>
      <c r="AG493" s="420">
        <v>4</v>
      </c>
      <c r="AH493" s="420">
        <v>4</v>
      </c>
      <c r="AI493" s="420">
        <v>4</v>
      </c>
      <c r="AJ493" s="418">
        <v>9</v>
      </c>
      <c r="AK493" s="421" t="s">
        <v>67</v>
      </c>
      <c r="AL493" s="428" t="s">
        <v>68</v>
      </c>
      <c r="AM493" s="422" t="s">
        <v>197</v>
      </c>
      <c r="AN493" s="403" t="s">
        <v>198</v>
      </c>
      <c r="AO493" s="314">
        <f t="shared" si="1018"/>
        <v>0.754178240740741</v>
      </c>
      <c r="AP493" s="315">
        <f t="shared" si="1019"/>
        <v>211</v>
      </c>
      <c r="AQ493" s="316" t="str">
        <f t="shared" si="1020"/>
        <v>MICRO</v>
      </c>
    </row>
    <row r="494" ht="29.25" customHeight="1" outlineLevel="1" spans="1:43">
      <c r="A494" s="363" t="s">
        <v>352</v>
      </c>
      <c r="B494" s="365"/>
      <c r="C494" s="293" t="str">
        <f t="shared" ref="C494:G494" si="1029">TEXT(IF($B494=0," ",$B494-C$6),"hh:mm am/pm")</f>
        <v> </v>
      </c>
      <c r="D494" s="293" t="str">
        <f t="shared" si="1029"/>
        <v> </v>
      </c>
      <c r="E494" s="293" t="str">
        <f t="shared" si="1029"/>
        <v> </v>
      </c>
      <c r="F494" s="293" t="str">
        <f t="shared" si="1029"/>
        <v> </v>
      </c>
      <c r="G494" s="293" t="str">
        <f t="shared" si="1029"/>
        <v> </v>
      </c>
      <c r="H494" s="293" t="str">
        <f t="shared" ref="H494:I494" si="1030">TEXT(IF($B494=0," ",$B494+H$6),"hh:mm am/pm")</f>
        <v> </v>
      </c>
      <c r="I494" s="293" t="str">
        <f t="shared" si="1030"/>
        <v> </v>
      </c>
      <c r="J494" s="344"/>
      <c r="K494" s="367"/>
      <c r="L494" s="367"/>
      <c r="M494" s="368"/>
      <c r="N494" s="369"/>
      <c r="O494" s="370"/>
      <c r="P494" s="370"/>
      <c r="Q494" s="369"/>
      <c r="R494" s="369"/>
      <c r="S494" s="369"/>
      <c r="T494" s="371"/>
      <c r="U494" s="369"/>
      <c r="V494" s="369"/>
      <c r="W494" s="369"/>
      <c r="X494" s="372"/>
      <c r="Y494" s="367"/>
      <c r="Z494" s="369"/>
      <c r="AA494" s="372"/>
      <c r="AB494" s="372"/>
      <c r="AC494" s="371"/>
      <c r="AD494" s="371"/>
      <c r="AE494" s="367"/>
      <c r="AF494" s="372"/>
      <c r="AG494" s="367"/>
      <c r="AH494" s="367"/>
      <c r="AI494" s="367"/>
      <c r="AJ494" s="367"/>
      <c r="AK494" s="373"/>
      <c r="AL494" s="373"/>
      <c r="AM494" s="373"/>
      <c r="AN494" s="373"/>
      <c r="AO494" s="383"/>
      <c r="AP494" s="374"/>
      <c r="AQ494" s="383"/>
    </row>
    <row r="495" ht="29.25" customHeight="1" outlineLevel="1" spans="1:43">
      <c r="B495" s="317">
        <v>0.645844907407407</v>
      </c>
      <c r="C495" s="293" t="str">
        <f t="shared" ref="C495:G495" si="1031">TEXT(IF($B495=0," ",$B495-C$6),"hh:mm am/pm")</f>
        <v>13:30 001/p1</v>
      </c>
      <c r="D495" s="293" t="str">
        <f t="shared" si="1031"/>
        <v>11:30 001/p1</v>
      </c>
      <c r="E495" s="293" t="str">
        <f t="shared" si="1031"/>
        <v>12:30 001/p1</v>
      </c>
      <c r="F495" s="293" t="str">
        <f t="shared" si="1031"/>
        <v>13:30 001/p1</v>
      </c>
      <c r="G495" s="293" t="str">
        <f t="shared" si="1031"/>
        <v>14:30 001/p1</v>
      </c>
      <c r="H495" s="293" t="str">
        <f t="shared" ref="H495:I495" si="1032">TEXT(IF($B495=0," ",$B495+H$6),"hh:mm am/pm")</f>
        <v>21:30 001/p1</v>
      </c>
      <c r="I495" s="293" t="str">
        <f t="shared" si="1032"/>
        <v>02:30 001/p1</v>
      </c>
      <c r="J495" s="433" t="str">
        <f>L397</f>
        <v>#AS Battle+SPS</v>
      </c>
      <c r="K495" s="385"/>
      <c r="L495" s="386" t="s">
        <v>208</v>
      </c>
      <c r="M495" s="408" t="s">
        <v>196</v>
      </c>
      <c r="N495" s="409" t="s">
        <v>57</v>
      </c>
      <c r="O495" s="410" t="s">
        <v>74</v>
      </c>
      <c r="P495" s="411" t="s">
        <v>75</v>
      </c>
      <c r="Q495" s="412">
        <f>11*8</f>
        <v>88</v>
      </c>
      <c r="R495" s="414" t="s">
        <v>60</v>
      </c>
      <c r="S495" s="413"/>
      <c r="T495" s="414">
        <v>0.1</v>
      </c>
      <c r="U495" s="409" t="s">
        <v>62</v>
      </c>
      <c r="V495" s="409">
        <v>0.8</v>
      </c>
      <c r="W495" s="409">
        <v>0.8</v>
      </c>
      <c r="X495" s="415"/>
      <c r="Y495" s="416" t="s">
        <v>79</v>
      </c>
      <c r="Z495" s="409">
        <v>0.8</v>
      </c>
      <c r="AA495" s="417">
        <v>20000</v>
      </c>
      <c r="AB495" s="417" t="s">
        <v>65</v>
      </c>
      <c r="AC495" s="414">
        <v>0.05</v>
      </c>
      <c r="AD495" s="414">
        <v>0</v>
      </c>
      <c r="AE495" s="418" t="s">
        <v>88</v>
      </c>
      <c r="AF495" s="419">
        <v>10000</v>
      </c>
      <c r="AG495" s="420">
        <v>5</v>
      </c>
      <c r="AH495" s="420">
        <v>5</v>
      </c>
      <c r="AI495" s="420">
        <v>4</v>
      </c>
      <c r="AJ495" s="418">
        <v>9</v>
      </c>
      <c r="AK495" s="421" t="s">
        <v>67</v>
      </c>
      <c r="AL495" s="428" t="s">
        <v>68</v>
      </c>
      <c r="AM495" s="422" t="s">
        <v>197</v>
      </c>
      <c r="AN495" s="403" t="s">
        <v>198</v>
      </c>
      <c r="AO495" s="314">
        <f t="shared" ref="AO495:AO497" si="1033">IF(B495=0," ",TIME(,ROUNDDOWN(AG495*AJ495/60,0)*5+(AG495*AJ495),)+B495)</f>
        <v>0.677094907407407</v>
      </c>
      <c r="AP495" s="315">
        <f t="shared" ref="AP495:AP497" si="1034">IF(Q495=0,,ROUNDUP(Q495/(V495*(1-AC495-AD495)),0))</f>
        <v>116</v>
      </c>
      <c r="AQ495" s="316" t="str">
        <f t="shared" ref="AQ495:AQ497" si="1035">IFERROR(IF(V495=0," ",IF(V495&lt;=5,"MICRO",IF(V495&lt;=19.8,"LOW",IF(V495&lt;=99.8,"MEDIUM",IF(V495&lt;=500,"HIGH",IF(V495&gt;500,"SUPER HIGH",)))))),"")</f>
        <v>MICRO</v>
      </c>
    </row>
    <row r="496" ht="29.25" customHeight="1" outlineLevel="1" spans="1:43">
      <c r="A496" s="363" t="s">
        <v>352</v>
      </c>
      <c r="B496" s="365"/>
      <c r="C496" s="293" t="str">
        <f t="shared" ref="C496:G496" si="1036">TEXT(IF($B496=0," ",$B496-C$6),"hh:mm am/pm")</f>
        <v> </v>
      </c>
      <c r="D496" s="293" t="str">
        <f t="shared" si="1036"/>
        <v> </v>
      </c>
      <c r="E496" s="293" t="str">
        <f t="shared" si="1036"/>
        <v> </v>
      </c>
      <c r="F496" s="293" t="str">
        <f t="shared" si="1036"/>
        <v> </v>
      </c>
      <c r="G496" s="293" t="str">
        <f t="shared" si="1036"/>
        <v> </v>
      </c>
      <c r="H496" s="293" t="str">
        <f t="shared" ref="H496:I496" si="1037">TEXT(IF($B496=0," ",$B496+H$6),"hh:mm am/pm")</f>
        <v> </v>
      </c>
      <c r="I496" s="293" t="str">
        <f t="shared" si="1037"/>
        <v> </v>
      </c>
      <c r="J496" s="344"/>
      <c r="K496" s="367"/>
      <c r="L496" s="367"/>
      <c r="M496" s="368"/>
      <c r="N496" s="369"/>
      <c r="O496" s="370"/>
      <c r="P496" s="370"/>
      <c r="Q496" s="369"/>
      <c r="R496" s="369"/>
      <c r="S496" s="369"/>
      <c r="T496" s="371"/>
      <c r="U496" s="369"/>
      <c r="V496" s="369"/>
      <c r="W496" s="369"/>
      <c r="X496" s="372"/>
      <c r="Y496" s="367"/>
      <c r="Z496" s="369"/>
      <c r="AA496" s="372"/>
      <c r="AB496" s="372"/>
      <c r="AC496" s="371"/>
      <c r="AD496" s="371"/>
      <c r="AE496" s="367"/>
      <c r="AF496" s="372"/>
      <c r="AG496" s="367"/>
      <c r="AH496" s="367"/>
      <c r="AI496" s="367"/>
      <c r="AJ496" s="367"/>
      <c r="AK496" s="373"/>
      <c r="AL496" s="373"/>
      <c r="AM496" s="373"/>
      <c r="AN496" s="373"/>
      <c r="AO496" s="314" t="str">
        <f t="shared" si="1033"/>
        <v> </v>
      </c>
      <c r="AP496" s="374">
        <f t="shared" si="1034"/>
        <v>0</v>
      </c>
      <c r="AQ496" s="316" t="str">
        <f t="shared" si="1035"/>
        <v> </v>
      </c>
    </row>
    <row r="497" ht="29.25" customHeight="1" outlineLevel="1" spans="1:43">
      <c r="B497" s="317">
        <v>0.625011574074074</v>
      </c>
      <c r="C497" s="293" t="str">
        <f t="shared" ref="C497:G497" si="1038">TEXT(IF($B497=0," ",$B497-C$6),"hh:mm am/pm")</f>
        <v>13:00 001/p1</v>
      </c>
      <c r="D497" s="293" t="str">
        <f t="shared" si="1038"/>
        <v>11:00 001/p1</v>
      </c>
      <c r="E497" s="293" t="str">
        <f t="shared" si="1038"/>
        <v>12:00 001/p1</v>
      </c>
      <c r="F497" s="293" t="str">
        <f t="shared" si="1038"/>
        <v>13:00 001/p1</v>
      </c>
      <c r="G497" s="293" t="str">
        <f t="shared" si="1038"/>
        <v>14:00 001/p1</v>
      </c>
      <c r="H497" s="293" t="str">
        <f t="shared" ref="H497:I497" si="1039">TEXT(IF($B497=0," ",$B497+H$6),"hh:mm am/pm")</f>
        <v>21:00 001/p1</v>
      </c>
      <c r="I497" s="293" t="str">
        <f t="shared" si="1039"/>
        <v>02:00 001/p1</v>
      </c>
      <c r="J497" s="405" t="str">
        <f>L450</f>
        <v>#AS OmaX PKO</v>
      </c>
      <c r="K497" s="406"/>
      <c r="L497" s="407" t="s">
        <v>207</v>
      </c>
      <c r="M497" s="408" t="s">
        <v>196</v>
      </c>
      <c r="N497" s="409" t="s">
        <v>100</v>
      </c>
      <c r="O497" s="410" t="s">
        <v>74</v>
      </c>
      <c r="P497" s="411" t="s">
        <v>101</v>
      </c>
      <c r="Q497" s="412">
        <f>30*4</f>
        <v>120</v>
      </c>
      <c r="R497" s="414" t="s">
        <v>60</v>
      </c>
      <c r="S497" s="413"/>
      <c r="T497" s="414">
        <v>0.1</v>
      </c>
      <c r="U497" s="409" t="s">
        <v>62</v>
      </c>
      <c r="V497" s="409">
        <v>1.8</v>
      </c>
      <c r="W497" s="409">
        <v>1.8</v>
      </c>
      <c r="X497" s="415"/>
      <c r="Y497" s="416" t="s">
        <v>79</v>
      </c>
      <c r="Z497" s="409">
        <v>1.8</v>
      </c>
      <c r="AA497" s="417">
        <v>20000</v>
      </c>
      <c r="AB497" s="417" t="s">
        <v>65</v>
      </c>
      <c r="AC497" s="414">
        <v>0.05</v>
      </c>
      <c r="AD497" s="414">
        <v>0</v>
      </c>
      <c r="AE497" s="418" t="s">
        <v>88</v>
      </c>
      <c r="AF497" s="419">
        <v>10000</v>
      </c>
      <c r="AG497" s="420">
        <v>4</v>
      </c>
      <c r="AH497" s="420">
        <v>4</v>
      </c>
      <c r="AI497" s="420">
        <v>4</v>
      </c>
      <c r="AJ497" s="418">
        <v>9</v>
      </c>
      <c r="AK497" s="421" t="s">
        <v>67</v>
      </c>
      <c r="AL497" s="428" t="s">
        <v>68</v>
      </c>
      <c r="AM497" s="422" t="s">
        <v>197</v>
      </c>
      <c r="AN497" s="403" t="s">
        <v>198</v>
      </c>
      <c r="AO497" s="314">
        <f t="shared" si="1033"/>
        <v>0.650011574074074</v>
      </c>
      <c r="AP497" s="315">
        <f t="shared" si="1034"/>
        <v>71</v>
      </c>
      <c r="AQ497" s="316" t="str">
        <f t="shared" si="1035"/>
        <v>MICRO</v>
      </c>
    </row>
    <row r="498" ht="29.25" customHeight="1" outlineLevel="1" spans="1:43">
      <c r="B498" s="365"/>
      <c r="C498" s="293" t="str">
        <f t="shared" ref="C498:G498" si="1040">TEXT(IF($B498=0," ",$B498-C$6),"hh:mm am/pm")</f>
        <v> </v>
      </c>
      <c r="D498" s="293" t="str">
        <f t="shared" si="1040"/>
        <v> </v>
      </c>
      <c r="E498" s="293" t="str">
        <f t="shared" si="1040"/>
        <v> </v>
      </c>
      <c r="F498" s="293" t="str">
        <f t="shared" si="1040"/>
        <v> </v>
      </c>
      <c r="G498" s="293" t="str">
        <f t="shared" si="1040"/>
        <v> </v>
      </c>
      <c r="H498" s="293" t="str">
        <f t="shared" ref="H498:I498" si="1041">TEXT(IF($B498=0," ",$B498+H$6),"hh:mm am/pm")</f>
        <v> </v>
      </c>
      <c r="I498" s="293" t="str">
        <f t="shared" si="1041"/>
        <v> </v>
      </c>
      <c r="J498" s="344"/>
      <c r="K498" s="367"/>
      <c r="L498" s="367"/>
      <c r="M498" s="368"/>
      <c r="N498" s="369"/>
      <c r="O498" s="370"/>
      <c r="P498" s="370"/>
      <c r="Q498" s="369"/>
      <c r="R498" s="369"/>
      <c r="S498" s="369"/>
      <c r="T498" s="371"/>
      <c r="U498" s="369"/>
      <c r="V498" s="369"/>
      <c r="W498" s="369"/>
      <c r="X498" s="372"/>
      <c r="Y498" s="367"/>
      <c r="Z498" s="369"/>
      <c r="AA498" s="372"/>
      <c r="AB498" s="372"/>
      <c r="AC498" s="371"/>
      <c r="AD498" s="371"/>
      <c r="AE498" s="367"/>
      <c r="AF498" s="372"/>
      <c r="AG498" s="367"/>
      <c r="AH498" s="367"/>
      <c r="AI498" s="367"/>
      <c r="AJ498" s="367"/>
      <c r="AK498" s="373"/>
      <c r="AL498" s="373"/>
      <c r="AM498" s="373"/>
      <c r="AN498" s="373"/>
      <c r="AO498" s="383"/>
      <c r="AP498" s="374"/>
      <c r="AQ498" s="383"/>
    </row>
    <row r="499" ht="29.25" customHeight="1" outlineLevel="1" spans="1:43">
      <c r="A499" s="363"/>
      <c r="B499" s="317">
        <v>0.666678240740741</v>
      </c>
      <c r="C499" s="293" t="str">
        <f t="shared" ref="C499:G499" si="1042">TEXT(IF($B499=0," ",$B499-C$6),"hh:mm am/pm")</f>
        <v>14:00 001/p1</v>
      </c>
      <c r="D499" s="293" t="str">
        <f t="shared" si="1042"/>
        <v>12:00 001/p1</v>
      </c>
      <c r="E499" s="293" t="str">
        <f t="shared" si="1042"/>
        <v>13:00 001/p1</v>
      </c>
      <c r="F499" s="293" t="str">
        <f t="shared" si="1042"/>
        <v>14:00 001/p1</v>
      </c>
      <c r="G499" s="293" t="str">
        <f t="shared" si="1042"/>
        <v>15:00 001/p1</v>
      </c>
      <c r="H499" s="293" t="str">
        <f t="shared" ref="H499:I499" si="1043">TEXT(IF($B499=0," ",$B499+H$6),"hh:mm am/pm")</f>
        <v>22:00 001/p1</v>
      </c>
      <c r="I499" s="293" t="str">
        <f t="shared" si="1043"/>
        <v>03:00 001/p1</v>
      </c>
      <c r="J499" s="405" t="str">
        <f>L398</f>
        <v>#AS Mystery HR</v>
      </c>
      <c r="K499" s="406"/>
      <c r="L499" s="407" t="s">
        <v>378</v>
      </c>
      <c r="M499" s="408" t="s">
        <v>196</v>
      </c>
      <c r="N499" s="409" t="s">
        <v>57</v>
      </c>
      <c r="O499" s="410" t="s">
        <v>74</v>
      </c>
      <c r="P499" s="411" t="s">
        <v>59</v>
      </c>
      <c r="Q499" s="412">
        <f>110*6</f>
        <v>660</v>
      </c>
      <c r="R499" s="414" t="s">
        <v>60</v>
      </c>
      <c r="S499" s="413"/>
      <c r="T499" s="414">
        <v>0.1</v>
      </c>
      <c r="U499" s="409" t="s">
        <v>62</v>
      </c>
      <c r="V499" s="409">
        <v>6</v>
      </c>
      <c r="W499" s="409">
        <v>6</v>
      </c>
      <c r="X499" s="415"/>
      <c r="Y499" s="416" t="s">
        <v>79</v>
      </c>
      <c r="Z499" s="409">
        <v>6</v>
      </c>
      <c r="AA499" s="417">
        <v>20000</v>
      </c>
      <c r="AB499" s="417" t="s">
        <v>65</v>
      </c>
      <c r="AC499" s="414">
        <v>0.05</v>
      </c>
      <c r="AD499" s="414">
        <v>0</v>
      </c>
      <c r="AE499" s="418" t="s">
        <v>88</v>
      </c>
      <c r="AF499" s="419">
        <v>10000</v>
      </c>
      <c r="AG499" s="420">
        <v>4</v>
      </c>
      <c r="AH499" s="420">
        <v>4</v>
      </c>
      <c r="AI499" s="420">
        <v>4</v>
      </c>
      <c r="AJ499" s="418">
        <v>9</v>
      </c>
      <c r="AK499" s="421" t="s">
        <v>67</v>
      </c>
      <c r="AL499" s="428" t="s">
        <v>68</v>
      </c>
      <c r="AM499" s="422" t="s">
        <v>197</v>
      </c>
      <c r="AN499" s="403" t="s">
        <v>198</v>
      </c>
      <c r="AO499" s="314">
        <f t="shared" ref="AO499:AO505" si="1044">IF(B499=0," ",TIME(,ROUNDDOWN(AG499*AJ499/60,0)*5+(AG499*AJ499),)+B499)</f>
        <v>0.691678240740741</v>
      </c>
      <c r="AP499" s="315">
        <f t="shared" ref="AP499:AP505" si="1045">IF(Q499=0,,ROUNDUP(Q499/(V499*(1-AC499-AD499)),0))</f>
        <v>116</v>
      </c>
      <c r="AQ499" s="316" t="str">
        <f t="shared" ref="AQ499:AQ505" si="1046">IFERROR(IF(V499=0," ",IF(V499&lt;=5,"MICRO",IF(V499&lt;=19.8,"LOW",IF(V499&lt;=99.8,"MEDIUM",IF(V499&lt;=500,"HIGH",IF(V499&gt;500,"SUPER HIGH",)))))),"")</f>
        <v>LOW</v>
      </c>
    </row>
    <row r="500" ht="29.25" customHeight="1" outlineLevel="1" spans="1:43">
      <c r="A500" s="363" t="s">
        <v>352</v>
      </c>
      <c r="B500" s="365"/>
      <c r="C500" s="293" t="str">
        <f t="shared" ref="C500:G500" si="1047">TEXT(IF($B500=0," ",$B500-C$6),"hh:mm am/pm")</f>
        <v> </v>
      </c>
      <c r="D500" s="293" t="str">
        <f t="shared" si="1047"/>
        <v> </v>
      </c>
      <c r="E500" s="293" t="str">
        <f t="shared" si="1047"/>
        <v> </v>
      </c>
      <c r="F500" s="293" t="str">
        <f t="shared" si="1047"/>
        <v> </v>
      </c>
      <c r="G500" s="293" t="str">
        <f t="shared" si="1047"/>
        <v> </v>
      </c>
      <c r="H500" s="293" t="str">
        <f t="shared" ref="H500:I500" si="1048">TEXT(IF($B500=0," ",$B500+H$6),"hh:mm am/pm")</f>
        <v> </v>
      </c>
      <c r="I500" s="293" t="str">
        <f t="shared" si="1048"/>
        <v> </v>
      </c>
      <c r="J500" s="344"/>
      <c r="K500" s="367"/>
      <c r="L500" s="367"/>
      <c r="M500" s="368"/>
      <c r="N500" s="369"/>
      <c r="O500" s="370"/>
      <c r="P500" s="370"/>
      <c r="Q500" s="369"/>
      <c r="R500" s="369"/>
      <c r="S500" s="369"/>
      <c r="T500" s="371"/>
      <c r="U500" s="369"/>
      <c r="V500" s="369"/>
      <c r="W500" s="369"/>
      <c r="X500" s="372"/>
      <c r="Y500" s="367"/>
      <c r="Z500" s="369"/>
      <c r="AA500" s="372"/>
      <c r="AB500" s="372"/>
      <c r="AC500" s="371"/>
      <c r="AD500" s="371"/>
      <c r="AE500" s="367"/>
      <c r="AF500" s="372"/>
      <c r="AG500" s="367"/>
      <c r="AH500" s="367"/>
      <c r="AI500" s="367"/>
      <c r="AJ500" s="367"/>
      <c r="AK500" s="373"/>
      <c r="AL500" s="373"/>
      <c r="AM500" s="373"/>
      <c r="AN500" s="373"/>
      <c r="AO500" s="314" t="str">
        <f t="shared" si="1044"/>
        <v> </v>
      </c>
      <c r="AP500" s="374">
        <f t="shared" si="1045"/>
        <v>0</v>
      </c>
      <c r="AQ500" s="316" t="str">
        <f t="shared" si="1046"/>
        <v> </v>
      </c>
    </row>
    <row r="501" ht="29.25" customHeight="1" outlineLevel="1" spans="1:43">
      <c r="B501" s="317">
        <v>0.708344907407407</v>
      </c>
      <c r="C501" s="293" t="str">
        <f t="shared" ref="C501:G501" si="1049">TEXT(IF($B501=0," ",$B501-C$6),"hh:mm am/pm")</f>
        <v>15:00 001/p1</v>
      </c>
      <c r="D501" s="293" t="str">
        <f t="shared" si="1049"/>
        <v>13:00 001/p1</v>
      </c>
      <c r="E501" s="293" t="str">
        <f t="shared" si="1049"/>
        <v>14:00 001/p1</v>
      </c>
      <c r="F501" s="293" t="str">
        <f t="shared" si="1049"/>
        <v>15:00 001/p1</v>
      </c>
      <c r="G501" s="293" t="str">
        <f t="shared" si="1049"/>
        <v>16:00 001/p1</v>
      </c>
      <c r="H501" s="293" t="str">
        <f t="shared" ref="H501:I501" si="1050">TEXT(IF($B501=0," ",$B501+H$6),"hh:mm am/pm")</f>
        <v>23:00 001/p1</v>
      </c>
      <c r="I501" s="293" t="str">
        <f t="shared" si="1050"/>
        <v>04:00 001/p1</v>
      </c>
      <c r="J501" s="405" t="str">
        <f>L401</f>
        <v>OmaX SHR</v>
      </c>
      <c r="K501" s="406"/>
      <c r="L501" s="407" t="s">
        <v>379</v>
      </c>
      <c r="M501" s="408" t="s">
        <v>196</v>
      </c>
      <c r="N501" s="409" t="s">
        <v>100</v>
      </c>
      <c r="O501" s="410" t="s">
        <v>74</v>
      </c>
      <c r="P501" s="411" t="s">
        <v>101</v>
      </c>
      <c r="Q501" s="412">
        <f>300*5</f>
        <v>1500</v>
      </c>
      <c r="R501" s="414" t="s">
        <v>60</v>
      </c>
      <c r="S501" s="413"/>
      <c r="T501" s="414">
        <v>0.1</v>
      </c>
      <c r="U501" s="409" t="s">
        <v>62</v>
      </c>
      <c r="V501" s="409">
        <v>40</v>
      </c>
      <c r="W501" s="409">
        <v>40</v>
      </c>
      <c r="X501" s="415"/>
      <c r="Y501" s="416" t="s">
        <v>79</v>
      </c>
      <c r="Z501" s="426"/>
      <c r="AA501" s="417" t="s">
        <v>64</v>
      </c>
      <c r="AB501" s="417" t="s">
        <v>65</v>
      </c>
      <c r="AC501" s="414">
        <v>0.05</v>
      </c>
      <c r="AD501" s="414">
        <v>0</v>
      </c>
      <c r="AE501" s="418" t="s">
        <v>88</v>
      </c>
      <c r="AF501" s="419">
        <v>20000</v>
      </c>
      <c r="AG501" s="420">
        <v>5</v>
      </c>
      <c r="AH501" s="420">
        <v>5</v>
      </c>
      <c r="AI501" s="420">
        <v>4</v>
      </c>
      <c r="AJ501" s="418">
        <v>9</v>
      </c>
      <c r="AK501" s="421" t="s">
        <v>67</v>
      </c>
      <c r="AL501" s="428" t="s">
        <v>68</v>
      </c>
      <c r="AM501" s="422" t="s">
        <v>197</v>
      </c>
      <c r="AN501" s="403" t="s">
        <v>198</v>
      </c>
      <c r="AO501" s="314">
        <f t="shared" si="1044"/>
        <v>0.739594907407407</v>
      </c>
      <c r="AP501" s="315">
        <f t="shared" si="1045"/>
        <v>40</v>
      </c>
      <c r="AQ501" s="316" t="str">
        <f t="shared" si="1046"/>
        <v>MEDIUM</v>
      </c>
    </row>
    <row r="502" ht="29.25" customHeight="1" outlineLevel="1" spans="1:43">
      <c r="B502" s="365"/>
      <c r="C502" s="293" t="str">
        <f t="shared" ref="C502:G502" si="1051">TEXT(IF($B502=0," ",$B502-C$6),"hh:mm am/pm")</f>
        <v> </v>
      </c>
      <c r="D502" s="293" t="str">
        <f t="shared" si="1051"/>
        <v> </v>
      </c>
      <c r="E502" s="293" t="str">
        <f t="shared" si="1051"/>
        <v> </v>
      </c>
      <c r="F502" s="293" t="str">
        <f t="shared" si="1051"/>
        <v> </v>
      </c>
      <c r="G502" s="293" t="str">
        <f t="shared" si="1051"/>
        <v> </v>
      </c>
      <c r="H502" s="293" t="str">
        <f t="shared" ref="H502:I502" si="1052">TEXT(IF($B502=0," ",$B502+H$6),"hh:mm am/pm")</f>
        <v> </v>
      </c>
      <c r="I502" s="293" t="str">
        <f t="shared" si="1052"/>
        <v> </v>
      </c>
      <c r="J502" s="344"/>
      <c r="K502" s="367"/>
      <c r="L502" s="367"/>
      <c r="M502" s="368"/>
      <c r="N502" s="369"/>
      <c r="O502" s="370"/>
      <c r="P502" s="370"/>
      <c r="Q502" s="369"/>
      <c r="R502" s="369"/>
      <c r="S502" s="369"/>
      <c r="T502" s="371"/>
      <c r="U502" s="369"/>
      <c r="V502" s="369"/>
      <c r="W502" s="369"/>
      <c r="X502" s="372"/>
      <c r="Y502" s="367"/>
      <c r="Z502" s="369"/>
      <c r="AA502" s="372"/>
      <c r="AB502" s="372"/>
      <c r="AC502" s="371"/>
      <c r="AD502" s="371"/>
      <c r="AE502" s="367"/>
      <c r="AF502" s="372"/>
      <c r="AG502" s="367"/>
      <c r="AH502" s="367"/>
      <c r="AI502" s="367"/>
      <c r="AJ502" s="367"/>
      <c r="AK502" s="373"/>
      <c r="AL502" s="373"/>
      <c r="AM502" s="373"/>
      <c r="AN502" s="373"/>
      <c r="AO502" s="314" t="str">
        <f t="shared" si="1044"/>
        <v> </v>
      </c>
      <c r="AP502" s="374">
        <f t="shared" si="1045"/>
        <v>0</v>
      </c>
      <c r="AQ502" s="316" t="str">
        <f t="shared" si="1046"/>
        <v> </v>
      </c>
    </row>
    <row r="503" ht="29.25" customHeight="1" outlineLevel="1" spans="1:43">
      <c r="A503" s="363" t="s">
        <v>352</v>
      </c>
      <c r="B503" s="317">
        <v>0.715289351851852</v>
      </c>
      <c r="C503" s="293" t="str">
        <f t="shared" ref="C503:G503" si="1053">TEXT(IF($B503=0," ",$B503-C$6),"hh:mm am/pm")</f>
        <v>15:10 001/p1</v>
      </c>
      <c r="D503" s="293" t="str">
        <f t="shared" si="1053"/>
        <v>13:10 001/p1</v>
      </c>
      <c r="E503" s="293" t="str">
        <f t="shared" si="1053"/>
        <v>14:10 001/p1</v>
      </c>
      <c r="F503" s="293" t="str">
        <f t="shared" si="1053"/>
        <v>15:10 001/p1</v>
      </c>
      <c r="G503" s="293" t="str">
        <f t="shared" si="1053"/>
        <v>16:10 001/p1</v>
      </c>
      <c r="H503" s="293" t="str">
        <f t="shared" ref="H503:I503" si="1054">TEXT(IF($B503=0," ",$B503+H$6),"hh:mm am/pm")</f>
        <v>23:10 001/p1</v>
      </c>
      <c r="I503" s="293" t="str">
        <f t="shared" si="1054"/>
        <v>04:10 001/p1</v>
      </c>
      <c r="J503" s="405" t="str">
        <f>L400</f>
        <v>#AS OmaX PKO</v>
      </c>
      <c r="K503" s="406"/>
      <c r="L503" s="407" t="s">
        <v>284</v>
      </c>
      <c r="M503" s="408" t="s">
        <v>196</v>
      </c>
      <c r="N503" s="409" t="s">
        <v>100</v>
      </c>
      <c r="O503" s="410" t="s">
        <v>74</v>
      </c>
      <c r="P503" s="411" t="s">
        <v>101</v>
      </c>
      <c r="Q503" s="412">
        <f>15*6</f>
        <v>90</v>
      </c>
      <c r="R503" s="414" t="s">
        <v>60</v>
      </c>
      <c r="S503" s="413"/>
      <c r="T503" s="414">
        <v>0.1</v>
      </c>
      <c r="U503" s="409" t="s">
        <v>62</v>
      </c>
      <c r="V503" s="409">
        <v>1</v>
      </c>
      <c r="W503" s="409">
        <v>1</v>
      </c>
      <c r="X503" s="415"/>
      <c r="Y503" s="416" t="s">
        <v>79</v>
      </c>
      <c r="Z503" s="409">
        <v>1</v>
      </c>
      <c r="AA503" s="417">
        <v>20000</v>
      </c>
      <c r="AB503" s="417" t="s">
        <v>65</v>
      </c>
      <c r="AC503" s="414">
        <v>0.05</v>
      </c>
      <c r="AD503" s="414">
        <v>0</v>
      </c>
      <c r="AE503" s="418" t="s">
        <v>88</v>
      </c>
      <c r="AF503" s="419">
        <v>10000</v>
      </c>
      <c r="AG503" s="420">
        <v>4</v>
      </c>
      <c r="AH503" s="420">
        <v>4</v>
      </c>
      <c r="AI503" s="420">
        <v>4</v>
      </c>
      <c r="AJ503" s="418">
        <v>9</v>
      </c>
      <c r="AK503" s="457" t="s">
        <v>67</v>
      </c>
      <c r="AL503" s="428" t="s">
        <v>68</v>
      </c>
      <c r="AM503" s="422" t="s">
        <v>197</v>
      </c>
      <c r="AN503" s="403" t="s">
        <v>198</v>
      </c>
      <c r="AO503" s="314">
        <f t="shared" si="1044"/>
        <v>0.740289351851852</v>
      </c>
      <c r="AP503" s="315">
        <f t="shared" si="1045"/>
        <v>95</v>
      </c>
      <c r="AQ503" s="316" t="str">
        <f t="shared" si="1046"/>
        <v>MICRO</v>
      </c>
    </row>
    <row r="504" ht="29.25" customHeight="1" outlineLevel="1" spans="1:43">
      <c r="B504" s="365"/>
      <c r="C504" s="293" t="str">
        <f t="shared" ref="C504:G504" si="1055">TEXT(IF($B504=0," ",$B504-C$6),"hh:mm am/pm")</f>
        <v> </v>
      </c>
      <c r="D504" s="293" t="str">
        <f t="shared" si="1055"/>
        <v> </v>
      </c>
      <c r="E504" s="293" t="str">
        <f t="shared" si="1055"/>
        <v> </v>
      </c>
      <c r="F504" s="293" t="str">
        <f t="shared" si="1055"/>
        <v> </v>
      </c>
      <c r="G504" s="293" t="str">
        <f t="shared" si="1055"/>
        <v> </v>
      </c>
      <c r="H504" s="293" t="str">
        <f t="shared" ref="H504:I504" si="1056">TEXT(IF($B504=0," ",$B504+H$6),"hh:mm am/pm")</f>
        <v> </v>
      </c>
      <c r="I504" s="293" t="str">
        <f t="shared" si="1056"/>
        <v> </v>
      </c>
      <c r="J504" s="344"/>
      <c r="K504" s="367"/>
      <c r="L504" s="367"/>
      <c r="M504" s="368"/>
      <c r="N504" s="369"/>
      <c r="O504" s="370"/>
      <c r="P504" s="370"/>
      <c r="Q504" s="369"/>
      <c r="R504" s="369"/>
      <c r="S504" s="369"/>
      <c r="T504" s="371"/>
      <c r="U504" s="369"/>
      <c r="V504" s="369"/>
      <c r="W504" s="369"/>
      <c r="X504" s="372"/>
      <c r="Y504" s="367"/>
      <c r="Z504" s="369"/>
      <c r="AA504" s="372"/>
      <c r="AB504" s="372"/>
      <c r="AC504" s="371"/>
      <c r="AD504" s="371"/>
      <c r="AE504" s="367"/>
      <c r="AF504" s="372"/>
      <c r="AG504" s="367"/>
      <c r="AH504" s="367"/>
      <c r="AI504" s="367"/>
      <c r="AJ504" s="367"/>
      <c r="AK504" s="373"/>
      <c r="AL504" s="373"/>
      <c r="AM504" s="373"/>
      <c r="AN504" s="373"/>
      <c r="AO504" s="314" t="str">
        <f t="shared" si="1044"/>
        <v> </v>
      </c>
      <c r="AP504" s="374">
        <f t="shared" si="1045"/>
        <v>0</v>
      </c>
      <c r="AQ504" s="316" t="str">
        <f t="shared" si="1046"/>
        <v> </v>
      </c>
    </row>
    <row r="505" ht="29.25" customHeight="1" outlineLevel="1" spans="1:43">
      <c r="B505" s="364">
        <v>0.718761574074074</v>
      </c>
      <c r="C505" s="293" t="str">
        <f t="shared" ref="C505:G505" si="1057">TEXT(IF($B505=0," ",$B505-C$6),"hh:mm am/pm")</f>
        <v>15:15 001/p1</v>
      </c>
      <c r="D505" s="293" t="str">
        <f t="shared" si="1057"/>
        <v>13:15 001/p1</v>
      </c>
      <c r="E505" s="293" t="str">
        <f t="shared" si="1057"/>
        <v>14:15 001/p1</v>
      </c>
      <c r="F505" s="293" t="str">
        <f t="shared" si="1057"/>
        <v>15:15 001/p1</v>
      </c>
      <c r="G505" s="293" t="str">
        <f t="shared" si="1057"/>
        <v>16:15 001/p1</v>
      </c>
      <c r="H505" s="293" t="str">
        <f t="shared" ref="H505:I505" si="1058">TEXT(IF($B505=0," ",$B505+H$6),"hh:mm am/pm")</f>
        <v>23:15 001/p1</v>
      </c>
      <c r="I505" s="293" t="str">
        <f t="shared" si="1058"/>
        <v>04:15 001/p1</v>
      </c>
      <c r="J505" s="405" t="str">
        <f>L402</f>
        <v>suspenso</v>
      </c>
      <c r="K505" s="406"/>
      <c r="L505" s="531"/>
      <c r="M505" s="532"/>
      <c r="N505" s="409" t="s">
        <v>57</v>
      </c>
      <c r="O505" s="410" t="s">
        <v>74</v>
      </c>
      <c r="P505" s="411" t="s">
        <v>59</v>
      </c>
      <c r="Q505" s="426"/>
      <c r="R505" s="414" t="s">
        <v>60</v>
      </c>
      <c r="S505" s="413"/>
      <c r="T505" s="414">
        <v>0.1</v>
      </c>
      <c r="U505" s="409" t="s">
        <v>62</v>
      </c>
      <c r="V505" s="409">
        <v>30</v>
      </c>
      <c r="W505" s="409">
        <v>30</v>
      </c>
      <c r="X505" s="415"/>
      <c r="Y505" s="416" t="s">
        <v>79</v>
      </c>
      <c r="Z505" s="426"/>
      <c r="AA505" s="417" t="s">
        <v>64</v>
      </c>
      <c r="AB505" s="417" t="s">
        <v>65</v>
      </c>
      <c r="AC505" s="414">
        <v>0.05</v>
      </c>
      <c r="AD505" s="414">
        <v>0</v>
      </c>
      <c r="AE505" s="418" t="s">
        <v>88</v>
      </c>
      <c r="AF505" s="419">
        <v>20000</v>
      </c>
      <c r="AG505" s="420">
        <v>5</v>
      </c>
      <c r="AH505" s="420">
        <v>5</v>
      </c>
      <c r="AI505" s="420">
        <v>4</v>
      </c>
      <c r="AJ505" s="418">
        <v>9</v>
      </c>
      <c r="AK505" s="457" t="s">
        <v>67</v>
      </c>
      <c r="AL505" s="428" t="s">
        <v>68</v>
      </c>
      <c r="AM505" s="422" t="s">
        <v>197</v>
      </c>
      <c r="AN505" s="403" t="s">
        <v>198</v>
      </c>
      <c r="AO505" s="314">
        <f t="shared" si="1044"/>
        <v>0.750011574074074</v>
      </c>
      <c r="AP505" s="374">
        <f t="shared" si="1045"/>
        <v>0</v>
      </c>
      <c r="AQ505" s="316" t="str">
        <f t="shared" si="1046"/>
        <v>MEDIUM</v>
      </c>
    </row>
    <row r="506" ht="29.25" customHeight="1" outlineLevel="1" spans="1:43">
      <c r="A506" s="363" t="s">
        <v>352</v>
      </c>
      <c r="B506" s="365"/>
      <c r="C506" s="293" t="str">
        <f t="shared" ref="C506:G506" si="1059">TEXT(IF($B506=0," ",$B506-C$6),"hh:mm am/pm")</f>
        <v> </v>
      </c>
      <c r="D506" s="293" t="str">
        <f t="shared" si="1059"/>
        <v> </v>
      </c>
      <c r="E506" s="293" t="str">
        <f t="shared" si="1059"/>
        <v> </v>
      </c>
      <c r="F506" s="293" t="str">
        <f t="shared" si="1059"/>
        <v> </v>
      </c>
      <c r="G506" s="293" t="str">
        <f t="shared" si="1059"/>
        <v> </v>
      </c>
      <c r="H506" s="293" t="str">
        <f t="shared" ref="H506:I506" si="1060">TEXT(IF($B506=0," ",$B506+H$6),"hh:mm am/pm")</f>
        <v> </v>
      </c>
      <c r="I506" s="293" t="str">
        <f t="shared" si="1060"/>
        <v> </v>
      </c>
      <c r="J506" s="344"/>
      <c r="K506" s="367"/>
      <c r="L506" s="367"/>
      <c r="M506" s="368"/>
      <c r="N506" s="369"/>
      <c r="O506" s="370"/>
      <c r="P506" s="370"/>
      <c r="Q506" s="369"/>
      <c r="R506" s="369"/>
      <c r="S506" s="369"/>
      <c r="T506" s="371"/>
      <c r="U506" s="369"/>
      <c r="V506" s="369"/>
      <c r="W506" s="369"/>
      <c r="X506" s="372"/>
      <c r="Y506" s="367"/>
      <c r="Z506" s="369"/>
      <c r="AA506" s="372"/>
      <c r="AB506" s="372"/>
      <c r="AC506" s="371"/>
      <c r="AD506" s="371"/>
      <c r="AE506" s="367"/>
      <c r="AF506" s="372"/>
      <c r="AG506" s="367"/>
      <c r="AH506" s="367"/>
      <c r="AI506" s="367"/>
      <c r="AJ506" s="367"/>
      <c r="AK506" s="373"/>
      <c r="AL506" s="373"/>
      <c r="AM506" s="373"/>
      <c r="AN506" s="373"/>
      <c r="AO506" s="383"/>
      <c r="AP506" s="374"/>
      <c r="AQ506" s="383"/>
    </row>
    <row r="507" ht="29.25" customHeight="1" outlineLevel="1" spans="1:43">
      <c r="B507" s="317">
        <v>0.750011574074074</v>
      </c>
      <c r="C507" s="293" t="str">
        <f t="shared" ref="C507:G507" si="1061">TEXT(IF($B507=0," ",$B507-C$6),"hh:mm am/pm")</f>
        <v>16:00 001/p1</v>
      </c>
      <c r="D507" s="293" t="str">
        <f t="shared" si="1061"/>
        <v>14:00 001/p1</v>
      </c>
      <c r="E507" s="293" t="str">
        <f t="shared" si="1061"/>
        <v>15:00 001/p1</v>
      </c>
      <c r="F507" s="293" t="str">
        <f t="shared" si="1061"/>
        <v>16:00 001/p1</v>
      </c>
      <c r="G507" s="293" t="str">
        <f t="shared" si="1061"/>
        <v>17:00 001/p1</v>
      </c>
      <c r="H507" s="293" t="str">
        <f t="shared" ref="H507:I507" si="1062">TEXT(IF($B507=0," ",$B507+H$6),"hh:mm am/pm")</f>
        <v>00:00 001/p1</v>
      </c>
      <c r="I507" s="293" t="str">
        <f t="shared" si="1062"/>
        <v>05:00 001/p1</v>
      </c>
      <c r="J507" s="405" t="str">
        <f>L403</f>
        <v>#AS OmaX HR</v>
      </c>
      <c r="K507" s="406"/>
      <c r="L507" s="407" t="s">
        <v>380</v>
      </c>
      <c r="M507" s="408" t="s">
        <v>196</v>
      </c>
      <c r="N507" s="409" t="s">
        <v>100</v>
      </c>
      <c r="O507" s="410" t="s">
        <v>74</v>
      </c>
      <c r="P507" s="411" t="s">
        <v>101</v>
      </c>
      <c r="Q507" s="412">
        <f>70*5</f>
        <v>350</v>
      </c>
      <c r="R507" s="414" t="s">
        <v>60</v>
      </c>
      <c r="S507" s="413"/>
      <c r="T507" s="414">
        <v>0.1</v>
      </c>
      <c r="U507" s="409" t="s">
        <v>62</v>
      </c>
      <c r="V507" s="409">
        <v>4</v>
      </c>
      <c r="W507" s="409">
        <v>4</v>
      </c>
      <c r="X507" s="415"/>
      <c r="Y507" s="416" t="s">
        <v>79</v>
      </c>
      <c r="Z507" s="409">
        <v>4</v>
      </c>
      <c r="AA507" s="417">
        <v>20000</v>
      </c>
      <c r="AB507" s="417" t="s">
        <v>65</v>
      </c>
      <c r="AC507" s="414">
        <v>0.05</v>
      </c>
      <c r="AD507" s="414">
        <v>0</v>
      </c>
      <c r="AE507" s="418" t="s">
        <v>88</v>
      </c>
      <c r="AF507" s="419">
        <v>10000</v>
      </c>
      <c r="AG507" s="420">
        <v>5</v>
      </c>
      <c r="AH507" s="420">
        <v>5</v>
      </c>
      <c r="AI507" s="420">
        <v>4</v>
      </c>
      <c r="AJ507" s="418">
        <v>9</v>
      </c>
      <c r="AK507" s="457" t="s">
        <v>67</v>
      </c>
      <c r="AL507" s="428" t="s">
        <v>68</v>
      </c>
      <c r="AM507" s="422" t="s">
        <v>197</v>
      </c>
      <c r="AN507" s="403" t="s">
        <v>198</v>
      </c>
      <c r="AO507" s="314">
        <f t="shared" ref="AO507:AO519" si="1063">IF(B507=0," ",TIME(,ROUNDDOWN(AG507*AJ507/60,0)*5+(AG507*AJ507),)+B507)</f>
        <v>0.781261574074074</v>
      </c>
      <c r="AP507" s="315">
        <f t="shared" ref="AP507:AP519" si="1064">IF(Q507=0,,ROUNDUP(Q507/(V507*(1-AC507-AD507)),0))</f>
        <v>93</v>
      </c>
      <c r="AQ507" s="316" t="str">
        <f t="shared" ref="AQ507:AQ519" si="1065">IFERROR(IF(V507=0," ",IF(V507&lt;=5,"MICRO",IF(V507&lt;=19.8,"LOW",IF(V507&lt;=99.8,"MEDIUM",IF(V507&lt;=500,"HIGH",IF(V507&gt;500,"SUPER HIGH",)))))),"")</f>
        <v>MICRO</v>
      </c>
    </row>
    <row r="508" ht="29.25" customHeight="1" outlineLevel="1" spans="1:43">
      <c r="B508" s="365"/>
      <c r="C508" s="293" t="str">
        <f t="shared" ref="C508:G508" si="1066">TEXT(IF($B508=0," ",$B508-C$6),"hh:mm am/pm")</f>
        <v> </v>
      </c>
      <c r="D508" s="293" t="str">
        <f t="shared" si="1066"/>
        <v> </v>
      </c>
      <c r="E508" s="293" t="str">
        <f t="shared" si="1066"/>
        <v> </v>
      </c>
      <c r="F508" s="293" t="str">
        <f t="shared" si="1066"/>
        <v> </v>
      </c>
      <c r="G508" s="293" t="str">
        <f t="shared" si="1066"/>
        <v> </v>
      </c>
      <c r="H508" s="293" t="str">
        <f t="shared" ref="H508:I508" si="1067">TEXT(IF($B508=0," ",$B508+H$6),"hh:mm am/pm")</f>
        <v> </v>
      </c>
      <c r="I508" s="293" t="str">
        <f t="shared" si="1067"/>
        <v> </v>
      </c>
      <c r="J508" s="344"/>
      <c r="K508" s="367"/>
      <c r="L508" s="367"/>
      <c r="M508" s="368"/>
      <c r="N508" s="369"/>
      <c r="O508" s="370"/>
      <c r="P508" s="370"/>
      <c r="Q508" s="369"/>
      <c r="R508" s="369"/>
      <c r="S508" s="369"/>
      <c r="T508" s="371"/>
      <c r="U508" s="369"/>
      <c r="V508" s="369"/>
      <c r="W508" s="369"/>
      <c r="X508" s="372"/>
      <c r="Y508" s="367"/>
      <c r="Z508" s="369"/>
      <c r="AA508" s="372"/>
      <c r="AB508" s="372"/>
      <c r="AC508" s="371"/>
      <c r="AD508" s="371"/>
      <c r="AE508" s="367"/>
      <c r="AF508" s="372"/>
      <c r="AG508" s="367"/>
      <c r="AH508" s="367"/>
      <c r="AI508" s="367"/>
      <c r="AJ508" s="367"/>
      <c r="AK508" s="373"/>
      <c r="AL508" s="373"/>
      <c r="AM508" s="373"/>
      <c r="AN508" s="373"/>
      <c r="AO508" s="314" t="str">
        <f t="shared" si="1063"/>
        <v> </v>
      </c>
      <c r="AP508" s="374">
        <f t="shared" si="1064"/>
        <v>0</v>
      </c>
      <c r="AQ508" s="316" t="str">
        <f t="shared" si="1065"/>
        <v> </v>
      </c>
    </row>
    <row r="509" ht="29.25" customHeight="1" outlineLevel="1" spans="1:43">
      <c r="A509" s="363" t="s">
        <v>352</v>
      </c>
      <c r="B509" s="317">
        <v>0.791666666666667</v>
      </c>
      <c r="C509" s="293" t="str">
        <f t="shared" ref="C509:G509" si="1068">TEXT(IF($B509=0," ",$B509-C$6),"hh:mm am/pm")</f>
        <v>17:00 001/p1</v>
      </c>
      <c r="D509" s="293" t="str">
        <f t="shared" si="1068"/>
        <v>15:00 001/p1</v>
      </c>
      <c r="E509" s="293" t="str">
        <f t="shared" si="1068"/>
        <v>16:00 001/p1</v>
      </c>
      <c r="F509" s="293" t="str">
        <f t="shared" si="1068"/>
        <v>17:00 001/p1</v>
      </c>
      <c r="G509" s="293" t="str">
        <f t="shared" si="1068"/>
        <v>18:00 001/p1</v>
      </c>
      <c r="H509" s="293" t="str">
        <f t="shared" ref="H509:I509" si="1069">TEXT(IF($B509=0," ",$B509+H$6),"hh:mm am/pm")</f>
        <v>01:00 001/p1</v>
      </c>
      <c r="I509" s="293" t="str">
        <f t="shared" si="1069"/>
        <v>06:00 001/p1</v>
      </c>
      <c r="J509" s="405" t="str">
        <f>L465</f>
        <v>#AS Freeze</v>
      </c>
      <c r="K509" s="406"/>
      <c r="L509" s="407" t="s">
        <v>287</v>
      </c>
      <c r="M509" s="408" t="s">
        <v>196</v>
      </c>
      <c r="N509" s="409" t="s">
        <v>57</v>
      </c>
      <c r="O509" s="410" t="s">
        <v>74</v>
      </c>
      <c r="P509" s="411" t="s">
        <v>59</v>
      </c>
      <c r="Q509" s="412">
        <f>30*4</f>
        <v>120</v>
      </c>
      <c r="R509" s="414" t="s">
        <v>60</v>
      </c>
      <c r="S509" s="413"/>
      <c r="T509" s="414">
        <v>0.1</v>
      </c>
      <c r="U509" s="409" t="s">
        <v>62</v>
      </c>
      <c r="V509" s="409">
        <v>2</v>
      </c>
      <c r="W509" s="409">
        <v>2</v>
      </c>
      <c r="X509" s="415"/>
      <c r="Y509" s="416" t="s">
        <v>79</v>
      </c>
      <c r="Z509" s="409">
        <v>2</v>
      </c>
      <c r="AA509" s="417">
        <v>20000</v>
      </c>
      <c r="AB509" s="417" t="s">
        <v>65</v>
      </c>
      <c r="AC509" s="414">
        <v>0.05</v>
      </c>
      <c r="AD509" s="414">
        <v>0</v>
      </c>
      <c r="AE509" s="418" t="s">
        <v>88</v>
      </c>
      <c r="AF509" s="419">
        <v>10000</v>
      </c>
      <c r="AG509" s="420">
        <v>4</v>
      </c>
      <c r="AH509" s="420">
        <v>4</v>
      </c>
      <c r="AI509" s="420">
        <v>4</v>
      </c>
      <c r="AJ509" s="418">
        <v>9</v>
      </c>
      <c r="AK509" s="421" t="s">
        <v>67</v>
      </c>
      <c r="AL509" s="428" t="s">
        <v>68</v>
      </c>
      <c r="AM509" s="422" t="s">
        <v>197</v>
      </c>
      <c r="AN509" s="403" t="s">
        <v>198</v>
      </c>
      <c r="AO509" s="314">
        <f t="shared" si="1063"/>
        <v>0.816666666666667</v>
      </c>
      <c r="AP509" s="315">
        <f t="shared" si="1064"/>
        <v>64</v>
      </c>
      <c r="AQ509" s="316" t="str">
        <f t="shared" si="1065"/>
        <v>MICRO</v>
      </c>
    </row>
    <row r="510" ht="29.25" customHeight="1" outlineLevel="1" spans="1:43">
      <c r="B510" s="365"/>
      <c r="C510" s="293" t="str">
        <f t="shared" ref="C510:G510" si="1070">TEXT(IF($B510=0," ",$B510-C$6),"hh:mm am/pm")</f>
        <v> </v>
      </c>
      <c r="D510" s="293" t="str">
        <f t="shared" si="1070"/>
        <v> </v>
      </c>
      <c r="E510" s="293" t="str">
        <f t="shared" si="1070"/>
        <v> </v>
      </c>
      <c r="F510" s="293" t="str">
        <f t="shared" si="1070"/>
        <v> </v>
      </c>
      <c r="G510" s="293" t="str">
        <f t="shared" si="1070"/>
        <v> </v>
      </c>
      <c r="H510" s="293" t="str">
        <f t="shared" ref="H510:I510" si="1071">TEXT(IF($B510=0," ",$B510+H$6),"hh:mm am/pm")</f>
        <v> </v>
      </c>
      <c r="I510" s="293" t="str">
        <f t="shared" si="1071"/>
        <v> </v>
      </c>
      <c r="J510" s="344"/>
      <c r="K510" s="367"/>
      <c r="L510" s="367"/>
      <c r="M510" s="368"/>
      <c r="N510" s="369"/>
      <c r="O510" s="370"/>
      <c r="P510" s="370"/>
      <c r="Q510" s="369"/>
      <c r="R510" s="369"/>
      <c r="S510" s="369"/>
      <c r="T510" s="371"/>
      <c r="U510" s="369"/>
      <c r="V510" s="369"/>
      <c r="W510" s="369"/>
      <c r="X510" s="372"/>
      <c r="Y510" s="367"/>
      <c r="Z510" s="369"/>
      <c r="AA510" s="372"/>
      <c r="AB510" s="372"/>
      <c r="AC510" s="371"/>
      <c r="AD510" s="371"/>
      <c r="AE510" s="367"/>
      <c r="AF510" s="372"/>
      <c r="AG510" s="367"/>
      <c r="AH510" s="367"/>
      <c r="AI510" s="367"/>
      <c r="AJ510" s="367"/>
      <c r="AK510" s="373"/>
      <c r="AL510" s="373"/>
      <c r="AM510" s="373"/>
      <c r="AN510" s="373"/>
      <c r="AO510" s="314" t="str">
        <f t="shared" si="1063"/>
        <v> </v>
      </c>
      <c r="AP510" s="374">
        <f t="shared" si="1064"/>
        <v>0</v>
      </c>
      <c r="AQ510" s="316" t="str">
        <f t="shared" si="1065"/>
        <v> </v>
      </c>
    </row>
    <row r="511" ht="29.25" customHeight="1" outlineLevel="1" spans="1:43">
      <c r="B511" s="317">
        <v>0.812511574074074</v>
      </c>
      <c r="C511" s="293" t="str">
        <f t="shared" ref="C511:G511" si="1072">TEXT(IF($B511=0," ",$B511-C$6),"hh:mm am/pm")</f>
        <v>17:30 001/p1</v>
      </c>
      <c r="D511" s="293" t="str">
        <f t="shared" si="1072"/>
        <v>15:30 001/p1</v>
      </c>
      <c r="E511" s="293" t="str">
        <f t="shared" si="1072"/>
        <v>16:30 001/p1</v>
      </c>
      <c r="F511" s="293" t="str">
        <f t="shared" si="1072"/>
        <v>17:30 001/p1</v>
      </c>
      <c r="G511" s="293" t="str">
        <f t="shared" si="1072"/>
        <v>18:30 001/p1</v>
      </c>
      <c r="H511" s="293" t="str">
        <f t="shared" ref="H511:I511" si="1073">TEXT(IF($B511=0," ",$B511+H$6),"hh:mm am/pm")</f>
        <v>01:30 001/p1</v>
      </c>
      <c r="I511" s="293" t="str">
        <f t="shared" si="1073"/>
        <v>06:30 001/p1</v>
      </c>
      <c r="J511" s="405" t="str">
        <f>L471</f>
        <v>#AS OmaX Turbo</v>
      </c>
      <c r="K511" s="406"/>
      <c r="L511" s="407" t="s">
        <v>288</v>
      </c>
      <c r="M511" s="408" t="s">
        <v>196</v>
      </c>
      <c r="N511" s="409" t="s">
        <v>100</v>
      </c>
      <c r="O511" s="410" t="s">
        <v>74</v>
      </c>
      <c r="P511" s="411" t="s">
        <v>101</v>
      </c>
      <c r="Q511" s="412">
        <f>11*6</f>
        <v>66</v>
      </c>
      <c r="R511" s="414" t="s">
        <v>60</v>
      </c>
      <c r="S511" s="413"/>
      <c r="T511" s="414">
        <v>0.1</v>
      </c>
      <c r="U511" s="409" t="s">
        <v>62</v>
      </c>
      <c r="V511" s="409">
        <v>0.6</v>
      </c>
      <c r="W511" s="409">
        <v>0.6</v>
      </c>
      <c r="X511" s="415"/>
      <c r="Y511" s="416" t="s">
        <v>79</v>
      </c>
      <c r="Z511" s="409">
        <v>0.6</v>
      </c>
      <c r="AA511" s="417">
        <v>20000</v>
      </c>
      <c r="AB511" s="417" t="s">
        <v>65</v>
      </c>
      <c r="AC511" s="414">
        <v>0.05</v>
      </c>
      <c r="AD511" s="414">
        <v>0</v>
      </c>
      <c r="AE511" s="418" t="s">
        <v>88</v>
      </c>
      <c r="AF511" s="419">
        <v>10000</v>
      </c>
      <c r="AG511" s="420">
        <v>4</v>
      </c>
      <c r="AH511" s="420">
        <v>4</v>
      </c>
      <c r="AI511" s="420">
        <v>4</v>
      </c>
      <c r="AJ511" s="418">
        <v>9</v>
      </c>
      <c r="AK511" s="457" t="s">
        <v>67</v>
      </c>
      <c r="AL511" s="428" t="s">
        <v>68</v>
      </c>
      <c r="AM511" s="422" t="s">
        <v>197</v>
      </c>
      <c r="AN511" s="403" t="s">
        <v>198</v>
      </c>
      <c r="AO511" s="314">
        <f t="shared" si="1063"/>
        <v>0.837511574074074</v>
      </c>
      <c r="AP511" s="315">
        <f t="shared" si="1064"/>
        <v>116</v>
      </c>
      <c r="AQ511" s="316" t="str">
        <f t="shared" si="1065"/>
        <v>MICRO</v>
      </c>
    </row>
    <row r="512" ht="29.25" customHeight="1" outlineLevel="1" spans="1:43">
      <c r="A512" s="363" t="s">
        <v>352</v>
      </c>
      <c r="B512" s="365"/>
      <c r="C512" s="293" t="str">
        <f t="shared" ref="C512:G512" si="1074">TEXT(IF($B512=0," ",$B512-C$6),"hh:mm am/pm")</f>
        <v> </v>
      </c>
      <c r="D512" s="293" t="str">
        <f t="shared" si="1074"/>
        <v> </v>
      </c>
      <c r="E512" s="293" t="str">
        <f t="shared" si="1074"/>
        <v> </v>
      </c>
      <c r="F512" s="293" t="str">
        <f t="shared" si="1074"/>
        <v> </v>
      </c>
      <c r="G512" s="293" t="str">
        <f t="shared" si="1074"/>
        <v> </v>
      </c>
      <c r="H512" s="293" t="str">
        <f t="shared" ref="H512:I512" si="1075">TEXT(IF($B512=0," ",$B512+H$6),"hh:mm am/pm")</f>
        <v> </v>
      </c>
      <c r="I512" s="293" t="str">
        <f t="shared" si="1075"/>
        <v> </v>
      </c>
      <c r="J512" s="344"/>
      <c r="K512" s="367"/>
      <c r="L512" s="367"/>
      <c r="M512" s="368"/>
      <c r="N512" s="369"/>
      <c r="O512" s="370"/>
      <c r="P512" s="370"/>
      <c r="Q512" s="369"/>
      <c r="R512" s="369"/>
      <c r="S512" s="369"/>
      <c r="T512" s="371"/>
      <c r="U512" s="369"/>
      <c r="V512" s="369"/>
      <c r="W512" s="369"/>
      <c r="X512" s="372"/>
      <c r="Y512" s="367"/>
      <c r="Z512" s="369"/>
      <c r="AA512" s="372"/>
      <c r="AB512" s="372"/>
      <c r="AC512" s="371"/>
      <c r="AD512" s="371"/>
      <c r="AE512" s="367"/>
      <c r="AF512" s="372"/>
      <c r="AG512" s="367"/>
      <c r="AH512" s="367"/>
      <c r="AI512" s="367"/>
      <c r="AJ512" s="367"/>
      <c r="AK512" s="373"/>
      <c r="AL512" s="373"/>
      <c r="AM512" s="373"/>
      <c r="AN512" s="373"/>
      <c r="AO512" s="314" t="str">
        <f t="shared" si="1063"/>
        <v> </v>
      </c>
      <c r="AP512" s="374">
        <f t="shared" si="1064"/>
        <v>0</v>
      </c>
      <c r="AQ512" s="316" t="str">
        <f t="shared" si="1065"/>
        <v> </v>
      </c>
    </row>
    <row r="513" ht="29.25" customHeight="1" outlineLevel="1" spans="1:43">
      <c r="B513" s="317">
        <v>0.833344907407407</v>
      </c>
      <c r="C513" s="293" t="str">
        <f t="shared" ref="C513:G513" si="1076">TEXT(IF($B513=0," ",$B513-C$6),"hh:mm am/pm")</f>
        <v>18:00 001/p1</v>
      </c>
      <c r="D513" s="293" t="str">
        <f t="shared" si="1076"/>
        <v>16:00 001/p1</v>
      </c>
      <c r="E513" s="293" t="str">
        <f t="shared" si="1076"/>
        <v>17:00 001/p1</v>
      </c>
      <c r="F513" s="293" t="str">
        <f t="shared" si="1076"/>
        <v>18:00 001/p1</v>
      </c>
      <c r="G513" s="293" t="str">
        <f t="shared" si="1076"/>
        <v>19:00 001/p1</v>
      </c>
      <c r="H513" s="293" t="str">
        <f t="shared" ref="H513:I513" si="1077">TEXT(IF($B513=0," ",$B513+H$6),"hh:mm am/pm")</f>
        <v>02:00 001/p1</v>
      </c>
      <c r="I513" s="293" t="str">
        <f t="shared" si="1077"/>
        <v>07:00 001/p1</v>
      </c>
      <c r="J513" s="405" t="str">
        <f>L469</f>
        <v>#AS Battle PKO</v>
      </c>
      <c r="K513" s="406"/>
      <c r="L513" s="407" t="s">
        <v>350</v>
      </c>
      <c r="M513" s="408" t="s">
        <v>196</v>
      </c>
      <c r="N513" s="409" t="s">
        <v>57</v>
      </c>
      <c r="O513" s="410" t="s">
        <v>74</v>
      </c>
      <c r="P513" s="411" t="s">
        <v>59</v>
      </c>
      <c r="Q513" s="412">
        <f>22*3</f>
        <v>66</v>
      </c>
      <c r="R513" s="414" t="s">
        <v>60</v>
      </c>
      <c r="S513" s="413"/>
      <c r="T513" s="414">
        <v>0.1</v>
      </c>
      <c r="U513" s="409" t="s">
        <v>62</v>
      </c>
      <c r="V513" s="409">
        <v>1.2</v>
      </c>
      <c r="W513" s="409">
        <v>1.2</v>
      </c>
      <c r="X513" s="415"/>
      <c r="Y513" s="416" t="s">
        <v>79</v>
      </c>
      <c r="Z513" s="409">
        <v>1.2</v>
      </c>
      <c r="AA513" s="417">
        <v>20000</v>
      </c>
      <c r="AB513" s="417" t="s">
        <v>65</v>
      </c>
      <c r="AC513" s="414">
        <v>0.05</v>
      </c>
      <c r="AD513" s="414">
        <v>0</v>
      </c>
      <c r="AE513" s="418" t="s">
        <v>88</v>
      </c>
      <c r="AF513" s="419">
        <v>10000</v>
      </c>
      <c r="AG513" s="420">
        <v>4</v>
      </c>
      <c r="AH513" s="420">
        <v>4</v>
      </c>
      <c r="AI513" s="420">
        <v>4</v>
      </c>
      <c r="AJ513" s="418">
        <v>9</v>
      </c>
      <c r="AK513" s="457" t="s">
        <v>67</v>
      </c>
      <c r="AL513" s="428" t="s">
        <v>68</v>
      </c>
      <c r="AM513" s="422" t="s">
        <v>197</v>
      </c>
      <c r="AN513" s="403" t="s">
        <v>198</v>
      </c>
      <c r="AO513" s="314">
        <f t="shared" si="1063"/>
        <v>0.858344907407407</v>
      </c>
      <c r="AP513" s="315">
        <f t="shared" si="1064"/>
        <v>58</v>
      </c>
      <c r="AQ513" s="316" t="str">
        <f t="shared" si="1065"/>
        <v>MICRO</v>
      </c>
    </row>
    <row r="514" ht="29.25" customHeight="1" outlineLevel="1" spans="1:43">
      <c r="B514" s="365"/>
      <c r="C514" s="293" t="str">
        <f t="shared" ref="C514:G514" si="1078">TEXT(IF($B514=0," ",$B514-C$6),"hh:mm am/pm")</f>
        <v> </v>
      </c>
      <c r="D514" s="293" t="str">
        <f t="shared" si="1078"/>
        <v> </v>
      </c>
      <c r="E514" s="293" t="str">
        <f t="shared" si="1078"/>
        <v> </v>
      </c>
      <c r="F514" s="293" t="str">
        <f t="shared" si="1078"/>
        <v> </v>
      </c>
      <c r="G514" s="293" t="str">
        <f t="shared" si="1078"/>
        <v> </v>
      </c>
      <c r="H514" s="293" t="str">
        <f t="shared" ref="H514:I514" si="1079">TEXT(IF($B514=0," ",$B514+H$6),"hh:mm am/pm")</f>
        <v> </v>
      </c>
      <c r="I514" s="293" t="str">
        <f t="shared" si="1079"/>
        <v> </v>
      </c>
      <c r="J514" s="344"/>
      <c r="K514" s="367"/>
      <c r="L514" s="367"/>
      <c r="M514" s="368"/>
      <c r="N514" s="369"/>
      <c r="O514" s="370"/>
      <c r="P514" s="370"/>
      <c r="Q514" s="369"/>
      <c r="R514" s="369"/>
      <c r="S514" s="369"/>
      <c r="T514" s="371"/>
      <c r="U514" s="369"/>
      <c r="V514" s="369"/>
      <c r="W514" s="369"/>
      <c r="X514" s="372"/>
      <c r="Y514" s="367"/>
      <c r="Z514" s="369"/>
      <c r="AA514" s="372"/>
      <c r="AB514" s="372"/>
      <c r="AC514" s="371"/>
      <c r="AD514" s="371"/>
      <c r="AE514" s="367"/>
      <c r="AF514" s="372"/>
      <c r="AG514" s="367"/>
      <c r="AH514" s="367"/>
      <c r="AI514" s="367"/>
      <c r="AJ514" s="367"/>
      <c r="AK514" s="373"/>
      <c r="AL514" s="373"/>
      <c r="AM514" s="373"/>
      <c r="AN514" s="373"/>
      <c r="AO514" s="314" t="str">
        <f t="shared" si="1063"/>
        <v> </v>
      </c>
      <c r="AP514" s="374">
        <f t="shared" si="1064"/>
        <v>0</v>
      </c>
      <c r="AQ514" s="316" t="str">
        <f t="shared" si="1065"/>
        <v> </v>
      </c>
    </row>
    <row r="515" ht="29.25" customHeight="1" outlineLevel="1" spans="1:43">
      <c r="A515" s="363" t="s">
        <v>352</v>
      </c>
      <c r="B515" s="317">
        <v>0.854178240740741</v>
      </c>
      <c r="C515" s="293" t="str">
        <f t="shared" ref="C515:G515" si="1080">TEXT(IF($B515=0," ",$B515-C$6),"hh:mm am/pm")</f>
        <v>18:30 001/p1</v>
      </c>
      <c r="D515" s="293" t="str">
        <f t="shared" si="1080"/>
        <v>16:30 001/p1</v>
      </c>
      <c r="E515" s="293" t="str">
        <f t="shared" si="1080"/>
        <v>17:30 001/p1</v>
      </c>
      <c r="F515" s="293" t="str">
        <f t="shared" si="1080"/>
        <v>18:30 001/p1</v>
      </c>
      <c r="G515" s="293" t="str">
        <f t="shared" si="1080"/>
        <v>19:30 001/p1</v>
      </c>
      <c r="H515" s="293" t="str">
        <f t="shared" ref="H515:I515" si="1081">TEXT(IF($B515=0," ",$B515+H$6),"hh:mm am/pm")</f>
        <v>02:30 001/p1</v>
      </c>
      <c r="I515" s="293" t="str">
        <f t="shared" si="1081"/>
        <v>07:30 001/p1</v>
      </c>
      <c r="J515" s="433" t="str">
        <f>L477</f>
        <v>#AS Bounty Night</v>
      </c>
      <c r="K515" s="385"/>
      <c r="L515" s="386" t="s">
        <v>206</v>
      </c>
      <c r="M515" s="408" t="s">
        <v>196</v>
      </c>
      <c r="N515" s="409" t="s">
        <v>57</v>
      </c>
      <c r="O515" s="410" t="s">
        <v>74</v>
      </c>
      <c r="P515" s="411" t="s">
        <v>59</v>
      </c>
      <c r="Q515" s="412">
        <f>11*5</f>
        <v>55</v>
      </c>
      <c r="R515" s="414" t="s">
        <v>60</v>
      </c>
      <c r="S515" s="413"/>
      <c r="T515" s="414">
        <v>0.1</v>
      </c>
      <c r="U515" s="409" t="s">
        <v>62</v>
      </c>
      <c r="V515" s="409">
        <v>0.6</v>
      </c>
      <c r="W515" s="409">
        <v>0.6</v>
      </c>
      <c r="X515" s="415"/>
      <c r="Y515" s="416" t="s">
        <v>79</v>
      </c>
      <c r="Z515" s="409">
        <v>0.6</v>
      </c>
      <c r="AA515" s="417">
        <v>20000</v>
      </c>
      <c r="AB515" s="417" t="s">
        <v>65</v>
      </c>
      <c r="AC515" s="414">
        <v>0.05</v>
      </c>
      <c r="AD515" s="414">
        <v>0</v>
      </c>
      <c r="AE515" s="418" t="s">
        <v>88</v>
      </c>
      <c r="AF515" s="419">
        <v>10000</v>
      </c>
      <c r="AG515" s="420">
        <v>4</v>
      </c>
      <c r="AH515" s="420">
        <v>4</v>
      </c>
      <c r="AI515" s="420">
        <v>4</v>
      </c>
      <c r="AJ515" s="418">
        <v>9</v>
      </c>
      <c r="AK515" s="429" t="s">
        <v>67</v>
      </c>
      <c r="AL515" s="428" t="s">
        <v>68</v>
      </c>
      <c r="AM515" s="422" t="s">
        <v>197</v>
      </c>
      <c r="AN515" s="403" t="s">
        <v>198</v>
      </c>
      <c r="AO515" s="314">
        <f t="shared" si="1063"/>
        <v>0.879178240740741</v>
      </c>
      <c r="AP515" s="315">
        <f t="shared" si="1064"/>
        <v>97</v>
      </c>
      <c r="AQ515" s="316" t="str">
        <f t="shared" si="1065"/>
        <v>MICRO</v>
      </c>
    </row>
    <row r="516" ht="29.25" customHeight="1" outlineLevel="1" spans="1:43">
      <c r="B516" s="365"/>
      <c r="C516" s="293" t="str">
        <f t="shared" ref="C516:G516" si="1082">TEXT(IF($B516=0," ",$B516-C$6),"hh:mm am/pm")</f>
        <v> </v>
      </c>
      <c r="D516" s="293" t="str">
        <f t="shared" si="1082"/>
        <v> </v>
      </c>
      <c r="E516" s="293" t="str">
        <f t="shared" si="1082"/>
        <v> </v>
      </c>
      <c r="F516" s="293" t="str">
        <f t="shared" si="1082"/>
        <v> </v>
      </c>
      <c r="G516" s="293" t="str">
        <f t="shared" si="1082"/>
        <v> </v>
      </c>
      <c r="H516" s="293" t="str">
        <f t="shared" ref="H516:I516" si="1083">TEXT(IF($B516=0," ",$B516+H$6),"hh:mm am/pm")</f>
        <v> </v>
      </c>
      <c r="I516" s="293" t="str">
        <f t="shared" si="1083"/>
        <v> </v>
      </c>
      <c r="J516" s="344"/>
      <c r="K516" s="367"/>
      <c r="L516" s="367"/>
      <c r="M516" s="368"/>
      <c r="N516" s="369"/>
      <c r="O516" s="370"/>
      <c r="P516" s="370"/>
      <c r="Q516" s="369"/>
      <c r="R516" s="369"/>
      <c r="S516" s="369"/>
      <c r="T516" s="371"/>
      <c r="U516" s="369"/>
      <c r="V516" s="369"/>
      <c r="W516" s="369"/>
      <c r="X516" s="372"/>
      <c r="Y516" s="367"/>
      <c r="Z516" s="369"/>
      <c r="AA516" s="372"/>
      <c r="AB516" s="372"/>
      <c r="AC516" s="371"/>
      <c r="AD516" s="371"/>
      <c r="AE516" s="367"/>
      <c r="AF516" s="372"/>
      <c r="AG516" s="367"/>
      <c r="AH516" s="367"/>
      <c r="AI516" s="367"/>
      <c r="AJ516" s="367"/>
      <c r="AK516" s="373"/>
      <c r="AL516" s="373"/>
      <c r="AM516" s="373"/>
      <c r="AN516" s="373"/>
      <c r="AO516" s="314" t="str">
        <f t="shared" si="1063"/>
        <v> </v>
      </c>
      <c r="AP516" s="374">
        <f t="shared" si="1064"/>
        <v>0</v>
      </c>
      <c r="AQ516" s="316" t="str">
        <f t="shared" si="1065"/>
        <v> </v>
      </c>
    </row>
    <row r="517" ht="29.25" customHeight="1" outlineLevel="1" spans="1:43">
      <c r="A517" s="363" t="s">
        <v>352</v>
      </c>
      <c r="B517" s="317">
        <v>0.875011574074074</v>
      </c>
      <c r="C517" s="293" t="str">
        <f t="shared" ref="C517:G517" si="1084">TEXT(IF($B517=0," ",$B517-C$6),"hh:mm am/pm")</f>
        <v>19:00 001/p1</v>
      </c>
      <c r="D517" s="293" t="str">
        <f t="shared" si="1084"/>
        <v>17:00 001/p1</v>
      </c>
      <c r="E517" s="293" t="str">
        <f t="shared" si="1084"/>
        <v>18:00 001/p1</v>
      </c>
      <c r="F517" s="293" t="str">
        <f t="shared" si="1084"/>
        <v>19:00 001/p1</v>
      </c>
      <c r="G517" s="293" t="str">
        <f t="shared" si="1084"/>
        <v>20:00 001/p1</v>
      </c>
      <c r="H517" s="293" t="str">
        <f t="shared" ref="H517:I517" si="1085">TEXT(IF($B517=0," ",$B517+H$6),"hh:mm am/pm")</f>
        <v>03:00 001/p1</v>
      </c>
      <c r="I517" s="293" t="str">
        <f t="shared" si="1085"/>
        <v>08:00 001/p1</v>
      </c>
      <c r="J517" s="433" t="str">
        <f>L476</f>
        <v>#AS OmaX Night</v>
      </c>
      <c r="K517" s="385"/>
      <c r="L517" s="386" t="s">
        <v>381</v>
      </c>
      <c r="M517" s="408" t="s">
        <v>196</v>
      </c>
      <c r="N517" s="409" t="s">
        <v>100</v>
      </c>
      <c r="O517" s="410" t="s">
        <v>74</v>
      </c>
      <c r="P517" s="411" t="s">
        <v>101</v>
      </c>
      <c r="Q517" s="412">
        <f>30*3</f>
        <v>90</v>
      </c>
      <c r="R517" s="414" t="s">
        <v>60</v>
      </c>
      <c r="S517" s="413"/>
      <c r="T517" s="414">
        <v>0.1</v>
      </c>
      <c r="U517" s="409" t="s">
        <v>62</v>
      </c>
      <c r="V517" s="409">
        <v>1.6</v>
      </c>
      <c r="W517" s="409">
        <v>1.6</v>
      </c>
      <c r="X517" s="415"/>
      <c r="Y517" s="416" t="s">
        <v>79</v>
      </c>
      <c r="Z517" s="409">
        <v>1.6</v>
      </c>
      <c r="AA517" s="417">
        <v>20000</v>
      </c>
      <c r="AB517" s="417" t="s">
        <v>65</v>
      </c>
      <c r="AC517" s="414">
        <v>0.05</v>
      </c>
      <c r="AD517" s="414">
        <v>0</v>
      </c>
      <c r="AE517" s="418" t="s">
        <v>88</v>
      </c>
      <c r="AF517" s="419">
        <v>10000</v>
      </c>
      <c r="AG517" s="420">
        <v>4</v>
      </c>
      <c r="AH517" s="420">
        <v>4</v>
      </c>
      <c r="AI517" s="420">
        <v>4</v>
      </c>
      <c r="AJ517" s="418">
        <v>9</v>
      </c>
      <c r="AK517" s="429" t="s">
        <v>67</v>
      </c>
      <c r="AL517" s="428" t="s">
        <v>68</v>
      </c>
      <c r="AM517" s="422" t="s">
        <v>197</v>
      </c>
      <c r="AN517" s="403" t="s">
        <v>198</v>
      </c>
      <c r="AO517" s="314">
        <f t="shared" si="1063"/>
        <v>0.900011574074074</v>
      </c>
      <c r="AP517" s="315">
        <f t="shared" si="1064"/>
        <v>60</v>
      </c>
      <c r="AQ517" s="316" t="str">
        <f t="shared" si="1065"/>
        <v>MICRO</v>
      </c>
    </row>
    <row r="518" ht="29.25" customHeight="1" outlineLevel="1" spans="1:43">
      <c r="B518" s="365"/>
      <c r="C518" s="293" t="str">
        <f t="shared" ref="C518:G518" si="1086">TEXT(IF($B518=0," ",$B518-C$6),"hh:mm am/pm")</f>
        <v> </v>
      </c>
      <c r="D518" s="293" t="str">
        <f t="shared" si="1086"/>
        <v> </v>
      </c>
      <c r="E518" s="293" t="str">
        <f t="shared" si="1086"/>
        <v> </v>
      </c>
      <c r="F518" s="293" t="str">
        <f t="shared" si="1086"/>
        <v> </v>
      </c>
      <c r="G518" s="293" t="str">
        <f t="shared" si="1086"/>
        <v> </v>
      </c>
      <c r="H518" s="293" t="str">
        <f t="shared" ref="H518:I518" si="1087">TEXT(IF($B518=0," ",$B518+H$6),"hh:mm am/pm")</f>
        <v> </v>
      </c>
      <c r="I518" s="293" t="str">
        <f t="shared" si="1087"/>
        <v> </v>
      </c>
      <c r="J518" s="344"/>
      <c r="K518" s="367"/>
      <c r="L518" s="367"/>
      <c r="M518" s="368"/>
      <c r="N518" s="369"/>
      <c r="O518" s="370"/>
      <c r="P518" s="370"/>
      <c r="Q518" s="369"/>
      <c r="R518" s="369"/>
      <c r="S518" s="369"/>
      <c r="T518" s="371"/>
      <c r="U518" s="369"/>
      <c r="V518" s="369"/>
      <c r="W518" s="369"/>
      <c r="X518" s="372"/>
      <c r="Y518" s="367"/>
      <c r="Z518" s="369"/>
      <c r="AA518" s="372"/>
      <c r="AB518" s="372"/>
      <c r="AC518" s="371"/>
      <c r="AD518" s="371"/>
      <c r="AE518" s="367"/>
      <c r="AF518" s="372"/>
      <c r="AG518" s="367"/>
      <c r="AH518" s="367"/>
      <c r="AI518" s="367"/>
      <c r="AJ518" s="367"/>
      <c r="AK518" s="373"/>
      <c r="AL518" s="373"/>
      <c r="AM518" s="373"/>
      <c r="AN518" s="373"/>
      <c r="AO518" s="314" t="str">
        <f t="shared" si="1063"/>
        <v> </v>
      </c>
      <c r="AP518" s="374">
        <f t="shared" si="1064"/>
        <v>0</v>
      </c>
      <c r="AQ518" s="316" t="str">
        <f t="shared" si="1065"/>
        <v> </v>
      </c>
    </row>
    <row r="519" ht="29.25" customHeight="1" outlineLevel="1" spans="1:43">
      <c r="B519" s="317">
        <v>0.895844907407407</v>
      </c>
      <c r="C519" s="293" t="str">
        <f t="shared" ref="C519:G519" si="1088">TEXT(IF($B519=0," ",$B519-C$6),"hh:mm am/pm")</f>
        <v>19:30 001/p1</v>
      </c>
      <c r="D519" s="293" t="str">
        <f t="shared" si="1088"/>
        <v>17:30 001/p1</v>
      </c>
      <c r="E519" s="293" t="str">
        <f t="shared" si="1088"/>
        <v>18:30 001/p1</v>
      </c>
      <c r="F519" s="293" t="str">
        <f t="shared" si="1088"/>
        <v>19:30 001/p1</v>
      </c>
      <c r="G519" s="293" t="str">
        <f t="shared" si="1088"/>
        <v>20:30 001/p1</v>
      </c>
      <c r="H519" s="293" t="str">
        <f t="shared" ref="H519:I519" si="1089">TEXT(IF($B519=0," ",$B519+H$6),"hh:mm am/pm")</f>
        <v>03:30 001/p1</v>
      </c>
      <c r="I519" s="293" t="str">
        <f t="shared" si="1089"/>
        <v>08:30 001/p1</v>
      </c>
      <c r="J519" s="405" t="str">
        <f>L480</f>
        <v>#AS Sonic</v>
      </c>
      <c r="K519" s="406"/>
      <c r="L519" s="407" t="s">
        <v>290</v>
      </c>
      <c r="M519" s="408" t="s">
        <v>196</v>
      </c>
      <c r="N519" s="409" t="s">
        <v>57</v>
      </c>
      <c r="O519" s="410" t="s">
        <v>74</v>
      </c>
      <c r="P519" s="411" t="s">
        <v>59</v>
      </c>
      <c r="Q519" s="412">
        <f>30*2</f>
        <v>60</v>
      </c>
      <c r="R519" s="414" t="s">
        <v>60</v>
      </c>
      <c r="S519" s="413"/>
      <c r="T519" s="414">
        <v>0.1</v>
      </c>
      <c r="U519" s="409" t="s">
        <v>62</v>
      </c>
      <c r="V519" s="409">
        <v>1.6</v>
      </c>
      <c r="W519" s="409">
        <v>1.6</v>
      </c>
      <c r="X519" s="415"/>
      <c r="Y519" s="416" t="s">
        <v>79</v>
      </c>
      <c r="Z519" s="409">
        <v>1.6</v>
      </c>
      <c r="AA519" s="417">
        <v>20000</v>
      </c>
      <c r="AB519" s="417" t="s">
        <v>65</v>
      </c>
      <c r="AC519" s="414">
        <v>0.05</v>
      </c>
      <c r="AD519" s="414">
        <v>0</v>
      </c>
      <c r="AE519" s="418" t="s">
        <v>88</v>
      </c>
      <c r="AF519" s="419">
        <v>10000</v>
      </c>
      <c r="AG519" s="420">
        <v>4</v>
      </c>
      <c r="AH519" s="420">
        <v>4</v>
      </c>
      <c r="AI519" s="420">
        <v>4</v>
      </c>
      <c r="AJ519" s="418">
        <v>9</v>
      </c>
      <c r="AK519" s="421" t="s">
        <v>67</v>
      </c>
      <c r="AL519" s="428" t="s">
        <v>68</v>
      </c>
      <c r="AM519" s="422" t="s">
        <v>197</v>
      </c>
      <c r="AN519" s="403" t="s">
        <v>198</v>
      </c>
      <c r="AO519" s="314">
        <f t="shared" si="1063"/>
        <v>0.920844907407407</v>
      </c>
      <c r="AP519" s="315">
        <f t="shared" si="1064"/>
        <v>40</v>
      </c>
      <c r="AQ519" s="316" t="str">
        <f t="shared" si="1065"/>
        <v>MICRO</v>
      </c>
    </row>
    <row r="520" ht="29.25" customHeight="1" outlineLevel="1" spans="1:43">
      <c r="A520" s="363"/>
      <c r="B520" s="383"/>
      <c r="C520" s="434"/>
      <c r="D520" s="434"/>
      <c r="E520" s="434"/>
      <c r="F520" s="434"/>
      <c r="G520" s="434"/>
      <c r="H520" s="434"/>
      <c r="I520" s="434"/>
      <c r="J520" s="344"/>
      <c r="K520" s="367"/>
      <c r="L520" s="367"/>
      <c r="M520" s="435"/>
      <c r="N520" s="436"/>
      <c r="O520" s="437"/>
      <c r="P520" s="437"/>
      <c r="Q520" s="436"/>
      <c r="R520" s="436"/>
      <c r="S520" s="436"/>
      <c r="T520" s="438"/>
      <c r="U520" s="436"/>
      <c r="V520" s="436"/>
      <c r="W520" s="436"/>
      <c r="X520" s="436"/>
      <c r="Y520" s="366"/>
      <c r="Z520" s="439"/>
      <c r="AA520" s="439"/>
      <c r="AB520" s="439"/>
      <c r="AC520" s="438"/>
      <c r="AD520" s="438"/>
      <c r="AE520" s="366"/>
      <c r="AF520" s="439"/>
      <c r="AG520" s="366"/>
      <c r="AH520" s="366"/>
      <c r="AI520" s="366"/>
      <c r="AJ520" s="366"/>
      <c r="AK520" s="440"/>
      <c r="AL520" s="440"/>
      <c r="AM520" s="440"/>
      <c r="AN520" s="440"/>
      <c r="AO520" s="383"/>
      <c r="AP520" s="374"/>
      <c r="AQ520" s="383"/>
    </row>
    <row r="521" ht="29.25" customHeight="1" outlineLevel="1" spans="1:43">
      <c r="A521" s="363"/>
      <c r="B521" s="292">
        <v>0.375011574074074</v>
      </c>
      <c r="C521" s="293" t="str">
        <f t="shared" ref="C521:G521" si="1090">TEXT(IF($B521=0," ",$B521-C$6),"hh:mm am/pm")</f>
        <v>07:00 001/p1</v>
      </c>
      <c r="D521" s="293" t="str">
        <f t="shared" si="1090"/>
        <v>05:00 001/p1</v>
      </c>
      <c r="E521" s="293" t="str">
        <f t="shared" si="1090"/>
        <v>06:00 001/p1</v>
      </c>
      <c r="F521" s="293" t="str">
        <f t="shared" si="1090"/>
        <v>07:00 001/p1</v>
      </c>
      <c r="G521" s="293" t="str">
        <f t="shared" si="1090"/>
        <v>08:00 001/p1</v>
      </c>
      <c r="H521" s="293" t="str">
        <f t="shared" ref="H521:I521" si="1091">TEXT(IF($B521=0," ",$B521+H$6),"hh:mm am/pm")</f>
        <v>15:00 001/p1</v>
      </c>
      <c r="I521" s="293" t="str">
        <f t="shared" si="1091"/>
        <v>20:00 001/p1</v>
      </c>
      <c r="J521" s="423" t="s">
        <v>219</v>
      </c>
      <c r="K521" s="424"/>
      <c r="L521" s="425" t="s">
        <v>220</v>
      </c>
      <c r="M521" s="387" t="s">
        <v>196</v>
      </c>
      <c r="N521" s="442" t="s">
        <v>57</v>
      </c>
      <c r="O521" s="443" t="s">
        <v>74</v>
      </c>
      <c r="P521" s="444" t="s">
        <v>59</v>
      </c>
      <c r="Q521" s="445">
        <f>40*2</f>
        <v>80</v>
      </c>
      <c r="R521" s="446" t="s">
        <v>60</v>
      </c>
      <c r="S521" s="447"/>
      <c r="T521" s="446">
        <v>0.1</v>
      </c>
      <c r="U521" s="442" t="s">
        <v>62</v>
      </c>
      <c r="V521" s="442">
        <v>0.6</v>
      </c>
      <c r="W521" s="442">
        <v>1</v>
      </c>
      <c r="X521" s="499"/>
      <c r="Y521" s="449" t="s">
        <v>79</v>
      </c>
      <c r="Z521" s="442">
        <v>2</v>
      </c>
      <c r="AA521" s="450">
        <v>50000</v>
      </c>
      <c r="AB521" s="450" t="s">
        <v>65</v>
      </c>
      <c r="AC521" s="446">
        <v>0.05</v>
      </c>
      <c r="AD521" s="446">
        <v>0</v>
      </c>
      <c r="AE521" s="451" t="s">
        <v>66</v>
      </c>
      <c r="AF521" s="448">
        <v>20000</v>
      </c>
      <c r="AG521" s="452">
        <v>7</v>
      </c>
      <c r="AH521" s="452">
        <v>6</v>
      </c>
      <c r="AI521" s="452">
        <v>5</v>
      </c>
      <c r="AJ521" s="451">
        <v>13</v>
      </c>
      <c r="AK521" s="453" t="s">
        <v>67</v>
      </c>
      <c r="AL521" s="454" t="s">
        <v>68</v>
      </c>
      <c r="AM521" s="455" t="s">
        <v>197</v>
      </c>
      <c r="AN521" s="455" t="s">
        <v>170</v>
      </c>
      <c r="AO521" s="314">
        <f t="shared" ref="AO521:AO532" si="1092">IF(B521=0," ",TIME(,ROUNDDOWN(AG521*AJ521/60,0)*5+(AG521*AJ521),)+B521)</f>
        <v>0.441678240740741</v>
      </c>
      <c r="AP521" s="315">
        <f t="shared" ref="AP521:AP532" si="1093">IF(Q521=0,,ROUNDUP(Q521/(V521*(1-AC521-AD521)),0))</f>
        <v>141</v>
      </c>
      <c r="AQ521" s="316" t="str">
        <f t="shared" ref="AQ521:AQ532" si="1094">IFERROR(IF(V521=0," ",IF(V521&lt;=5,"MICRO",IF(V521&lt;=19.8,"LOW",IF(V521&lt;=99.8,"MEDIUM",IF(V521&lt;=500,"HIGH",IF(V521&gt;500,"SUPER HIGH",)))))),"")</f>
        <v>MICRO</v>
      </c>
    </row>
    <row r="522" ht="29.25" customHeight="1" outlineLevel="1" spans="1:43">
      <c r="A522" s="363"/>
      <c r="B522" s="292">
        <v>0.458344907407407</v>
      </c>
      <c r="C522" s="293" t="str">
        <f t="shared" ref="C522:G522" si="1095">TEXT(IF($B522=0," ",$B522-C$6),"hh:mm am/pm")</f>
        <v>09:00 001/p1</v>
      </c>
      <c r="D522" s="293" t="str">
        <f t="shared" si="1095"/>
        <v>07:00 001/p1</v>
      </c>
      <c r="E522" s="293" t="str">
        <f t="shared" si="1095"/>
        <v>08:00 001/p1</v>
      </c>
      <c r="F522" s="293" t="str">
        <f t="shared" si="1095"/>
        <v>09:00 001/p1</v>
      </c>
      <c r="G522" s="293" t="str">
        <f t="shared" si="1095"/>
        <v>10:00 001/p1</v>
      </c>
      <c r="H522" s="293" t="str">
        <f t="shared" ref="H522:I522" si="1096">TEXT(IF($B522=0," ",$B522+H$6),"hh:mm am/pm")</f>
        <v>17:00 001/p1</v>
      </c>
      <c r="I522" s="293" t="str">
        <f t="shared" si="1096"/>
        <v>22:00 001/p1</v>
      </c>
      <c r="J522" s="29"/>
      <c r="K522" s="431"/>
      <c r="L522" s="432" t="s">
        <v>221</v>
      </c>
      <c r="M522" s="387" t="s">
        <v>196</v>
      </c>
      <c r="N522" s="442" t="s">
        <v>57</v>
      </c>
      <c r="O522" s="443" t="s">
        <v>74</v>
      </c>
      <c r="P522" s="444" t="s">
        <v>59</v>
      </c>
      <c r="Q522" s="445">
        <f>40*3</f>
        <v>120</v>
      </c>
      <c r="R522" s="446" t="s">
        <v>60</v>
      </c>
      <c r="S522" s="447"/>
      <c r="T522" s="446">
        <v>0.1</v>
      </c>
      <c r="U522" s="442" t="s">
        <v>62</v>
      </c>
      <c r="V522" s="442">
        <v>1</v>
      </c>
      <c r="W522" s="442">
        <v>1</v>
      </c>
      <c r="X522" s="499"/>
      <c r="Y522" s="449" t="s">
        <v>79</v>
      </c>
      <c r="Z522" s="442">
        <v>3</v>
      </c>
      <c r="AA522" s="450">
        <v>50000</v>
      </c>
      <c r="AB522" s="450" t="s">
        <v>65</v>
      </c>
      <c r="AC522" s="446">
        <v>0.05</v>
      </c>
      <c r="AD522" s="446">
        <v>0</v>
      </c>
      <c r="AE522" s="451" t="s">
        <v>66</v>
      </c>
      <c r="AF522" s="448">
        <v>30000</v>
      </c>
      <c r="AG522" s="452">
        <v>7</v>
      </c>
      <c r="AH522" s="452">
        <v>6</v>
      </c>
      <c r="AI522" s="452">
        <v>5</v>
      </c>
      <c r="AJ522" s="451">
        <v>13</v>
      </c>
      <c r="AK522" s="453" t="s">
        <v>67</v>
      </c>
      <c r="AL522" s="454" t="s">
        <v>68</v>
      </c>
      <c r="AM522" s="455" t="s">
        <v>197</v>
      </c>
      <c r="AN522" s="455" t="s">
        <v>170</v>
      </c>
      <c r="AO522" s="314">
        <f t="shared" si="1092"/>
        <v>0.525011574074074</v>
      </c>
      <c r="AP522" s="315">
        <f t="shared" si="1093"/>
        <v>127</v>
      </c>
      <c r="AQ522" s="316" t="str">
        <f t="shared" si="1094"/>
        <v>MICRO</v>
      </c>
    </row>
    <row r="523" ht="29.25" customHeight="1" outlineLevel="1" spans="1:43">
      <c r="A523" s="363"/>
      <c r="B523" s="317">
        <v>0.541678240740741</v>
      </c>
      <c r="C523" s="293" t="str">
        <f t="shared" ref="C523:G523" si="1097">TEXT(IF($B523=0," ",$B523-C$6),"hh:mm am/pm")</f>
        <v>11:00 001/p1</v>
      </c>
      <c r="D523" s="293" t="str">
        <f t="shared" si="1097"/>
        <v>09:00 001/p1</v>
      </c>
      <c r="E523" s="293" t="str">
        <f t="shared" si="1097"/>
        <v>10:00 001/p1</v>
      </c>
      <c r="F523" s="293" t="str">
        <f t="shared" si="1097"/>
        <v>11:00 001/p1</v>
      </c>
      <c r="G523" s="293" t="str">
        <f t="shared" si="1097"/>
        <v>12:00 001/p1</v>
      </c>
      <c r="H523" s="293" t="str">
        <f t="shared" ref="H523:I523" si="1098">TEXT(IF($B523=0," ",$B523+H$6),"hh:mm am/pm")</f>
        <v>19:00 001/p1</v>
      </c>
      <c r="I523" s="293" t="str">
        <f t="shared" si="1098"/>
        <v>00:00 001/p1</v>
      </c>
      <c r="J523" s="29"/>
      <c r="K523" s="431"/>
      <c r="L523" s="432" t="s">
        <v>222</v>
      </c>
      <c r="M523" s="387" t="s">
        <v>196</v>
      </c>
      <c r="N523" s="442" t="s">
        <v>57</v>
      </c>
      <c r="O523" s="443" t="s">
        <v>74</v>
      </c>
      <c r="P523" s="444" t="s">
        <v>59</v>
      </c>
      <c r="Q523" s="445">
        <f>40*4</f>
        <v>160</v>
      </c>
      <c r="R523" s="414" t="s">
        <v>60</v>
      </c>
      <c r="S523" s="413"/>
      <c r="T523" s="414">
        <v>0.1</v>
      </c>
      <c r="U523" s="409" t="s">
        <v>62</v>
      </c>
      <c r="V523" s="442">
        <v>2</v>
      </c>
      <c r="W523" s="442">
        <v>2</v>
      </c>
      <c r="X523" s="415"/>
      <c r="Y523" s="416" t="s">
        <v>79</v>
      </c>
      <c r="Z523" s="409">
        <v>3</v>
      </c>
      <c r="AA523" s="417">
        <v>50000</v>
      </c>
      <c r="AB523" s="417" t="s">
        <v>65</v>
      </c>
      <c r="AC523" s="414">
        <v>0.05</v>
      </c>
      <c r="AD523" s="414">
        <v>0</v>
      </c>
      <c r="AE523" s="418" t="s">
        <v>66</v>
      </c>
      <c r="AF523" s="419">
        <v>30000</v>
      </c>
      <c r="AG523" s="420">
        <v>7</v>
      </c>
      <c r="AH523" s="420">
        <v>6</v>
      </c>
      <c r="AI523" s="420">
        <v>5</v>
      </c>
      <c r="AJ523" s="418">
        <v>13</v>
      </c>
      <c r="AK523" s="421" t="s">
        <v>67</v>
      </c>
      <c r="AL523" s="428" t="s">
        <v>68</v>
      </c>
      <c r="AM523" s="422" t="s">
        <v>197</v>
      </c>
      <c r="AN523" s="422" t="s">
        <v>170</v>
      </c>
      <c r="AO523" s="314">
        <f t="shared" si="1092"/>
        <v>0.608344907407407</v>
      </c>
      <c r="AP523" s="315">
        <f t="shared" si="1093"/>
        <v>85</v>
      </c>
      <c r="AQ523" s="316" t="str">
        <f t="shared" si="1094"/>
        <v>MICRO</v>
      </c>
    </row>
    <row r="524" ht="29.25" customHeight="1" outlineLevel="1" spans="1:43">
      <c r="A524" s="363"/>
      <c r="B524" s="317">
        <v>0.625011574074074</v>
      </c>
      <c r="C524" s="293" t="str">
        <f t="shared" ref="C524:G524" si="1099">TEXT(IF($B524=0," ",$B524-C$6),"hh:mm am/pm")</f>
        <v>13:00 001/p1</v>
      </c>
      <c r="D524" s="293" t="str">
        <f t="shared" si="1099"/>
        <v>11:00 001/p1</v>
      </c>
      <c r="E524" s="293" t="str">
        <f t="shared" si="1099"/>
        <v>12:00 001/p1</v>
      </c>
      <c r="F524" s="293" t="str">
        <f t="shared" si="1099"/>
        <v>13:00 001/p1</v>
      </c>
      <c r="G524" s="293" t="str">
        <f t="shared" si="1099"/>
        <v>14:00 001/p1</v>
      </c>
      <c r="H524" s="293" t="str">
        <f t="shared" ref="H524:I524" si="1100">TEXT(IF($B524=0," ",$B524+H$6),"hh:mm am/pm")</f>
        <v>21:00 001/p1</v>
      </c>
      <c r="I524" s="293" t="str">
        <f t="shared" si="1100"/>
        <v>02:00 001/p1</v>
      </c>
      <c r="J524" s="29"/>
      <c r="K524" s="431"/>
      <c r="L524" s="432" t="s">
        <v>223</v>
      </c>
      <c r="M524" s="387" t="s">
        <v>196</v>
      </c>
      <c r="N524" s="442" t="s">
        <v>57</v>
      </c>
      <c r="O524" s="443" t="s">
        <v>74</v>
      </c>
      <c r="P524" s="444" t="s">
        <v>59</v>
      </c>
      <c r="Q524" s="445">
        <f t="shared" ref="Q524:Q526" si="1101">40*5</f>
        <v>200</v>
      </c>
      <c r="R524" s="414" t="s">
        <v>60</v>
      </c>
      <c r="S524" s="413"/>
      <c r="T524" s="414">
        <v>0.1</v>
      </c>
      <c r="U524" s="409" t="s">
        <v>62</v>
      </c>
      <c r="V524" s="442">
        <v>2</v>
      </c>
      <c r="W524" s="442">
        <v>2</v>
      </c>
      <c r="X524" s="415"/>
      <c r="Y524" s="416" t="s">
        <v>79</v>
      </c>
      <c r="Z524" s="409">
        <v>3</v>
      </c>
      <c r="AA524" s="417">
        <v>50000</v>
      </c>
      <c r="AB524" s="417" t="s">
        <v>65</v>
      </c>
      <c r="AC524" s="414">
        <v>0.05</v>
      </c>
      <c r="AD524" s="414">
        <v>0</v>
      </c>
      <c r="AE524" s="418" t="s">
        <v>66</v>
      </c>
      <c r="AF524" s="419">
        <v>30000</v>
      </c>
      <c r="AG524" s="420">
        <v>7</v>
      </c>
      <c r="AH524" s="420">
        <v>6</v>
      </c>
      <c r="AI524" s="420">
        <v>5</v>
      </c>
      <c r="AJ524" s="418">
        <v>13</v>
      </c>
      <c r="AK524" s="421" t="s">
        <v>67</v>
      </c>
      <c r="AL524" s="428" t="s">
        <v>68</v>
      </c>
      <c r="AM524" s="422" t="s">
        <v>197</v>
      </c>
      <c r="AN524" s="422" t="s">
        <v>170</v>
      </c>
      <c r="AO524" s="314">
        <f t="shared" si="1092"/>
        <v>0.691678240740741</v>
      </c>
      <c r="AP524" s="315">
        <f t="shared" si="1093"/>
        <v>106</v>
      </c>
      <c r="AQ524" s="316" t="str">
        <f t="shared" si="1094"/>
        <v>MICRO</v>
      </c>
    </row>
    <row r="525" ht="29.25" customHeight="1" outlineLevel="1" spans="1:43">
      <c r="A525" s="363"/>
      <c r="B525" s="317">
        <v>0.708344907407407</v>
      </c>
      <c r="C525" s="293" t="str">
        <f t="shared" ref="C525:G525" si="1102">TEXT(IF($B525=0," ",$B525-C$6),"hh:mm am/pm")</f>
        <v>15:00 001/p1</v>
      </c>
      <c r="D525" s="293" t="str">
        <f t="shared" si="1102"/>
        <v>13:00 001/p1</v>
      </c>
      <c r="E525" s="293" t="str">
        <f t="shared" si="1102"/>
        <v>14:00 001/p1</v>
      </c>
      <c r="F525" s="293" t="str">
        <f t="shared" si="1102"/>
        <v>15:00 001/p1</v>
      </c>
      <c r="G525" s="293" t="str">
        <f t="shared" si="1102"/>
        <v>16:00 001/p1</v>
      </c>
      <c r="H525" s="293" t="str">
        <f t="shared" ref="H525:I525" si="1103">TEXT(IF($B525=0," ",$B525+H$6),"hh:mm am/pm")</f>
        <v>23:00 001/p1</v>
      </c>
      <c r="I525" s="293" t="str">
        <f t="shared" si="1103"/>
        <v>04:00 001/p1</v>
      </c>
      <c r="J525" s="29"/>
      <c r="K525" s="431"/>
      <c r="L525" s="432" t="s">
        <v>223</v>
      </c>
      <c r="M525" s="387" t="s">
        <v>196</v>
      </c>
      <c r="N525" s="442" t="s">
        <v>57</v>
      </c>
      <c r="O525" s="443" t="s">
        <v>74</v>
      </c>
      <c r="P525" s="444" t="s">
        <v>59</v>
      </c>
      <c r="Q525" s="445">
        <f t="shared" si="1101"/>
        <v>200</v>
      </c>
      <c r="R525" s="414" t="s">
        <v>60</v>
      </c>
      <c r="S525" s="413"/>
      <c r="T525" s="414">
        <v>0.1</v>
      </c>
      <c r="U525" s="409" t="s">
        <v>62</v>
      </c>
      <c r="V525" s="442">
        <v>2</v>
      </c>
      <c r="W525" s="442">
        <v>2</v>
      </c>
      <c r="X525" s="415"/>
      <c r="Y525" s="416" t="s">
        <v>79</v>
      </c>
      <c r="Z525" s="409">
        <v>3</v>
      </c>
      <c r="AA525" s="417">
        <v>50000</v>
      </c>
      <c r="AB525" s="417" t="s">
        <v>65</v>
      </c>
      <c r="AC525" s="414">
        <v>0.05</v>
      </c>
      <c r="AD525" s="414">
        <v>0</v>
      </c>
      <c r="AE525" s="418" t="s">
        <v>66</v>
      </c>
      <c r="AF525" s="419">
        <v>30000</v>
      </c>
      <c r="AG525" s="420">
        <v>7</v>
      </c>
      <c r="AH525" s="420">
        <v>6</v>
      </c>
      <c r="AI525" s="420">
        <v>5</v>
      </c>
      <c r="AJ525" s="418">
        <v>13</v>
      </c>
      <c r="AK525" s="421" t="s">
        <v>67</v>
      </c>
      <c r="AL525" s="428" t="s">
        <v>68</v>
      </c>
      <c r="AM525" s="422" t="s">
        <v>197</v>
      </c>
      <c r="AN525" s="422" t="s">
        <v>170</v>
      </c>
      <c r="AO525" s="314">
        <f t="shared" si="1092"/>
        <v>0.775011574074074</v>
      </c>
      <c r="AP525" s="315">
        <f t="shared" si="1093"/>
        <v>106</v>
      </c>
      <c r="AQ525" s="316" t="str">
        <f t="shared" si="1094"/>
        <v>MICRO</v>
      </c>
    </row>
    <row r="526" ht="29.25" customHeight="1" outlineLevel="1" spans="1:43">
      <c r="A526" s="363"/>
      <c r="B526" s="317">
        <v>0.791678240740741</v>
      </c>
      <c r="C526" s="293" t="str">
        <f t="shared" ref="C526:G526" si="1104">TEXT(IF($B526=0," ",$B526-C$6),"hh:mm am/pm")</f>
        <v>17:00 001/p1</v>
      </c>
      <c r="D526" s="293" t="str">
        <f t="shared" si="1104"/>
        <v>15:00 001/p1</v>
      </c>
      <c r="E526" s="293" t="str">
        <f t="shared" si="1104"/>
        <v>16:00 001/p1</v>
      </c>
      <c r="F526" s="293" t="str">
        <f t="shared" si="1104"/>
        <v>17:00 001/p1</v>
      </c>
      <c r="G526" s="293" t="str">
        <f t="shared" si="1104"/>
        <v>18:00 001/p1</v>
      </c>
      <c r="H526" s="293" t="str">
        <f t="shared" ref="H526:I526" si="1105">TEXT(IF($B526=0," ",$B526+H$6),"hh:mm am/pm")</f>
        <v>01:00 001/p1</v>
      </c>
      <c r="I526" s="293" t="str">
        <f t="shared" si="1105"/>
        <v>06:00 001/p1</v>
      </c>
      <c r="J526" s="29"/>
      <c r="K526" s="431"/>
      <c r="L526" s="432" t="s">
        <v>223</v>
      </c>
      <c r="M526" s="387" t="s">
        <v>196</v>
      </c>
      <c r="N526" s="442" t="s">
        <v>57</v>
      </c>
      <c r="O526" s="443" t="s">
        <v>74</v>
      </c>
      <c r="P526" s="444" t="s">
        <v>59</v>
      </c>
      <c r="Q526" s="445">
        <f t="shared" si="1101"/>
        <v>200</v>
      </c>
      <c r="R526" s="414" t="s">
        <v>60</v>
      </c>
      <c r="S526" s="413"/>
      <c r="T526" s="414">
        <v>0.1</v>
      </c>
      <c r="U526" s="409" t="s">
        <v>62</v>
      </c>
      <c r="V526" s="442">
        <v>2</v>
      </c>
      <c r="W526" s="442">
        <v>2</v>
      </c>
      <c r="X526" s="415"/>
      <c r="Y526" s="416" t="s">
        <v>79</v>
      </c>
      <c r="Z526" s="409">
        <v>3</v>
      </c>
      <c r="AA526" s="417">
        <v>50000</v>
      </c>
      <c r="AB526" s="417" t="s">
        <v>65</v>
      </c>
      <c r="AC526" s="414">
        <v>0.05</v>
      </c>
      <c r="AD526" s="414">
        <v>0</v>
      </c>
      <c r="AE526" s="418" t="s">
        <v>66</v>
      </c>
      <c r="AF526" s="419">
        <v>30000</v>
      </c>
      <c r="AG526" s="420">
        <v>7</v>
      </c>
      <c r="AH526" s="420">
        <v>6</v>
      </c>
      <c r="AI526" s="420">
        <v>5</v>
      </c>
      <c r="AJ526" s="418">
        <v>13</v>
      </c>
      <c r="AK526" s="421" t="s">
        <v>67</v>
      </c>
      <c r="AL526" s="428" t="s">
        <v>68</v>
      </c>
      <c r="AM526" s="422" t="s">
        <v>197</v>
      </c>
      <c r="AN526" s="422" t="s">
        <v>170</v>
      </c>
      <c r="AO526" s="314">
        <f t="shared" si="1092"/>
        <v>0.858344907407407</v>
      </c>
      <c r="AP526" s="315">
        <f t="shared" si="1093"/>
        <v>106</v>
      </c>
      <c r="AQ526" s="316" t="str">
        <f t="shared" si="1094"/>
        <v>MICRO</v>
      </c>
    </row>
    <row r="527" ht="29.25" customHeight="1" outlineLevel="1" spans="1:43">
      <c r="A527" s="363"/>
      <c r="B527" s="317">
        <v>0.875011574074074</v>
      </c>
      <c r="C527" s="293" t="str">
        <f t="shared" ref="C527:G527" si="1106">TEXT(IF($B527=0," ",$B527-C$6),"hh:mm am/pm")</f>
        <v>19:00 001/p1</v>
      </c>
      <c r="D527" s="293" t="str">
        <f t="shared" si="1106"/>
        <v>17:00 001/p1</v>
      </c>
      <c r="E527" s="293" t="str">
        <f t="shared" si="1106"/>
        <v>18:00 001/p1</v>
      </c>
      <c r="F527" s="293" t="str">
        <f t="shared" si="1106"/>
        <v>19:00 001/p1</v>
      </c>
      <c r="G527" s="293" t="str">
        <f t="shared" si="1106"/>
        <v>20:00 001/p1</v>
      </c>
      <c r="H527" s="293" t="str">
        <f t="shared" ref="H527:I527" si="1107">TEXT(IF($B527=0," ",$B527+H$6),"hh:mm am/pm")</f>
        <v>03:00 001/p1</v>
      </c>
      <c r="I527" s="293" t="str">
        <f t="shared" si="1107"/>
        <v>08:00 001/p1</v>
      </c>
      <c r="J527" s="29"/>
      <c r="K527" s="431"/>
      <c r="L527" s="432" t="s">
        <v>351</v>
      </c>
      <c r="M527" s="387" t="s">
        <v>196</v>
      </c>
      <c r="N527" s="442" t="s">
        <v>57</v>
      </c>
      <c r="O527" s="443" t="s">
        <v>74</v>
      </c>
      <c r="P527" s="444" t="s">
        <v>59</v>
      </c>
      <c r="Q527" s="445">
        <f>40*10</f>
        <v>400</v>
      </c>
      <c r="R527" s="414" t="s">
        <v>60</v>
      </c>
      <c r="S527" s="413"/>
      <c r="T527" s="414">
        <v>0.1</v>
      </c>
      <c r="U527" s="409" t="s">
        <v>62</v>
      </c>
      <c r="V527" s="442">
        <v>0</v>
      </c>
      <c r="W527" s="442">
        <v>1</v>
      </c>
      <c r="X527" s="415"/>
      <c r="Y527" s="416" t="s">
        <v>79</v>
      </c>
      <c r="Z527" s="409">
        <v>3</v>
      </c>
      <c r="AA527" s="417">
        <v>50000</v>
      </c>
      <c r="AB527" s="417" t="s">
        <v>65</v>
      </c>
      <c r="AC527" s="414">
        <v>0.05</v>
      </c>
      <c r="AD527" s="414">
        <v>0</v>
      </c>
      <c r="AE527" s="418" t="s">
        <v>66</v>
      </c>
      <c r="AF527" s="419">
        <v>30000</v>
      </c>
      <c r="AG527" s="420">
        <v>7</v>
      </c>
      <c r="AH527" s="420">
        <v>6</v>
      </c>
      <c r="AI527" s="420">
        <v>5</v>
      </c>
      <c r="AJ527" s="418">
        <v>13</v>
      </c>
      <c r="AK527" s="421" t="s">
        <v>67</v>
      </c>
      <c r="AL527" s="428" t="s">
        <v>68</v>
      </c>
      <c r="AM527" s="422" t="s">
        <v>197</v>
      </c>
      <c r="AN527" s="422" t="s">
        <v>170</v>
      </c>
      <c r="AO527" s="314">
        <f t="shared" si="1092"/>
        <v>0.941678240740741</v>
      </c>
      <c r="AP527" s="315" t="e">
        <f t="shared" si="1093"/>
        <v>#DIV/0!</v>
      </c>
      <c r="AQ527" s="316" t="str">
        <f t="shared" si="1094"/>
        <v> </v>
      </c>
    </row>
    <row r="528" ht="29.25" customHeight="1" outlineLevel="1" spans="1:43">
      <c r="A528" s="363"/>
      <c r="B528" s="317">
        <v>0.958344907407407</v>
      </c>
      <c r="C528" s="293" t="str">
        <f t="shared" ref="C528:G528" si="1108">TEXT(IF($B528=0," ",$B528-C$6),"hh:mm am/pm")</f>
        <v>21:00 001/p1</v>
      </c>
      <c r="D528" s="293" t="str">
        <f t="shared" si="1108"/>
        <v>19:00 001/p1</v>
      </c>
      <c r="E528" s="293" t="str">
        <f t="shared" si="1108"/>
        <v>20:00 001/p1</v>
      </c>
      <c r="F528" s="293" t="str">
        <f t="shared" si="1108"/>
        <v>21:00 001/p1</v>
      </c>
      <c r="G528" s="293" t="str">
        <f t="shared" si="1108"/>
        <v>22:00 001/p1</v>
      </c>
      <c r="H528" s="293" t="str">
        <f t="shared" ref="H528:I528" si="1109">TEXT(IF($B528=0," ",$B528+H$6),"hh:mm am/pm")</f>
        <v>05:00 001/p1</v>
      </c>
      <c r="I528" s="293" t="str">
        <f t="shared" si="1109"/>
        <v>10:00 001/p1</v>
      </c>
      <c r="J528" s="124"/>
      <c r="K528" s="406"/>
      <c r="L528" s="407" t="s">
        <v>220</v>
      </c>
      <c r="M528" s="387" t="s">
        <v>196</v>
      </c>
      <c r="N528" s="442" t="s">
        <v>57</v>
      </c>
      <c r="O528" s="443" t="s">
        <v>74</v>
      </c>
      <c r="P528" s="444" t="s">
        <v>59</v>
      </c>
      <c r="Q528" s="445">
        <f>40*2</f>
        <v>80</v>
      </c>
      <c r="R528" s="446" t="s">
        <v>60</v>
      </c>
      <c r="S528" s="447"/>
      <c r="T528" s="446">
        <v>0.1</v>
      </c>
      <c r="U528" s="442" t="s">
        <v>62</v>
      </c>
      <c r="V528" s="442">
        <v>0.6</v>
      </c>
      <c r="W528" s="442">
        <v>1</v>
      </c>
      <c r="X528" s="499"/>
      <c r="Y528" s="449" t="s">
        <v>79</v>
      </c>
      <c r="Z528" s="442">
        <v>2</v>
      </c>
      <c r="AA528" s="450">
        <v>50000</v>
      </c>
      <c r="AB528" s="450" t="s">
        <v>65</v>
      </c>
      <c r="AC528" s="446">
        <v>0.05</v>
      </c>
      <c r="AD528" s="446">
        <v>0</v>
      </c>
      <c r="AE528" s="451" t="s">
        <v>66</v>
      </c>
      <c r="AF528" s="448">
        <v>30000</v>
      </c>
      <c r="AG528" s="452">
        <v>6</v>
      </c>
      <c r="AH528" s="452">
        <v>5</v>
      </c>
      <c r="AI528" s="452">
        <v>5</v>
      </c>
      <c r="AJ528" s="451">
        <v>13</v>
      </c>
      <c r="AK528" s="453" t="s">
        <v>67</v>
      </c>
      <c r="AL528" s="454" t="s">
        <v>68</v>
      </c>
      <c r="AM528" s="455" t="s">
        <v>197</v>
      </c>
      <c r="AN528" s="455" t="s">
        <v>170</v>
      </c>
      <c r="AO528" s="314">
        <f t="shared" si="1092"/>
        <v>1.0159837962963</v>
      </c>
      <c r="AP528" s="315">
        <f t="shared" si="1093"/>
        <v>141</v>
      </c>
      <c r="AQ528" s="316" t="str">
        <f t="shared" si="1094"/>
        <v>MICRO</v>
      </c>
    </row>
    <row r="529" ht="29.25" customHeight="1" outlineLevel="1" spans="1:43">
      <c r="A529" s="363" t="s">
        <v>352</v>
      </c>
      <c r="B529" s="365"/>
      <c r="C529" s="293" t="str">
        <f t="shared" ref="C529:G529" si="1110">TEXT(IF($B529=0," ",$B529-C$6),"hh:mm am/pm")</f>
        <v> </v>
      </c>
      <c r="D529" s="293" t="str">
        <f t="shared" si="1110"/>
        <v> </v>
      </c>
      <c r="E529" s="293" t="str">
        <f t="shared" si="1110"/>
        <v> </v>
      </c>
      <c r="F529" s="293" t="str">
        <f t="shared" si="1110"/>
        <v> </v>
      </c>
      <c r="G529" s="293" t="str">
        <f t="shared" si="1110"/>
        <v> </v>
      </c>
      <c r="H529" s="293" t="str">
        <f t="shared" ref="H529:I529" si="1111">TEXT(IF($B529=0," ",$B529+H$6),"hh:mm am/pm")</f>
        <v> </v>
      </c>
      <c r="I529" s="293" t="str">
        <f t="shared" si="1111"/>
        <v> </v>
      </c>
      <c r="J529" s="344"/>
      <c r="K529" s="367"/>
      <c r="L529" s="367"/>
      <c r="M529" s="368"/>
      <c r="N529" s="369"/>
      <c r="O529" s="370"/>
      <c r="P529" s="370"/>
      <c r="Q529" s="369"/>
      <c r="R529" s="369"/>
      <c r="S529" s="369"/>
      <c r="T529" s="371"/>
      <c r="U529" s="369"/>
      <c r="V529" s="369"/>
      <c r="W529" s="369"/>
      <c r="X529" s="372"/>
      <c r="Y529" s="367"/>
      <c r="Z529" s="369"/>
      <c r="AA529" s="372"/>
      <c r="AB529" s="372"/>
      <c r="AC529" s="371"/>
      <c r="AD529" s="371"/>
      <c r="AE529" s="367"/>
      <c r="AF529" s="372"/>
      <c r="AG529" s="367"/>
      <c r="AH529" s="367"/>
      <c r="AI529" s="367"/>
      <c r="AJ529" s="367"/>
      <c r="AK529" s="373"/>
      <c r="AL529" s="373"/>
      <c r="AM529" s="373"/>
      <c r="AN529" s="373"/>
      <c r="AO529" s="314" t="str">
        <f t="shared" si="1092"/>
        <v> </v>
      </c>
      <c r="AP529" s="374">
        <f t="shared" si="1093"/>
        <v>0</v>
      </c>
      <c r="AQ529" s="316" t="str">
        <f t="shared" si="1094"/>
        <v> </v>
      </c>
    </row>
    <row r="530" ht="29.25" customHeight="1" outlineLevel="1" spans="1:43">
      <c r="B530" s="317">
        <v>0.708344907407407</v>
      </c>
      <c r="C530" s="293" t="str">
        <f t="shared" ref="C530:G530" si="1112">TEXT(IF($B530=0," ",$B530-C$6),"hh:mm am/pm")</f>
        <v>15:00 001/p1</v>
      </c>
      <c r="D530" s="293" t="str">
        <f t="shared" si="1112"/>
        <v>13:00 001/p1</v>
      </c>
      <c r="E530" s="293" t="str">
        <f t="shared" si="1112"/>
        <v>14:00 001/p1</v>
      </c>
      <c r="F530" s="293" t="str">
        <f t="shared" si="1112"/>
        <v>15:00 001/p1</v>
      </c>
      <c r="G530" s="293" t="str">
        <f t="shared" si="1112"/>
        <v>16:00 001/p1</v>
      </c>
      <c r="H530" s="293" t="str">
        <f t="shared" ref="H530:I530" si="1113">TEXT(IF($B530=0," ",$B530+H$6),"hh:mm am/pm")</f>
        <v>23:00 001/p1</v>
      </c>
      <c r="I530" s="293" t="str">
        <f t="shared" si="1113"/>
        <v>04:00 001/p1</v>
      </c>
      <c r="J530" s="423" t="s">
        <v>382</v>
      </c>
      <c r="K530" s="424"/>
      <c r="L530" s="425" t="s">
        <v>383</v>
      </c>
      <c r="M530" s="408" t="s">
        <v>196</v>
      </c>
      <c r="N530" s="409" t="s">
        <v>57</v>
      </c>
      <c r="O530" s="410" t="s">
        <v>74</v>
      </c>
      <c r="P530" s="411" t="s">
        <v>59</v>
      </c>
      <c r="Q530" s="412">
        <f>110</f>
        <v>110</v>
      </c>
      <c r="R530" s="414" t="s">
        <v>60</v>
      </c>
      <c r="S530" s="413"/>
      <c r="T530" s="414">
        <v>0.1</v>
      </c>
      <c r="U530" s="409" t="s">
        <v>62</v>
      </c>
      <c r="V530" s="409">
        <v>2</v>
      </c>
      <c r="W530" s="409">
        <v>3</v>
      </c>
      <c r="X530" s="419">
        <v>25000</v>
      </c>
      <c r="Y530" s="416" t="s">
        <v>79</v>
      </c>
      <c r="Z530" s="409">
        <v>5</v>
      </c>
      <c r="AA530" s="417">
        <v>50000</v>
      </c>
      <c r="AB530" s="417" t="s">
        <v>65</v>
      </c>
      <c r="AC530" s="414">
        <v>0.05</v>
      </c>
      <c r="AD530" s="414">
        <v>0</v>
      </c>
      <c r="AE530" s="418" t="s">
        <v>66</v>
      </c>
      <c r="AF530" s="419">
        <v>20000</v>
      </c>
      <c r="AG530" s="420">
        <v>7</v>
      </c>
      <c r="AH530" s="420">
        <v>6</v>
      </c>
      <c r="AI530" s="420">
        <v>6</v>
      </c>
      <c r="AJ530" s="418">
        <v>13</v>
      </c>
      <c r="AK530" s="428" t="s">
        <v>67</v>
      </c>
      <c r="AL530" s="428" t="s">
        <v>68</v>
      </c>
      <c r="AM530" s="422" t="s">
        <v>197</v>
      </c>
      <c r="AN530" s="403" t="s">
        <v>198</v>
      </c>
      <c r="AO530" s="314">
        <f t="shared" si="1092"/>
        <v>0.775011574074074</v>
      </c>
      <c r="AP530" s="315">
        <f t="shared" si="1093"/>
        <v>58</v>
      </c>
      <c r="AQ530" s="316" t="str">
        <f t="shared" si="1094"/>
        <v>MICRO</v>
      </c>
    </row>
    <row r="531" ht="29.25" customHeight="1" outlineLevel="1" spans="1:43">
      <c r="B531" s="317">
        <v>0.791678240740741</v>
      </c>
      <c r="C531" s="293" t="str">
        <f t="shared" ref="C531:G531" si="1114">TEXT(IF($B531=0," ",$B531-C$6),"hh:mm am/pm")</f>
        <v>17:00 001/p1</v>
      </c>
      <c r="D531" s="293" t="str">
        <f t="shared" si="1114"/>
        <v>15:00 001/p1</v>
      </c>
      <c r="E531" s="293" t="str">
        <f t="shared" si="1114"/>
        <v>16:00 001/p1</v>
      </c>
      <c r="F531" s="293" t="str">
        <f t="shared" si="1114"/>
        <v>17:00 001/p1</v>
      </c>
      <c r="G531" s="293" t="str">
        <f t="shared" si="1114"/>
        <v>18:00 001/p1</v>
      </c>
      <c r="H531" s="293" t="str">
        <f t="shared" ref="H531:I531" si="1115">TEXT(IF($B531=0," ",$B531+H$6),"hh:mm am/pm")</f>
        <v>01:00 001/p1</v>
      </c>
      <c r="I531" s="293" t="str">
        <f t="shared" si="1115"/>
        <v>06:00 001/p1</v>
      </c>
      <c r="J531" s="29"/>
      <c r="K531" s="431"/>
      <c r="L531" s="432" t="s">
        <v>384</v>
      </c>
      <c r="M531" s="408" t="s">
        <v>196</v>
      </c>
      <c r="N531" s="409" t="s">
        <v>57</v>
      </c>
      <c r="O531" s="410" t="s">
        <v>74</v>
      </c>
      <c r="P531" s="411" t="s">
        <v>59</v>
      </c>
      <c r="Q531" s="412">
        <f t="shared" ref="Q531:Q532" si="1116">110*2</f>
        <v>220</v>
      </c>
      <c r="R531" s="409" t="s">
        <v>60</v>
      </c>
      <c r="S531" s="426"/>
      <c r="T531" s="414">
        <v>0.1</v>
      </c>
      <c r="U531" s="409" t="s">
        <v>62</v>
      </c>
      <c r="V531" s="409">
        <v>3</v>
      </c>
      <c r="W531" s="409">
        <v>3</v>
      </c>
      <c r="X531" s="419">
        <v>25000</v>
      </c>
      <c r="Y531" s="416" t="s">
        <v>79</v>
      </c>
      <c r="Z531" s="409">
        <v>5</v>
      </c>
      <c r="AA531" s="417">
        <v>50000</v>
      </c>
      <c r="AB531" s="417" t="s">
        <v>65</v>
      </c>
      <c r="AC531" s="414">
        <v>0.05</v>
      </c>
      <c r="AD531" s="414">
        <v>0</v>
      </c>
      <c r="AE531" s="418" t="s">
        <v>66</v>
      </c>
      <c r="AF531" s="419">
        <v>20000</v>
      </c>
      <c r="AG531" s="420">
        <v>7</v>
      </c>
      <c r="AH531" s="420">
        <v>6</v>
      </c>
      <c r="AI531" s="420">
        <v>6</v>
      </c>
      <c r="AJ531" s="418">
        <v>13</v>
      </c>
      <c r="AK531" s="428" t="s">
        <v>67</v>
      </c>
      <c r="AL531" s="428" t="s">
        <v>68</v>
      </c>
      <c r="AM531" s="422" t="s">
        <v>197</v>
      </c>
      <c r="AN531" s="403" t="s">
        <v>198</v>
      </c>
      <c r="AO531" s="314">
        <f t="shared" si="1092"/>
        <v>0.858344907407407</v>
      </c>
      <c r="AP531" s="315">
        <f t="shared" si="1093"/>
        <v>78</v>
      </c>
      <c r="AQ531" s="316" t="str">
        <f t="shared" si="1094"/>
        <v>MICRO</v>
      </c>
    </row>
    <row r="532" ht="29.25" customHeight="1" outlineLevel="1" spans="1:43">
      <c r="A532" s="363" t="s">
        <v>352</v>
      </c>
      <c r="B532" s="317">
        <v>0.875011574074074</v>
      </c>
      <c r="C532" s="293" t="str">
        <f t="shared" ref="C532:G532" si="1117">TEXT(IF($B532=0," ",$B532-C$6),"hh:mm am/pm")</f>
        <v>19:00 001/p1</v>
      </c>
      <c r="D532" s="293" t="str">
        <f t="shared" si="1117"/>
        <v>17:00 001/p1</v>
      </c>
      <c r="E532" s="293" t="str">
        <f t="shared" si="1117"/>
        <v>18:00 001/p1</v>
      </c>
      <c r="F532" s="293" t="str">
        <f t="shared" si="1117"/>
        <v>19:00 001/p1</v>
      </c>
      <c r="G532" s="293" t="str">
        <f t="shared" si="1117"/>
        <v>20:00 001/p1</v>
      </c>
      <c r="H532" s="293" t="str">
        <f t="shared" ref="H532:I532" si="1118">TEXT(IF($B532=0," ",$B532+H$6),"hh:mm am/pm")</f>
        <v>03:00 001/p1</v>
      </c>
      <c r="I532" s="293" t="str">
        <f t="shared" si="1118"/>
        <v>08:00 001/p1</v>
      </c>
      <c r="J532" s="124"/>
      <c r="K532" s="406"/>
      <c r="L532" s="407" t="s">
        <v>384</v>
      </c>
      <c r="M532" s="408" t="s">
        <v>196</v>
      </c>
      <c r="N532" s="409" t="s">
        <v>57</v>
      </c>
      <c r="O532" s="410" t="s">
        <v>74</v>
      </c>
      <c r="P532" s="411" t="s">
        <v>59</v>
      </c>
      <c r="Q532" s="412">
        <f t="shared" si="1116"/>
        <v>220</v>
      </c>
      <c r="R532" s="409" t="s">
        <v>60</v>
      </c>
      <c r="S532" s="426"/>
      <c r="T532" s="414">
        <v>0.1</v>
      </c>
      <c r="U532" s="409" t="s">
        <v>62</v>
      </c>
      <c r="V532" s="409">
        <v>3</v>
      </c>
      <c r="W532" s="409">
        <v>3</v>
      </c>
      <c r="X532" s="419">
        <v>25000</v>
      </c>
      <c r="Y532" s="416" t="s">
        <v>79</v>
      </c>
      <c r="Z532" s="409">
        <v>5</v>
      </c>
      <c r="AA532" s="417">
        <v>50000</v>
      </c>
      <c r="AB532" s="417" t="s">
        <v>65</v>
      </c>
      <c r="AC532" s="414">
        <v>0.05</v>
      </c>
      <c r="AD532" s="414">
        <v>0</v>
      </c>
      <c r="AE532" s="418" t="s">
        <v>66</v>
      </c>
      <c r="AF532" s="419">
        <v>20000</v>
      </c>
      <c r="AG532" s="420">
        <v>7</v>
      </c>
      <c r="AH532" s="420">
        <v>6</v>
      </c>
      <c r="AI532" s="420">
        <v>6</v>
      </c>
      <c r="AJ532" s="418">
        <v>13</v>
      </c>
      <c r="AK532" s="428" t="s">
        <v>67</v>
      </c>
      <c r="AL532" s="428" t="s">
        <v>68</v>
      </c>
      <c r="AM532" s="422" t="s">
        <v>197</v>
      </c>
      <c r="AN532" s="403" t="s">
        <v>198</v>
      </c>
      <c r="AO532" s="314">
        <f t="shared" si="1092"/>
        <v>0.941678240740741</v>
      </c>
      <c r="AP532" s="315">
        <f t="shared" si="1093"/>
        <v>78</v>
      </c>
      <c r="AQ532" s="316" t="str">
        <f t="shared" si="1094"/>
        <v>MICRO</v>
      </c>
    </row>
    <row r="533" ht="29.25" customHeight="1" outlineLevel="1" spans="1:43">
      <c r="B533" s="383"/>
      <c r="C533" s="293" t="str">
        <f t="shared" ref="C533:G533" si="1119">TEXT(IF($B533=0," ",$B533-C$6),"hh:mm am/pm")</f>
        <v> </v>
      </c>
      <c r="D533" s="293" t="str">
        <f t="shared" si="1119"/>
        <v> </v>
      </c>
      <c r="E533" s="293" t="str">
        <f t="shared" si="1119"/>
        <v> </v>
      </c>
      <c r="F533" s="293" t="str">
        <f t="shared" si="1119"/>
        <v> </v>
      </c>
      <c r="G533" s="293" t="str">
        <f t="shared" si="1119"/>
        <v> </v>
      </c>
      <c r="H533" s="293" t="str">
        <f t="shared" ref="H533:I533" si="1120">TEXT(IF($B533=0," ",$B533+H$6),"hh:mm am/pm")</f>
        <v> </v>
      </c>
      <c r="I533" s="293" t="str">
        <f t="shared" si="1120"/>
        <v> </v>
      </c>
      <c r="J533" s="344"/>
      <c r="K533" s="367"/>
      <c r="L533" s="367"/>
      <c r="M533" s="435"/>
      <c r="N533" s="436"/>
      <c r="O533" s="437"/>
      <c r="P533" s="437"/>
      <c r="Q533" s="436"/>
      <c r="R533" s="436"/>
      <c r="S533" s="436"/>
      <c r="T533" s="438"/>
      <c r="U533" s="436"/>
      <c r="V533" s="436"/>
      <c r="W533" s="436"/>
      <c r="X533" s="436"/>
      <c r="Y533" s="366"/>
      <c r="Z533" s="439"/>
      <c r="AA533" s="439"/>
      <c r="AB533" s="439"/>
      <c r="AC533" s="438"/>
      <c r="AD533" s="438"/>
      <c r="AE533" s="366"/>
      <c r="AF533" s="439"/>
      <c r="AG533" s="366"/>
      <c r="AH533" s="366"/>
      <c r="AI533" s="366"/>
      <c r="AJ533" s="366"/>
      <c r="AK533" s="440"/>
      <c r="AL533" s="440"/>
      <c r="AM533" s="440"/>
      <c r="AN533" s="440"/>
      <c r="AO533" s="383"/>
      <c r="AP533" s="374"/>
      <c r="AQ533" s="383"/>
    </row>
    <row r="534" ht="29.25" customHeight="1" outlineLevel="1" spans="1:43">
      <c r="B534" s="292">
        <v>0.500011574074074</v>
      </c>
      <c r="C534" s="293" t="str">
        <f t="shared" ref="C534:G534" si="1121">TEXT(IF($B534=0," ",$B534-C$6),"hh:mm am/pm")</f>
        <v>10:00 001/p1</v>
      </c>
      <c r="D534" s="293" t="str">
        <f t="shared" si="1121"/>
        <v>08:00 001/p1</v>
      </c>
      <c r="E534" s="293" t="str">
        <f t="shared" si="1121"/>
        <v>09:00 001/p1</v>
      </c>
      <c r="F534" s="293" t="str">
        <f t="shared" si="1121"/>
        <v>10:00 001/p1</v>
      </c>
      <c r="G534" s="293" t="str">
        <f t="shared" si="1121"/>
        <v>11:00 001/p1</v>
      </c>
      <c r="H534" s="293" t="str">
        <f t="shared" ref="H534:I534" si="1122">TEXT(IF($B534=0," ",$B534+H$6),"hh:mm am/pm")</f>
        <v>18:00 001/p1</v>
      </c>
      <c r="I534" s="293" t="str">
        <f t="shared" si="1122"/>
        <v>23:00 001/p1</v>
      </c>
      <c r="J534" s="423" t="s">
        <v>215</v>
      </c>
      <c r="K534" s="424"/>
      <c r="L534" s="425" t="s">
        <v>216</v>
      </c>
      <c r="M534" s="387" t="s">
        <v>196</v>
      </c>
      <c r="N534" s="442" t="s">
        <v>57</v>
      </c>
      <c r="O534" s="443" t="s">
        <v>74</v>
      </c>
      <c r="P534" s="444" t="s">
        <v>59</v>
      </c>
      <c r="Q534" s="445">
        <f t="shared" ref="Q534:Q539" si="1123">15*4</f>
        <v>60</v>
      </c>
      <c r="R534" s="446" t="s">
        <v>60</v>
      </c>
      <c r="S534" s="447"/>
      <c r="T534" s="446">
        <v>0.1</v>
      </c>
      <c r="U534" s="442" t="s">
        <v>62</v>
      </c>
      <c r="V534" s="442">
        <v>0.6</v>
      </c>
      <c r="W534" s="442">
        <v>1</v>
      </c>
      <c r="X534" s="448">
        <v>25000</v>
      </c>
      <c r="Y534" s="449" t="s">
        <v>79</v>
      </c>
      <c r="Z534" s="442">
        <v>1</v>
      </c>
      <c r="AA534" s="450">
        <v>40000</v>
      </c>
      <c r="AB534" s="450" t="s">
        <v>65</v>
      </c>
      <c r="AC534" s="446">
        <v>0.05</v>
      </c>
      <c r="AD534" s="446">
        <v>0</v>
      </c>
      <c r="AE534" s="451" t="s">
        <v>66</v>
      </c>
      <c r="AF534" s="448">
        <v>20000</v>
      </c>
      <c r="AG534" s="452">
        <v>7</v>
      </c>
      <c r="AH534" s="452">
        <v>6</v>
      </c>
      <c r="AI534" s="452">
        <v>5</v>
      </c>
      <c r="AJ534" s="451">
        <v>13</v>
      </c>
      <c r="AK534" s="453" t="s">
        <v>67</v>
      </c>
      <c r="AL534" s="454" t="s">
        <v>68</v>
      </c>
      <c r="AM534" s="455" t="s">
        <v>197</v>
      </c>
      <c r="AN534" s="455" t="s">
        <v>198</v>
      </c>
      <c r="AO534" s="314">
        <f t="shared" ref="AO534:AO539" si="1124">IF(B534=0," ",TIME(,ROUNDDOWN(AG534*AJ534/60,0)*5+(AG534*AJ534),)+B534)</f>
        <v>0.566678240740741</v>
      </c>
      <c r="AP534" s="315">
        <f t="shared" ref="AP534:AP539" si="1125">IF(Q534=0,,ROUNDUP(Q534/(V534*(1-AC534-AD534)),0))</f>
        <v>106</v>
      </c>
      <c r="AQ534" s="316" t="str">
        <f t="shared" ref="AQ534:AQ539" si="1126">IFERROR(IF(V534=0," ",IF(V534&lt;=5,"MICRO",IF(V534&lt;=19.8,"LOW",IF(V534&lt;=99.8,"MEDIUM",IF(V534&lt;=500,"HIGH",IF(V534&gt;500,"SUPER HIGH",)))))),"")</f>
        <v>MICRO</v>
      </c>
    </row>
    <row r="535" ht="29.25" customHeight="1" outlineLevel="1" spans="1:43">
      <c r="A535" s="363" t="s">
        <v>352</v>
      </c>
      <c r="B535" s="292">
        <v>0.583344907407407</v>
      </c>
      <c r="C535" s="293" t="str">
        <f t="shared" ref="C535:G535" si="1127">TEXT(IF($B535=0," ",$B535-C$6),"hh:mm am/pm")</f>
        <v>12:00 001/p1</v>
      </c>
      <c r="D535" s="293" t="str">
        <f t="shared" si="1127"/>
        <v>10:00 001/p1</v>
      </c>
      <c r="E535" s="293" t="str">
        <f t="shared" si="1127"/>
        <v>11:00 001/p1</v>
      </c>
      <c r="F535" s="293" t="str">
        <f t="shared" si="1127"/>
        <v>12:00 001/p1</v>
      </c>
      <c r="G535" s="293" t="str">
        <f t="shared" si="1127"/>
        <v>13:00 001/p1</v>
      </c>
      <c r="H535" s="293" t="str">
        <f t="shared" ref="H535:I535" si="1128">TEXT(IF($B535=0," ",$B535+H$6),"hh:mm am/pm")</f>
        <v>20:00 001/p1</v>
      </c>
      <c r="I535" s="293" t="str">
        <f t="shared" si="1128"/>
        <v>01:00 001/p1</v>
      </c>
      <c r="J535" s="29"/>
      <c r="K535" s="431"/>
      <c r="L535" s="432" t="s">
        <v>216</v>
      </c>
      <c r="M535" s="387" t="s">
        <v>196</v>
      </c>
      <c r="N535" s="442" t="s">
        <v>57</v>
      </c>
      <c r="O535" s="443" t="s">
        <v>74</v>
      </c>
      <c r="P535" s="444" t="s">
        <v>59</v>
      </c>
      <c r="Q535" s="445">
        <f t="shared" si="1123"/>
        <v>60</v>
      </c>
      <c r="R535" s="446" t="s">
        <v>60</v>
      </c>
      <c r="S535" s="447"/>
      <c r="T535" s="446">
        <v>0.1</v>
      </c>
      <c r="U535" s="442" t="s">
        <v>62</v>
      </c>
      <c r="V535" s="442">
        <v>0.6</v>
      </c>
      <c r="W535" s="442">
        <v>1</v>
      </c>
      <c r="X535" s="448">
        <v>25000</v>
      </c>
      <c r="Y535" s="449" t="s">
        <v>79</v>
      </c>
      <c r="Z535" s="442">
        <v>1</v>
      </c>
      <c r="AA535" s="450">
        <v>40000</v>
      </c>
      <c r="AB535" s="450" t="s">
        <v>65</v>
      </c>
      <c r="AC535" s="446">
        <v>0.05</v>
      </c>
      <c r="AD535" s="446">
        <v>0</v>
      </c>
      <c r="AE535" s="451" t="s">
        <v>66</v>
      </c>
      <c r="AF535" s="448">
        <v>20000</v>
      </c>
      <c r="AG535" s="452">
        <v>7</v>
      </c>
      <c r="AH535" s="452">
        <v>6</v>
      </c>
      <c r="AI535" s="452">
        <v>5</v>
      </c>
      <c r="AJ535" s="451">
        <v>13</v>
      </c>
      <c r="AK535" s="453" t="s">
        <v>67</v>
      </c>
      <c r="AL535" s="454" t="s">
        <v>68</v>
      </c>
      <c r="AM535" s="455" t="s">
        <v>197</v>
      </c>
      <c r="AN535" s="455" t="s">
        <v>198</v>
      </c>
      <c r="AO535" s="314">
        <f t="shared" si="1124"/>
        <v>0.650011574074074</v>
      </c>
      <c r="AP535" s="315">
        <f t="shared" si="1125"/>
        <v>106</v>
      </c>
      <c r="AQ535" s="316" t="str">
        <f t="shared" si="1126"/>
        <v>MICRO</v>
      </c>
    </row>
    <row r="536" ht="29.25" customHeight="1" outlineLevel="1" spans="1:43">
      <c r="B536" s="292">
        <v>0.666678240740741</v>
      </c>
      <c r="C536" s="293" t="str">
        <f t="shared" ref="C536:G536" si="1129">TEXT(IF($B536=0," ",$B536-C$6),"hh:mm am/pm")</f>
        <v>14:00 001/p1</v>
      </c>
      <c r="D536" s="293" t="str">
        <f t="shared" si="1129"/>
        <v>12:00 001/p1</v>
      </c>
      <c r="E536" s="293" t="str">
        <f t="shared" si="1129"/>
        <v>13:00 001/p1</v>
      </c>
      <c r="F536" s="293" t="str">
        <f t="shared" si="1129"/>
        <v>14:00 001/p1</v>
      </c>
      <c r="G536" s="293" t="str">
        <f t="shared" si="1129"/>
        <v>15:00 001/p1</v>
      </c>
      <c r="H536" s="293" t="str">
        <f t="shared" ref="H536:I536" si="1130">TEXT(IF($B536=0," ",$B536+H$6),"hh:mm am/pm")</f>
        <v>22:00 001/p1</v>
      </c>
      <c r="I536" s="293" t="str">
        <f t="shared" si="1130"/>
        <v>03:00 001/p1</v>
      </c>
      <c r="J536" s="29"/>
      <c r="K536" s="431"/>
      <c r="L536" s="432" t="s">
        <v>216</v>
      </c>
      <c r="M536" s="387" t="s">
        <v>196</v>
      </c>
      <c r="N536" s="442" t="s">
        <v>57</v>
      </c>
      <c r="O536" s="443" t="s">
        <v>74</v>
      </c>
      <c r="P536" s="444" t="s">
        <v>59</v>
      </c>
      <c r="Q536" s="445">
        <f t="shared" si="1123"/>
        <v>60</v>
      </c>
      <c r="R536" s="446" t="s">
        <v>60</v>
      </c>
      <c r="S536" s="447"/>
      <c r="T536" s="446">
        <v>0.1</v>
      </c>
      <c r="U536" s="442" t="s">
        <v>62</v>
      </c>
      <c r="V536" s="442">
        <v>0.6</v>
      </c>
      <c r="W536" s="442">
        <v>1</v>
      </c>
      <c r="X536" s="448">
        <v>25000</v>
      </c>
      <c r="Y536" s="449" t="s">
        <v>79</v>
      </c>
      <c r="Z536" s="442">
        <v>1</v>
      </c>
      <c r="AA536" s="450">
        <v>40000</v>
      </c>
      <c r="AB536" s="450" t="s">
        <v>65</v>
      </c>
      <c r="AC536" s="446">
        <v>0.05</v>
      </c>
      <c r="AD536" s="446">
        <v>0</v>
      </c>
      <c r="AE536" s="451" t="s">
        <v>66</v>
      </c>
      <c r="AF536" s="448">
        <v>20000</v>
      </c>
      <c r="AG536" s="452">
        <v>7</v>
      </c>
      <c r="AH536" s="452">
        <v>6</v>
      </c>
      <c r="AI536" s="452">
        <v>5</v>
      </c>
      <c r="AJ536" s="451">
        <v>13</v>
      </c>
      <c r="AK536" s="453" t="s">
        <v>67</v>
      </c>
      <c r="AL536" s="454" t="s">
        <v>68</v>
      </c>
      <c r="AM536" s="455" t="s">
        <v>197</v>
      </c>
      <c r="AN536" s="455" t="s">
        <v>198</v>
      </c>
      <c r="AO536" s="314">
        <f t="shared" si="1124"/>
        <v>0.733344907407407</v>
      </c>
      <c r="AP536" s="315">
        <f t="shared" si="1125"/>
        <v>106</v>
      </c>
      <c r="AQ536" s="316" t="str">
        <f t="shared" si="1126"/>
        <v>MICRO</v>
      </c>
    </row>
    <row r="537" ht="29.25" customHeight="1" outlineLevel="1" spans="1:43">
      <c r="B537" s="292">
        <v>0.750011574074074</v>
      </c>
      <c r="C537" s="293" t="str">
        <f t="shared" ref="C537:G537" si="1131">TEXT(IF($B537=0," ",$B537-C$6),"hh:mm am/pm")</f>
        <v>16:00 001/p1</v>
      </c>
      <c r="D537" s="293" t="str">
        <f t="shared" si="1131"/>
        <v>14:00 001/p1</v>
      </c>
      <c r="E537" s="293" t="str">
        <f t="shared" si="1131"/>
        <v>15:00 001/p1</v>
      </c>
      <c r="F537" s="293" t="str">
        <f t="shared" si="1131"/>
        <v>16:00 001/p1</v>
      </c>
      <c r="G537" s="293" t="str">
        <f t="shared" si="1131"/>
        <v>17:00 001/p1</v>
      </c>
      <c r="H537" s="293" t="str">
        <f t="shared" ref="H537:I537" si="1132">TEXT(IF($B537=0," ",$B537+H$6),"hh:mm am/pm")</f>
        <v>00:00 001/p1</v>
      </c>
      <c r="I537" s="293" t="str">
        <f t="shared" si="1132"/>
        <v>05:00 001/p1</v>
      </c>
      <c r="J537" s="29"/>
      <c r="K537" s="431"/>
      <c r="L537" s="432" t="s">
        <v>216</v>
      </c>
      <c r="M537" s="387" t="s">
        <v>196</v>
      </c>
      <c r="N537" s="442" t="s">
        <v>57</v>
      </c>
      <c r="O537" s="443" t="s">
        <v>74</v>
      </c>
      <c r="P537" s="444" t="s">
        <v>59</v>
      </c>
      <c r="Q537" s="445">
        <f t="shared" si="1123"/>
        <v>60</v>
      </c>
      <c r="R537" s="446" t="s">
        <v>60</v>
      </c>
      <c r="S537" s="447"/>
      <c r="T537" s="446">
        <v>0.1</v>
      </c>
      <c r="U537" s="442" t="s">
        <v>62</v>
      </c>
      <c r="V537" s="442">
        <v>0.6</v>
      </c>
      <c r="W537" s="442">
        <v>1</v>
      </c>
      <c r="X537" s="448">
        <v>25000</v>
      </c>
      <c r="Y537" s="449" t="s">
        <v>79</v>
      </c>
      <c r="Z537" s="442">
        <v>1</v>
      </c>
      <c r="AA537" s="450">
        <v>40000</v>
      </c>
      <c r="AB537" s="450" t="s">
        <v>65</v>
      </c>
      <c r="AC537" s="446">
        <v>0.05</v>
      </c>
      <c r="AD537" s="446">
        <v>0</v>
      </c>
      <c r="AE537" s="451" t="s">
        <v>66</v>
      </c>
      <c r="AF537" s="448">
        <v>20000</v>
      </c>
      <c r="AG537" s="452">
        <v>7</v>
      </c>
      <c r="AH537" s="452">
        <v>6</v>
      </c>
      <c r="AI537" s="452">
        <v>5</v>
      </c>
      <c r="AJ537" s="451">
        <v>13</v>
      </c>
      <c r="AK537" s="453" t="s">
        <v>67</v>
      </c>
      <c r="AL537" s="454" t="s">
        <v>68</v>
      </c>
      <c r="AM537" s="455" t="s">
        <v>197</v>
      </c>
      <c r="AN537" s="455" t="s">
        <v>198</v>
      </c>
      <c r="AO537" s="314">
        <f t="shared" si="1124"/>
        <v>0.816678240740741</v>
      </c>
      <c r="AP537" s="315">
        <f t="shared" si="1125"/>
        <v>106</v>
      </c>
      <c r="AQ537" s="316" t="str">
        <f t="shared" si="1126"/>
        <v>MICRO</v>
      </c>
    </row>
    <row r="538" ht="29.25" customHeight="1" outlineLevel="1" spans="1:43">
      <c r="A538" s="363"/>
      <c r="B538" s="292">
        <v>0.833344907407407</v>
      </c>
      <c r="C538" s="293" t="str">
        <f t="shared" ref="C538:G538" si="1133">TEXT(IF($B538=0," ",$B538-C$6),"hh:mm am/pm")</f>
        <v>18:00 001/p1</v>
      </c>
      <c r="D538" s="293" t="str">
        <f t="shared" si="1133"/>
        <v>16:00 001/p1</v>
      </c>
      <c r="E538" s="293" t="str">
        <f t="shared" si="1133"/>
        <v>17:00 001/p1</v>
      </c>
      <c r="F538" s="293" t="str">
        <f t="shared" si="1133"/>
        <v>18:00 001/p1</v>
      </c>
      <c r="G538" s="293" t="str">
        <f t="shared" si="1133"/>
        <v>19:00 001/p1</v>
      </c>
      <c r="H538" s="293" t="str">
        <f t="shared" ref="H538:I538" si="1134">TEXT(IF($B538=0," ",$B538+H$6),"hh:mm am/pm")</f>
        <v>02:00 001/p1</v>
      </c>
      <c r="I538" s="293" t="str">
        <f t="shared" si="1134"/>
        <v>07:00 001/p1</v>
      </c>
      <c r="J538" s="29"/>
      <c r="K538" s="431"/>
      <c r="L538" s="432" t="s">
        <v>216</v>
      </c>
      <c r="M538" s="387" t="s">
        <v>196</v>
      </c>
      <c r="N538" s="442" t="s">
        <v>57</v>
      </c>
      <c r="O538" s="443" t="s">
        <v>74</v>
      </c>
      <c r="P538" s="444" t="s">
        <v>59</v>
      </c>
      <c r="Q538" s="445">
        <f t="shared" si="1123"/>
        <v>60</v>
      </c>
      <c r="R538" s="446" t="s">
        <v>60</v>
      </c>
      <c r="S538" s="447"/>
      <c r="T538" s="446">
        <v>0.1</v>
      </c>
      <c r="U538" s="442" t="s">
        <v>62</v>
      </c>
      <c r="V538" s="442">
        <v>0.6</v>
      </c>
      <c r="W538" s="442">
        <v>1</v>
      </c>
      <c r="X538" s="448">
        <v>25000</v>
      </c>
      <c r="Y538" s="449" t="s">
        <v>79</v>
      </c>
      <c r="Z538" s="442">
        <v>1</v>
      </c>
      <c r="AA538" s="450">
        <v>40000</v>
      </c>
      <c r="AB538" s="450" t="s">
        <v>65</v>
      </c>
      <c r="AC538" s="446">
        <v>0.05</v>
      </c>
      <c r="AD538" s="446">
        <v>0</v>
      </c>
      <c r="AE538" s="451" t="s">
        <v>66</v>
      </c>
      <c r="AF538" s="448">
        <v>20000</v>
      </c>
      <c r="AG538" s="452">
        <v>7</v>
      </c>
      <c r="AH538" s="452">
        <v>6</v>
      </c>
      <c r="AI538" s="452">
        <v>5</v>
      </c>
      <c r="AJ538" s="451">
        <v>13</v>
      </c>
      <c r="AK538" s="453" t="s">
        <v>67</v>
      </c>
      <c r="AL538" s="454" t="s">
        <v>68</v>
      </c>
      <c r="AM538" s="455" t="s">
        <v>197</v>
      </c>
      <c r="AN538" s="455" t="s">
        <v>198</v>
      </c>
      <c r="AO538" s="314">
        <f t="shared" si="1124"/>
        <v>0.900011574074074</v>
      </c>
      <c r="AP538" s="315">
        <f t="shared" si="1125"/>
        <v>106</v>
      </c>
      <c r="AQ538" s="316" t="str">
        <f t="shared" si="1126"/>
        <v>MICRO</v>
      </c>
    </row>
    <row r="539" ht="29.25" customHeight="1" outlineLevel="1" spans="1:43">
      <c r="A539" s="363"/>
      <c r="B539" s="292">
        <v>0.916678240740741</v>
      </c>
      <c r="C539" s="293" t="str">
        <f t="shared" ref="C539:G539" si="1135">TEXT(IF($B539=0," ",$B539-C$6),"hh:mm am/pm")</f>
        <v>20:00 001/p1</v>
      </c>
      <c r="D539" s="293" t="str">
        <f t="shared" si="1135"/>
        <v>18:00 001/p1</v>
      </c>
      <c r="E539" s="293" t="str">
        <f t="shared" si="1135"/>
        <v>19:00 001/p1</v>
      </c>
      <c r="F539" s="293" t="str">
        <f t="shared" si="1135"/>
        <v>20:00 001/p1</v>
      </c>
      <c r="G539" s="293" t="str">
        <f t="shared" si="1135"/>
        <v>21:00 001/p1</v>
      </c>
      <c r="H539" s="293" t="str">
        <f t="shared" ref="H539:I539" si="1136">TEXT(IF($B539=0," ",$B539+H$6),"hh:mm am/pm")</f>
        <v>04:00 001/p1</v>
      </c>
      <c r="I539" s="293" t="str">
        <f t="shared" si="1136"/>
        <v>09:00 001/p1</v>
      </c>
      <c r="J539" s="124"/>
      <c r="K539" s="406"/>
      <c r="L539" s="407" t="s">
        <v>216</v>
      </c>
      <c r="M539" s="387" t="s">
        <v>196</v>
      </c>
      <c r="N539" s="442" t="s">
        <v>57</v>
      </c>
      <c r="O539" s="443" t="s">
        <v>74</v>
      </c>
      <c r="P539" s="444" t="s">
        <v>59</v>
      </c>
      <c r="Q539" s="445">
        <f t="shared" si="1123"/>
        <v>60</v>
      </c>
      <c r="R539" s="446" t="s">
        <v>60</v>
      </c>
      <c r="S539" s="447"/>
      <c r="T539" s="446">
        <v>0.1</v>
      </c>
      <c r="U539" s="442" t="s">
        <v>62</v>
      </c>
      <c r="V539" s="442">
        <v>0.6</v>
      </c>
      <c r="W539" s="442">
        <v>1</v>
      </c>
      <c r="X539" s="448">
        <v>25000</v>
      </c>
      <c r="Y539" s="449" t="s">
        <v>79</v>
      </c>
      <c r="Z539" s="442">
        <v>1</v>
      </c>
      <c r="AA539" s="450">
        <v>40000</v>
      </c>
      <c r="AB539" s="450" t="s">
        <v>65</v>
      </c>
      <c r="AC539" s="446">
        <v>0.05</v>
      </c>
      <c r="AD539" s="446">
        <v>0</v>
      </c>
      <c r="AE539" s="451" t="s">
        <v>66</v>
      </c>
      <c r="AF539" s="448">
        <v>20000</v>
      </c>
      <c r="AG539" s="452">
        <v>7</v>
      </c>
      <c r="AH539" s="452">
        <v>6</v>
      </c>
      <c r="AI539" s="452">
        <v>5</v>
      </c>
      <c r="AJ539" s="451">
        <v>13</v>
      </c>
      <c r="AK539" s="453" t="s">
        <v>67</v>
      </c>
      <c r="AL539" s="454" t="s">
        <v>68</v>
      </c>
      <c r="AM539" s="455" t="s">
        <v>197</v>
      </c>
      <c r="AN539" s="455" t="s">
        <v>198</v>
      </c>
      <c r="AO539" s="314">
        <f t="shared" si="1124"/>
        <v>0.983344907407407</v>
      </c>
      <c r="AP539" s="315">
        <f t="shared" si="1125"/>
        <v>106</v>
      </c>
      <c r="AQ539" s="316" t="str">
        <f t="shared" si="1126"/>
        <v>MICRO</v>
      </c>
    </row>
    <row r="540" ht="29.25" customHeight="1" outlineLevel="1" spans="1:43">
      <c r="A540" s="363"/>
      <c r="B540" s="383"/>
      <c r="C540" s="434"/>
      <c r="D540" s="434"/>
      <c r="E540" s="434"/>
      <c r="F540" s="434"/>
      <c r="G540" s="434"/>
      <c r="H540" s="293" t="str">
        <f t="shared" ref="H540:I540" si="1137">TEXT(IF($B540=0," ",$B540+H$6),"hh:mm am/pm")</f>
        <v> </v>
      </c>
      <c r="I540" s="293" t="str">
        <f t="shared" si="1137"/>
        <v> </v>
      </c>
      <c r="J540" s="485"/>
      <c r="K540" s="366"/>
      <c r="L540" s="366"/>
      <c r="M540" s="435"/>
      <c r="N540" s="436"/>
      <c r="O540" s="437"/>
      <c r="P540" s="437"/>
      <c r="Q540" s="436"/>
      <c r="R540" s="436"/>
      <c r="S540" s="436"/>
      <c r="T540" s="438"/>
      <c r="U540" s="436"/>
      <c r="V540" s="436"/>
      <c r="W540" s="436"/>
      <c r="X540" s="436"/>
      <c r="Y540" s="366"/>
      <c r="Z540" s="439"/>
      <c r="AA540" s="439"/>
      <c r="AB540" s="439"/>
      <c r="AC540" s="438"/>
      <c r="AD540" s="438"/>
      <c r="AE540" s="366"/>
      <c r="AF540" s="439"/>
      <c r="AG540" s="366"/>
      <c r="AH540" s="366"/>
      <c r="AI540" s="366"/>
      <c r="AJ540" s="366"/>
      <c r="AK540" s="440"/>
      <c r="AL540" s="440"/>
      <c r="AM540" s="440"/>
      <c r="AN540" s="440"/>
      <c r="AO540" s="383"/>
      <c r="AP540" s="374"/>
      <c r="AQ540" s="383"/>
    </row>
    <row r="541" ht="24" customHeight="1" spans="1:43">
      <c r="A541" s="458" t="s">
        <v>385</v>
      </c>
      <c r="C541" s="459"/>
      <c r="D541" s="459"/>
      <c r="E541" s="459"/>
      <c r="F541" s="459"/>
      <c r="G541" s="459"/>
      <c r="H541" s="459"/>
      <c r="I541" s="460"/>
      <c r="J541" s="380" t="s">
        <v>385</v>
      </c>
      <c r="K541" s="380"/>
      <c r="L541" s="380" t="s">
        <v>385</v>
      </c>
      <c r="O541" s="380"/>
      <c r="Q541" s="380" t="s">
        <v>385</v>
      </c>
      <c r="V541" s="380" t="s">
        <v>385</v>
      </c>
      <c r="AB541" s="380" t="s">
        <v>385</v>
      </c>
      <c r="AE541" s="380" t="s">
        <v>385</v>
      </c>
      <c r="AF541" s="380"/>
      <c r="AG541" s="380"/>
      <c r="AH541" s="380"/>
      <c r="AI541" s="380"/>
      <c r="AJ541" s="380" t="s">
        <v>385</v>
      </c>
      <c r="AM541" s="314"/>
      <c r="AN541" s="314"/>
      <c r="AO541" s="314"/>
      <c r="AP541" s="315"/>
      <c r="AQ541" s="316"/>
    </row>
    <row r="542" ht="29.25" customHeight="1" outlineLevel="1" spans="1:43">
      <c r="A542" s="291" t="s">
        <v>385</v>
      </c>
      <c r="B542" s="292">
        <v>0.583344907407407</v>
      </c>
      <c r="C542" s="293" t="str">
        <f t="shared" ref="C542:G542" si="1138">TEXT(IF($B542=0," ",$B542-C$6),"hh:mm am/pm")</f>
        <v>12:00 001/p1</v>
      </c>
      <c r="D542" s="293" t="str">
        <f t="shared" si="1138"/>
        <v>10:00 001/p1</v>
      </c>
      <c r="E542" s="293" t="str">
        <f t="shared" si="1138"/>
        <v>11:00 001/p1</v>
      </c>
      <c r="F542" s="293" t="str">
        <f t="shared" si="1138"/>
        <v>12:00 001/p1</v>
      </c>
      <c r="G542" s="293" t="str">
        <f t="shared" si="1138"/>
        <v>13:00 001/p1</v>
      </c>
      <c r="H542" s="293" t="str">
        <f t="shared" ref="H542:I542" si="1139">TEXT(IF($B542=0," ",$B542+H$6),"hh:mm am/pm")</f>
        <v>20:00 001/p1</v>
      </c>
      <c r="I542" s="293" t="str">
        <f t="shared" si="1139"/>
        <v>01:00 001/p1</v>
      </c>
      <c r="J542" s="294" t="s">
        <v>353</v>
      </c>
      <c r="K542" s="295"/>
      <c r="L542" s="296" t="s">
        <v>55</v>
      </c>
      <c r="M542" s="297" t="s">
        <v>56</v>
      </c>
      <c r="N542" s="298" t="s">
        <v>57</v>
      </c>
      <c r="O542" s="299" t="s">
        <v>58</v>
      </c>
      <c r="P542" s="300" t="s">
        <v>59</v>
      </c>
      <c r="Q542" s="301">
        <v>4000</v>
      </c>
      <c r="R542" s="302" t="s">
        <v>60</v>
      </c>
      <c r="S542" s="303"/>
      <c r="T542" s="304" t="s">
        <v>61</v>
      </c>
      <c r="U542" s="298" t="s">
        <v>62</v>
      </c>
      <c r="V542" s="298">
        <v>22</v>
      </c>
      <c r="W542" s="298">
        <v>22</v>
      </c>
      <c r="X542" s="305"/>
      <c r="Y542" s="306" t="s">
        <v>63</v>
      </c>
      <c r="Z542" s="303"/>
      <c r="AA542" s="307" t="s">
        <v>64</v>
      </c>
      <c r="AB542" s="307" t="s">
        <v>65</v>
      </c>
      <c r="AC542" s="308">
        <v>0.1</v>
      </c>
      <c r="AD542" s="308">
        <v>0.02</v>
      </c>
      <c r="AE542" s="533" t="s">
        <v>66</v>
      </c>
      <c r="AF542" s="309">
        <v>50000</v>
      </c>
      <c r="AG542" s="310">
        <v>12</v>
      </c>
      <c r="AH542" s="310">
        <v>10</v>
      </c>
      <c r="AI542" s="310">
        <v>10</v>
      </c>
      <c r="AJ542" s="304">
        <v>15</v>
      </c>
      <c r="AK542" s="312" t="s">
        <v>67</v>
      </c>
      <c r="AL542" s="312" t="s">
        <v>68</v>
      </c>
      <c r="AM542" s="313" t="s">
        <v>69</v>
      </c>
      <c r="AN542" s="313" t="s">
        <v>70</v>
      </c>
      <c r="AO542" s="314">
        <f t="shared" ref="AO542:AO627" si="1140">IF(B542=0," ",TIME(,ROUNDDOWN(AG542*AJ542/60,0)*5+(AG542*AJ542),)+B542)</f>
        <v>0.718761574074074</v>
      </c>
      <c r="AP542" s="315">
        <f t="shared" ref="AP542:AP627" si="1141">IF(Q542=0,,ROUNDUP(Q542/(V542*(1-AC542-AD542)),0))</f>
        <v>207</v>
      </c>
      <c r="AQ542" s="316" t="str">
        <f t="shared" ref="AQ542:AQ627" si="1142">IFERROR(IF(V542=0," ",IF(V542&lt;=5,"MICRO",IF(V542&lt;=19.8,"LOW",IF(V542&lt;=99.8,"MEDIUM",IF(V542&lt;=500,"HIGH",IF(V542&gt;500,"SUPER HIGH",)))))),"")</f>
        <v>MEDIUM</v>
      </c>
    </row>
    <row r="543" ht="29.25" customHeight="1" outlineLevel="1" spans="1:43">
      <c r="A543" s="291" t="s">
        <v>71</v>
      </c>
      <c r="B543" s="317">
        <v>0.625011574074074</v>
      </c>
      <c r="C543" s="293" t="str">
        <f t="shared" ref="C543:G543" si="1143">TEXT(IF($B543=0," ",$B543-C$6),"hh:mm am/pm")</f>
        <v>13:00 001/p1</v>
      </c>
      <c r="D543" s="293" t="str">
        <f t="shared" si="1143"/>
        <v>11:00 001/p1</v>
      </c>
      <c r="E543" s="293" t="str">
        <f t="shared" si="1143"/>
        <v>12:00 001/p1</v>
      </c>
      <c r="F543" s="293" t="str">
        <f t="shared" si="1143"/>
        <v>13:00 001/p1</v>
      </c>
      <c r="G543" s="293" t="str">
        <f t="shared" si="1143"/>
        <v>14:00 001/p1</v>
      </c>
      <c r="H543" s="293" t="str">
        <f t="shared" ref="H543:I543" si="1144">TEXT(IF($B543=0," ",$B543+H$6),"hh:mm am/pm")</f>
        <v>21:00 001/p1</v>
      </c>
      <c r="I543" s="293" t="str">
        <f t="shared" si="1144"/>
        <v>02:00 001/p1</v>
      </c>
      <c r="J543" s="318" t="s">
        <v>168</v>
      </c>
      <c r="K543" s="295"/>
      <c r="L543" s="319" t="s">
        <v>73</v>
      </c>
      <c r="M543" s="320" t="s">
        <v>56</v>
      </c>
      <c r="N543" s="321" t="s">
        <v>57</v>
      </c>
      <c r="O543" s="322" t="s">
        <v>74</v>
      </c>
      <c r="P543" s="323" t="s">
        <v>59</v>
      </c>
      <c r="Q543" s="324">
        <v>4200</v>
      </c>
      <c r="R543" s="325" t="s">
        <v>76</v>
      </c>
      <c r="S543" s="326"/>
      <c r="T543" s="327" t="s">
        <v>77</v>
      </c>
      <c r="U543" s="321" t="s">
        <v>78</v>
      </c>
      <c r="V543" s="321">
        <v>3</v>
      </c>
      <c r="W543" s="321">
        <v>3</v>
      </c>
      <c r="X543" s="328"/>
      <c r="Y543" s="329" t="s">
        <v>79</v>
      </c>
      <c r="Z543" s="321">
        <v>4</v>
      </c>
      <c r="AA543" s="330">
        <v>200000</v>
      </c>
      <c r="AB543" s="330" t="s">
        <v>65</v>
      </c>
      <c r="AC543" s="331">
        <v>0.1</v>
      </c>
      <c r="AD543" s="331">
        <v>0.02</v>
      </c>
      <c r="AE543" s="534" t="s">
        <v>88</v>
      </c>
      <c r="AF543" s="332">
        <v>50000</v>
      </c>
      <c r="AG543" s="333">
        <v>10</v>
      </c>
      <c r="AH543" s="333">
        <v>8</v>
      </c>
      <c r="AI543" s="333">
        <v>8</v>
      </c>
      <c r="AJ543" s="327">
        <v>14</v>
      </c>
      <c r="AK543" s="335" t="s">
        <v>67</v>
      </c>
      <c r="AL543" s="335" t="s">
        <v>68</v>
      </c>
      <c r="AM543" s="336" t="s">
        <v>69</v>
      </c>
      <c r="AN543" s="336" t="s">
        <v>70</v>
      </c>
      <c r="AO543" s="314">
        <f t="shared" si="1140"/>
        <v>0.729178240740741</v>
      </c>
      <c r="AP543" s="315">
        <f t="shared" si="1141"/>
        <v>1591</v>
      </c>
      <c r="AQ543" s="316" t="str">
        <f t="shared" si="1142"/>
        <v>MICRO</v>
      </c>
    </row>
    <row r="544" ht="29.25" customHeight="1" outlineLevel="1" spans="1:43">
      <c r="A544" s="291">
        <f>COUNTIF(M542:M627,"Side event")</f>
        <v>77</v>
      </c>
      <c r="B544" s="317">
        <v>0.750011574074074</v>
      </c>
      <c r="C544" s="293" t="str">
        <f t="shared" ref="C544:G544" si="1145">TEXT(IF($B544=0," ",$B544-C$6),"hh:mm am/pm")</f>
        <v>16:00 001/p1</v>
      </c>
      <c r="D544" s="293" t="str">
        <f t="shared" si="1145"/>
        <v>14:00 001/p1</v>
      </c>
      <c r="E544" s="293" t="str">
        <f t="shared" si="1145"/>
        <v>15:00 001/p1</v>
      </c>
      <c r="F544" s="293" t="str">
        <f t="shared" si="1145"/>
        <v>16:00 001/p1</v>
      </c>
      <c r="G544" s="293" t="str">
        <f t="shared" si="1145"/>
        <v>17:00 001/p1</v>
      </c>
      <c r="H544" s="293" t="str">
        <f t="shared" ref="H544:I544" si="1146">TEXT(IF($B544=0," ",$B544+H$6),"hh:mm am/pm")</f>
        <v>00:00 001/p1</v>
      </c>
      <c r="I544" s="293" t="str">
        <f t="shared" si="1146"/>
        <v>05:00 001/p1</v>
      </c>
      <c r="J544" s="294" t="s">
        <v>386</v>
      </c>
      <c r="K544" s="295"/>
      <c r="L544" s="337" t="s">
        <v>229</v>
      </c>
      <c r="M544" s="338" t="s">
        <v>56</v>
      </c>
      <c r="N544" s="339" t="s">
        <v>57</v>
      </c>
      <c r="O544" s="340" t="s">
        <v>74</v>
      </c>
      <c r="P544" s="341" t="s">
        <v>59</v>
      </c>
      <c r="Q544" s="342">
        <v>21700</v>
      </c>
      <c r="R544" s="343" t="s">
        <v>87</v>
      </c>
      <c r="S544" s="344"/>
      <c r="T544" s="345" t="s">
        <v>77</v>
      </c>
      <c r="U544" s="339" t="s">
        <v>78</v>
      </c>
      <c r="V544" s="339">
        <v>8</v>
      </c>
      <c r="W544" s="339">
        <v>8</v>
      </c>
      <c r="X544" s="354"/>
      <c r="Y544" s="347" t="s">
        <v>79</v>
      </c>
      <c r="Z544" s="339">
        <v>10</v>
      </c>
      <c r="AA544" s="348">
        <v>250000</v>
      </c>
      <c r="AB544" s="348" t="s">
        <v>65</v>
      </c>
      <c r="AC544" s="349">
        <v>0.1</v>
      </c>
      <c r="AD544" s="349">
        <v>0.02</v>
      </c>
      <c r="AE544" s="535" t="s">
        <v>88</v>
      </c>
      <c r="AF544" s="346">
        <v>50000</v>
      </c>
      <c r="AG544" s="350">
        <v>12</v>
      </c>
      <c r="AH544" s="350">
        <v>10</v>
      </c>
      <c r="AI544" s="350">
        <v>10</v>
      </c>
      <c r="AJ544" s="345">
        <v>15</v>
      </c>
      <c r="AK544" s="352" t="s">
        <v>67</v>
      </c>
      <c r="AL544" s="352" t="s">
        <v>68</v>
      </c>
      <c r="AM544" s="353" t="s">
        <v>69</v>
      </c>
      <c r="AN544" s="353" t="s">
        <v>70</v>
      </c>
      <c r="AO544" s="314">
        <f t="shared" si="1140"/>
        <v>0.885428240740741</v>
      </c>
      <c r="AP544" s="315">
        <f t="shared" si="1141"/>
        <v>3083</v>
      </c>
      <c r="AQ544" s="316" t="str">
        <f t="shared" si="1142"/>
        <v>LOW</v>
      </c>
    </row>
    <row r="545" ht="29.25" customHeight="1" outlineLevel="1" spans="1:43">
      <c r="A545" s="291" t="s">
        <v>56</v>
      </c>
      <c r="B545" s="317">
        <v>0.791678240740741</v>
      </c>
      <c r="C545" s="293" t="str">
        <f t="shared" ref="C545:G545" si="1147">TEXT(IF($B545=0," ",$B545-C$6),"hh:mm am/pm")</f>
        <v>17:00 001/p1</v>
      </c>
      <c r="D545" s="293" t="str">
        <f t="shared" si="1147"/>
        <v>15:00 001/p1</v>
      </c>
      <c r="E545" s="293" t="str">
        <f t="shared" si="1147"/>
        <v>16:00 001/p1</v>
      </c>
      <c r="F545" s="293" t="str">
        <f t="shared" si="1147"/>
        <v>17:00 001/p1</v>
      </c>
      <c r="G545" s="293" t="str">
        <f t="shared" si="1147"/>
        <v>18:00 001/p1</v>
      </c>
      <c r="H545" s="293" t="str">
        <f t="shared" ref="H545:I545" si="1148">TEXT(IF($B545=0," ",$B545+H$6),"hh:mm am/pm")</f>
        <v>01:00 001/p1</v>
      </c>
      <c r="I545" s="293" t="str">
        <f t="shared" si="1148"/>
        <v>06:00 001/p1</v>
      </c>
      <c r="J545" s="294" t="s">
        <v>387</v>
      </c>
      <c r="K545" s="295"/>
      <c r="L545" s="319" t="s">
        <v>388</v>
      </c>
      <c r="M545" s="320" t="s">
        <v>56</v>
      </c>
      <c r="N545" s="321" t="s">
        <v>57</v>
      </c>
      <c r="O545" s="322" t="s">
        <v>82</v>
      </c>
      <c r="P545" s="323" t="s">
        <v>59</v>
      </c>
      <c r="Q545" s="324">
        <v>10000</v>
      </c>
      <c r="R545" s="375" t="s">
        <v>60</v>
      </c>
      <c r="S545" s="326"/>
      <c r="T545" s="327" t="s">
        <v>61</v>
      </c>
      <c r="U545" s="321" t="s">
        <v>62</v>
      </c>
      <c r="V545" s="321">
        <v>110</v>
      </c>
      <c r="W545" s="321">
        <v>110</v>
      </c>
      <c r="X545" s="328"/>
      <c r="Y545" s="329" t="s">
        <v>63</v>
      </c>
      <c r="Z545" s="326"/>
      <c r="AA545" s="330" t="s">
        <v>64</v>
      </c>
      <c r="AB545" s="330" t="s">
        <v>65</v>
      </c>
      <c r="AC545" s="331">
        <v>0.1</v>
      </c>
      <c r="AD545" s="331">
        <v>0.02</v>
      </c>
      <c r="AE545" s="534" t="s">
        <v>66</v>
      </c>
      <c r="AF545" s="332">
        <v>40000</v>
      </c>
      <c r="AG545" s="333">
        <v>15</v>
      </c>
      <c r="AH545" s="333">
        <v>12</v>
      </c>
      <c r="AI545" s="333">
        <v>12</v>
      </c>
      <c r="AJ545" s="327">
        <v>13</v>
      </c>
      <c r="AK545" s="335" t="s">
        <v>67</v>
      </c>
      <c r="AL545" s="335" t="s">
        <v>68</v>
      </c>
      <c r="AM545" s="336" t="s">
        <v>69</v>
      </c>
      <c r="AN545" s="336" t="s">
        <v>70</v>
      </c>
      <c r="AO545" s="314">
        <f t="shared" si="1140"/>
        <v>0.937511574074074</v>
      </c>
      <c r="AP545" s="315">
        <f t="shared" si="1141"/>
        <v>104</v>
      </c>
      <c r="AQ545" s="316" t="str">
        <f t="shared" si="1142"/>
        <v>HIGH</v>
      </c>
    </row>
    <row r="546" ht="29.25" customHeight="1" outlineLevel="1" spans="1:43">
      <c r="A546" s="291">
        <f>COUNTIF(M542:M626,"Main Event")</f>
        <v>8</v>
      </c>
      <c r="B546" s="317">
        <v>0.791678240740741</v>
      </c>
      <c r="C546" s="293" t="str">
        <f t="shared" ref="C546:G546" si="1149">TEXT(IF($B546=0," ",$B546-C$6),"hh:mm am/pm")</f>
        <v>17:00 001/p1</v>
      </c>
      <c r="D546" s="293" t="str">
        <f t="shared" si="1149"/>
        <v>15:00 001/p1</v>
      </c>
      <c r="E546" s="293" t="str">
        <f t="shared" si="1149"/>
        <v>16:00 001/p1</v>
      </c>
      <c r="F546" s="293" t="str">
        <f t="shared" si="1149"/>
        <v>17:00 001/p1</v>
      </c>
      <c r="G546" s="293" t="str">
        <f t="shared" si="1149"/>
        <v>18:00 001/p1</v>
      </c>
      <c r="H546" s="293" t="str">
        <f t="shared" ref="H546:I546" si="1150">TEXT(IF($B546=0," ",$B546+H$6),"hh:mm am/pm")</f>
        <v>01:00 001/p1</v>
      </c>
      <c r="I546" s="293" t="str">
        <f t="shared" si="1150"/>
        <v>06:00 001/p1</v>
      </c>
      <c r="J546" s="318" t="s">
        <v>389</v>
      </c>
      <c r="K546" s="295"/>
      <c r="L546" s="337" t="s">
        <v>96</v>
      </c>
      <c r="M546" s="338" t="s">
        <v>56</v>
      </c>
      <c r="N546" s="339" t="s">
        <v>57</v>
      </c>
      <c r="O546" s="340" t="s">
        <v>82</v>
      </c>
      <c r="P546" s="341" t="s">
        <v>59</v>
      </c>
      <c r="Q546" s="342">
        <v>20200</v>
      </c>
      <c r="R546" s="325" t="s">
        <v>76</v>
      </c>
      <c r="S546" s="344"/>
      <c r="T546" s="345" t="s">
        <v>92</v>
      </c>
      <c r="U546" s="339" t="s">
        <v>62</v>
      </c>
      <c r="V546" s="339">
        <v>30</v>
      </c>
      <c r="W546" s="339">
        <v>30</v>
      </c>
      <c r="X546" s="354"/>
      <c r="Y546" s="347" t="s">
        <v>63</v>
      </c>
      <c r="Z546" s="344"/>
      <c r="AA546" s="348" t="s">
        <v>64</v>
      </c>
      <c r="AB546" s="348" t="s">
        <v>65</v>
      </c>
      <c r="AC546" s="349">
        <v>0.1</v>
      </c>
      <c r="AD546" s="349">
        <v>0.02</v>
      </c>
      <c r="AE546" s="535" t="s">
        <v>88</v>
      </c>
      <c r="AF546" s="346">
        <v>80000</v>
      </c>
      <c r="AG546" s="350">
        <v>12</v>
      </c>
      <c r="AH546" s="350">
        <v>12</v>
      </c>
      <c r="AI546" s="350">
        <v>12</v>
      </c>
      <c r="AJ546" s="345">
        <v>15</v>
      </c>
      <c r="AK546" s="352" t="s">
        <v>67</v>
      </c>
      <c r="AL546" s="352" t="s">
        <v>68</v>
      </c>
      <c r="AM546" s="353" t="s">
        <v>69</v>
      </c>
      <c r="AN546" s="353" t="s">
        <v>70</v>
      </c>
      <c r="AO546" s="314">
        <f t="shared" si="1140"/>
        <v>0.927094907407407</v>
      </c>
      <c r="AP546" s="315">
        <f t="shared" si="1141"/>
        <v>766</v>
      </c>
      <c r="AQ546" s="316" t="str">
        <f t="shared" si="1142"/>
        <v>MEDIUM</v>
      </c>
    </row>
    <row r="547" ht="29.25" customHeight="1" outlineLevel="1" spans="1:43">
      <c r="A547" s="291" t="s">
        <v>89</v>
      </c>
      <c r="B547" s="317">
        <v>0.833344907407407</v>
      </c>
      <c r="C547" s="293" t="str">
        <f t="shared" ref="C547:G547" si="1151">TEXT(IF($B547=0," ",$B547-C$6),"hh:mm am/pm")</f>
        <v>18:00 001/p1</v>
      </c>
      <c r="D547" s="293" t="str">
        <f t="shared" si="1151"/>
        <v>16:00 001/p1</v>
      </c>
      <c r="E547" s="293" t="str">
        <f t="shared" si="1151"/>
        <v>17:00 001/p1</v>
      </c>
      <c r="F547" s="293" t="str">
        <f t="shared" si="1151"/>
        <v>18:00 001/p1</v>
      </c>
      <c r="G547" s="293" t="str">
        <f t="shared" si="1151"/>
        <v>19:00 001/p1</v>
      </c>
      <c r="H547" s="293" t="str">
        <f t="shared" ref="H547:I547" si="1152">TEXT(IF($B547=0," ",$B547+H$6),"hh:mm am/pm")</f>
        <v>02:00 001/p1</v>
      </c>
      <c r="I547" s="293" t="str">
        <f t="shared" si="1152"/>
        <v>07:00 001/p1</v>
      </c>
      <c r="J547" s="294" t="s">
        <v>390</v>
      </c>
      <c r="K547" s="295"/>
      <c r="L547" s="319" t="s">
        <v>126</v>
      </c>
      <c r="M547" s="320" t="s">
        <v>56</v>
      </c>
      <c r="N547" s="321" t="s">
        <v>57</v>
      </c>
      <c r="O547" s="322" t="s">
        <v>58</v>
      </c>
      <c r="P547" s="323" t="s">
        <v>59</v>
      </c>
      <c r="Q547" s="324">
        <v>4000</v>
      </c>
      <c r="R547" s="375" t="s">
        <v>60</v>
      </c>
      <c r="S547" s="326"/>
      <c r="T547" s="327" t="s">
        <v>92</v>
      </c>
      <c r="U547" s="321" t="s">
        <v>62</v>
      </c>
      <c r="V547" s="321">
        <v>7</v>
      </c>
      <c r="W547" s="321">
        <v>7</v>
      </c>
      <c r="X547" s="328"/>
      <c r="Y547" s="329" t="s">
        <v>63</v>
      </c>
      <c r="Z547" s="326"/>
      <c r="AA547" s="330" t="s">
        <v>64</v>
      </c>
      <c r="AB547" s="330" t="s">
        <v>65</v>
      </c>
      <c r="AC547" s="331">
        <v>0.1</v>
      </c>
      <c r="AD547" s="331">
        <v>0.02</v>
      </c>
      <c r="AE547" s="534" t="s">
        <v>66</v>
      </c>
      <c r="AF547" s="332">
        <v>50000</v>
      </c>
      <c r="AG547" s="333">
        <v>10</v>
      </c>
      <c r="AH547" s="333">
        <v>10</v>
      </c>
      <c r="AI547" s="333">
        <v>10</v>
      </c>
      <c r="AJ547" s="327">
        <v>15</v>
      </c>
      <c r="AK547" s="335" t="s">
        <v>67</v>
      </c>
      <c r="AL547" s="335" t="s">
        <v>68</v>
      </c>
      <c r="AM547" s="336" t="s">
        <v>69</v>
      </c>
      <c r="AN547" s="336" t="s">
        <v>70</v>
      </c>
      <c r="AO547" s="314">
        <f t="shared" si="1140"/>
        <v>0.944456018518518</v>
      </c>
      <c r="AP547" s="315">
        <f t="shared" si="1141"/>
        <v>650</v>
      </c>
      <c r="AQ547" s="316" t="str">
        <f t="shared" si="1142"/>
        <v>LOW</v>
      </c>
    </row>
    <row r="548" ht="29.25" customHeight="1" outlineLevel="1" spans="1:43">
      <c r="A548" s="361">
        <f>SUM(Q542:Q627,Q629:Q685)</f>
        <v>145975</v>
      </c>
      <c r="B548" s="317">
        <v>0.833344907407407</v>
      </c>
      <c r="C548" s="293" t="str">
        <f t="shared" ref="C548:G548" si="1153">TEXT(IF($B548=0," ",$B548-C$6),"hh:mm am/pm")</f>
        <v>18:00 001/p1</v>
      </c>
      <c r="D548" s="293" t="str">
        <f t="shared" si="1153"/>
        <v>16:00 001/p1</v>
      </c>
      <c r="E548" s="293" t="str">
        <f t="shared" si="1153"/>
        <v>17:00 001/p1</v>
      </c>
      <c r="F548" s="293" t="str">
        <f t="shared" si="1153"/>
        <v>18:00 001/p1</v>
      </c>
      <c r="G548" s="293" t="str">
        <f t="shared" si="1153"/>
        <v>19:00 001/p1</v>
      </c>
      <c r="H548" s="293" t="str">
        <f t="shared" ref="H548:I548" si="1154">TEXT(IF($B548=0," ",$B548+H$6),"hh:mm am/pm")</f>
        <v>02:00 001/p1</v>
      </c>
      <c r="I548" s="293" t="str">
        <f t="shared" si="1154"/>
        <v>07:00 001/p1</v>
      </c>
      <c r="J548" s="294" t="s">
        <v>391</v>
      </c>
      <c r="K548" s="295"/>
      <c r="L548" s="337" t="s">
        <v>99</v>
      </c>
      <c r="M548" s="338" t="s">
        <v>56</v>
      </c>
      <c r="N548" s="339" t="s">
        <v>100</v>
      </c>
      <c r="O548" s="340" t="s">
        <v>82</v>
      </c>
      <c r="P548" s="341" t="s">
        <v>101</v>
      </c>
      <c r="Q548" s="342">
        <v>7000</v>
      </c>
      <c r="R548" s="343" t="s">
        <v>60</v>
      </c>
      <c r="S548" s="344"/>
      <c r="T548" s="345" t="s">
        <v>92</v>
      </c>
      <c r="U548" s="339" t="s">
        <v>78</v>
      </c>
      <c r="V548" s="339">
        <v>70</v>
      </c>
      <c r="W548" s="339">
        <v>70</v>
      </c>
      <c r="X548" s="346">
        <v>60000</v>
      </c>
      <c r="Y548" s="347" t="s">
        <v>63</v>
      </c>
      <c r="Z548" s="344"/>
      <c r="AA548" s="348" t="s">
        <v>64</v>
      </c>
      <c r="AB548" s="348" t="s">
        <v>65</v>
      </c>
      <c r="AC548" s="349">
        <v>0.1</v>
      </c>
      <c r="AD548" s="349">
        <v>0.02</v>
      </c>
      <c r="AE548" s="345" t="s">
        <v>66</v>
      </c>
      <c r="AF548" s="346">
        <v>40000</v>
      </c>
      <c r="AG548" s="350">
        <v>12</v>
      </c>
      <c r="AH548" s="350">
        <v>10</v>
      </c>
      <c r="AI548" s="350">
        <v>10</v>
      </c>
      <c r="AJ548" s="345">
        <v>15</v>
      </c>
      <c r="AK548" s="352" t="s">
        <v>67</v>
      </c>
      <c r="AL548" s="352" t="s">
        <v>68</v>
      </c>
      <c r="AM548" s="353" t="s">
        <v>69</v>
      </c>
      <c r="AN548" s="353" t="s">
        <v>70</v>
      </c>
      <c r="AO548" s="314">
        <f t="shared" si="1140"/>
        <v>0.968761574074074</v>
      </c>
      <c r="AP548" s="315">
        <f t="shared" si="1141"/>
        <v>114</v>
      </c>
      <c r="AQ548" s="316" t="str">
        <f t="shared" si="1142"/>
        <v>MEDIUM</v>
      </c>
    </row>
    <row r="549" ht="29.25" customHeight="1" outlineLevel="1" spans="1:43">
      <c r="A549" s="363" t="s">
        <v>385</v>
      </c>
      <c r="B549" s="317">
        <v>0.875011574074074</v>
      </c>
      <c r="C549" s="293" t="str">
        <f t="shared" ref="C549:G549" si="1155">TEXT(IF($B549=0," ",$B549-C$6),"hh:mm am/pm")</f>
        <v>19:00 001/p1</v>
      </c>
      <c r="D549" s="293" t="str">
        <f t="shared" si="1155"/>
        <v>17:00 001/p1</v>
      </c>
      <c r="E549" s="293" t="str">
        <f t="shared" si="1155"/>
        <v>18:00 001/p1</v>
      </c>
      <c r="F549" s="293" t="str">
        <f t="shared" si="1155"/>
        <v>19:00 001/p1</v>
      </c>
      <c r="G549" s="293" t="str">
        <f t="shared" si="1155"/>
        <v>20:00 001/p1</v>
      </c>
      <c r="H549" s="293" t="str">
        <f t="shared" ref="H549:I549" si="1156">TEXT(IF($B549=0," ",$B549+H$6),"hh:mm am/pm")</f>
        <v>03:00 001/p1</v>
      </c>
      <c r="I549" s="293" t="str">
        <f t="shared" si="1156"/>
        <v>08:00 001/p1</v>
      </c>
      <c r="J549" s="318" t="s">
        <v>392</v>
      </c>
      <c r="K549" s="295"/>
      <c r="L549" s="319" t="s">
        <v>103</v>
      </c>
      <c r="M549" s="320" t="s">
        <v>56</v>
      </c>
      <c r="N549" s="321" t="s">
        <v>57</v>
      </c>
      <c r="O549" s="322" t="s">
        <v>104</v>
      </c>
      <c r="P549" s="323" t="s">
        <v>59</v>
      </c>
      <c r="Q549" s="324">
        <v>6200</v>
      </c>
      <c r="R549" s="325" t="s">
        <v>76</v>
      </c>
      <c r="S549" s="326"/>
      <c r="T549" s="327" t="s">
        <v>61</v>
      </c>
      <c r="U549" s="321" t="s">
        <v>62</v>
      </c>
      <c r="V549" s="321">
        <v>15</v>
      </c>
      <c r="W549" s="321">
        <v>15</v>
      </c>
      <c r="X549" s="328"/>
      <c r="Y549" s="329" t="s">
        <v>63</v>
      </c>
      <c r="Z549" s="326"/>
      <c r="AA549" s="330" t="s">
        <v>64</v>
      </c>
      <c r="AB549" s="330" t="s">
        <v>65</v>
      </c>
      <c r="AC549" s="331">
        <v>0.1</v>
      </c>
      <c r="AD549" s="331">
        <v>0.02</v>
      </c>
      <c r="AE549" s="534" t="s">
        <v>88</v>
      </c>
      <c r="AF549" s="332">
        <v>60000</v>
      </c>
      <c r="AG549" s="333">
        <v>10</v>
      </c>
      <c r="AH549" s="333">
        <v>8</v>
      </c>
      <c r="AI549" s="333">
        <v>8</v>
      </c>
      <c r="AJ549" s="327">
        <v>14</v>
      </c>
      <c r="AK549" s="335" t="s">
        <v>67</v>
      </c>
      <c r="AL549" s="335" t="s">
        <v>68</v>
      </c>
      <c r="AM549" s="336" t="s">
        <v>69</v>
      </c>
      <c r="AN549" s="336" t="s">
        <v>70</v>
      </c>
      <c r="AO549" s="314">
        <f t="shared" si="1140"/>
        <v>0.979178240740741</v>
      </c>
      <c r="AP549" s="315">
        <f t="shared" si="1141"/>
        <v>470</v>
      </c>
      <c r="AQ549" s="316" t="str">
        <f t="shared" si="1142"/>
        <v>LOW</v>
      </c>
    </row>
    <row r="550" ht="29.25" customHeight="1" outlineLevel="1" spans="1:43">
      <c r="B550" s="479"/>
      <c r="C550" s="293" t="str">
        <f t="shared" ref="C550:G550" si="1157">TEXT(IF($B550=0," ",$B550-C$6),"hh:mm am/pm")</f>
        <v> </v>
      </c>
      <c r="D550" s="293" t="str">
        <f t="shared" si="1157"/>
        <v> </v>
      </c>
      <c r="E550" s="293" t="str">
        <f t="shared" si="1157"/>
        <v> </v>
      </c>
      <c r="F550" s="293" t="str">
        <f t="shared" si="1157"/>
        <v> </v>
      </c>
      <c r="G550" s="293" t="str">
        <f t="shared" si="1157"/>
        <v> </v>
      </c>
      <c r="H550" s="293" t="str">
        <f t="shared" ref="H550:I550" si="1158">TEXT(IF($B550=0," ",$B550+H$6),"hh:mm am/pm")</f>
        <v> </v>
      </c>
      <c r="I550" s="293" t="str">
        <f t="shared" si="1158"/>
        <v> </v>
      </c>
      <c r="J550" s="295"/>
      <c r="K550" s="366"/>
      <c r="L550" s="367"/>
      <c r="M550" s="368"/>
      <c r="N550" s="404"/>
      <c r="O550" s="370"/>
      <c r="P550" s="370"/>
      <c r="Q550" s="369"/>
      <c r="R550" s="369"/>
      <c r="S550" s="369"/>
      <c r="T550" s="371"/>
      <c r="U550" s="369"/>
      <c r="V550" s="369"/>
      <c r="W550" s="369"/>
      <c r="X550" s="372"/>
      <c r="Y550" s="367"/>
      <c r="Z550" s="369"/>
      <c r="AA550" s="372"/>
      <c r="AB550" s="372"/>
      <c r="AC550" s="371"/>
      <c r="AD550" s="371"/>
      <c r="AE550" s="484"/>
      <c r="AF550" s="372"/>
      <c r="AG550" s="373"/>
      <c r="AH550" s="404"/>
      <c r="AI550" s="372"/>
      <c r="AJ550" s="536"/>
      <c r="AK550" s="373"/>
      <c r="AL550" s="373"/>
      <c r="AM550" s="373"/>
      <c r="AN550" s="373"/>
      <c r="AO550" s="314" t="str">
        <f t="shared" si="1140"/>
        <v> </v>
      </c>
      <c r="AP550" s="374">
        <f t="shared" si="1141"/>
        <v>0</v>
      </c>
      <c r="AQ550" s="316" t="str">
        <f t="shared" si="1142"/>
        <v> </v>
      </c>
    </row>
    <row r="551" ht="29.25" customHeight="1" outlineLevel="1" spans="1:43">
      <c r="B551" s="317">
        <v>1.15740740740741e-5</v>
      </c>
      <c r="C551" s="293" t="e">
        <f t="shared" ref="C551:G551" si="1159">TEXT(IF($B551=0," ",$B551-C$6),"hh:mm am/pm")</f>
        <v>#VALUE!</v>
      </c>
      <c r="D551" s="293" t="e">
        <f t="shared" si="1159"/>
        <v>#VALUE!</v>
      </c>
      <c r="E551" s="293" t="e">
        <f t="shared" si="1159"/>
        <v>#VALUE!</v>
      </c>
      <c r="F551" s="293" t="e">
        <f t="shared" si="1159"/>
        <v>#VALUE!</v>
      </c>
      <c r="G551" s="293" t="e">
        <f t="shared" si="1159"/>
        <v>#VALUE!</v>
      </c>
      <c r="H551" s="293" t="str">
        <f t="shared" ref="H551:I551" si="1160">TEXT(IF($B551=0," ",$B551+H$6),"hh:mm am/pm")</f>
        <v>06:00 001/p1</v>
      </c>
      <c r="I551" s="293" t="str">
        <f t="shared" si="1160"/>
        <v>11:00 001/p1</v>
      </c>
      <c r="J551" s="294" t="s">
        <v>393</v>
      </c>
      <c r="K551" s="295"/>
      <c r="L551" s="319" t="s">
        <v>346</v>
      </c>
      <c r="M551" s="320" t="s">
        <v>71</v>
      </c>
      <c r="N551" s="321" t="s">
        <v>57</v>
      </c>
      <c r="O551" s="322" t="s">
        <v>74</v>
      </c>
      <c r="P551" s="323" t="s">
        <v>101</v>
      </c>
      <c r="Q551" s="324">
        <v>1600</v>
      </c>
      <c r="R551" s="375" t="s">
        <v>60</v>
      </c>
      <c r="S551" s="326"/>
      <c r="T551" s="327" t="s">
        <v>61</v>
      </c>
      <c r="U551" s="321" t="s">
        <v>78</v>
      </c>
      <c r="V551" s="321">
        <v>7</v>
      </c>
      <c r="W551" s="321">
        <v>7</v>
      </c>
      <c r="X551" s="328"/>
      <c r="Y551" s="329" t="s">
        <v>79</v>
      </c>
      <c r="Z551" s="326"/>
      <c r="AA551" s="330" t="s">
        <v>64</v>
      </c>
      <c r="AB551" s="330" t="s">
        <v>65</v>
      </c>
      <c r="AC551" s="331">
        <v>0.1</v>
      </c>
      <c r="AD551" s="331">
        <v>0.02</v>
      </c>
      <c r="AE551" s="534" t="s">
        <v>88</v>
      </c>
      <c r="AF551" s="332">
        <v>50000</v>
      </c>
      <c r="AG551" s="333">
        <v>6</v>
      </c>
      <c r="AH551" s="333">
        <v>5</v>
      </c>
      <c r="AI551" s="333">
        <v>5</v>
      </c>
      <c r="AJ551" s="327">
        <v>13</v>
      </c>
      <c r="AK551" s="480" t="s">
        <v>67</v>
      </c>
      <c r="AL551" s="335" t="s">
        <v>68</v>
      </c>
      <c r="AM551" s="336" t="s">
        <v>69</v>
      </c>
      <c r="AN551" s="336" t="s">
        <v>70</v>
      </c>
      <c r="AO551" s="314">
        <f t="shared" si="1140"/>
        <v>0.057650462962963</v>
      </c>
      <c r="AP551" s="315">
        <f t="shared" si="1141"/>
        <v>260</v>
      </c>
      <c r="AQ551" s="316" t="str">
        <f t="shared" si="1142"/>
        <v>LOW</v>
      </c>
    </row>
    <row r="552" ht="29.25" customHeight="1" outlineLevel="1" spans="1:43">
      <c r="A552" s="363" t="s">
        <v>385</v>
      </c>
      <c r="B552" s="317">
        <v>1.15740740740741e-5</v>
      </c>
      <c r="C552" s="293" t="e">
        <f t="shared" ref="C552:G552" si="1161">TEXT(IF($B552=0," ",$B552-C$6),"hh:mm am/pm")</f>
        <v>#VALUE!</v>
      </c>
      <c r="D552" s="293" t="e">
        <f t="shared" si="1161"/>
        <v>#VALUE!</v>
      </c>
      <c r="E552" s="293" t="e">
        <f t="shared" si="1161"/>
        <v>#VALUE!</v>
      </c>
      <c r="F552" s="293" t="e">
        <f t="shared" si="1161"/>
        <v>#VALUE!</v>
      </c>
      <c r="G552" s="293" t="e">
        <f t="shared" si="1161"/>
        <v>#VALUE!</v>
      </c>
      <c r="H552" s="293" t="str">
        <f t="shared" ref="H552:I552" si="1162">TEXT(IF($B552=0," ",$B552+H$6),"hh:mm am/pm")</f>
        <v>06:00 001/p1</v>
      </c>
      <c r="I552" s="293" t="str">
        <f t="shared" si="1162"/>
        <v>11:00 001/p1</v>
      </c>
      <c r="J552" s="294" t="s">
        <v>310</v>
      </c>
      <c r="K552" s="295"/>
      <c r="L552" s="337" t="s">
        <v>108</v>
      </c>
      <c r="M552" s="338" t="s">
        <v>71</v>
      </c>
      <c r="N552" s="339" t="s">
        <v>100</v>
      </c>
      <c r="O552" s="340" t="s">
        <v>109</v>
      </c>
      <c r="P552" s="341" t="s">
        <v>101</v>
      </c>
      <c r="Q552" s="342">
        <v>300</v>
      </c>
      <c r="R552" s="343" t="s">
        <v>60</v>
      </c>
      <c r="S552" s="344"/>
      <c r="T552" s="345" t="s">
        <v>61</v>
      </c>
      <c r="U552" s="339" t="s">
        <v>62</v>
      </c>
      <c r="V552" s="339">
        <v>2</v>
      </c>
      <c r="W552" s="339">
        <v>2</v>
      </c>
      <c r="X552" s="354"/>
      <c r="Y552" s="347" t="s">
        <v>63</v>
      </c>
      <c r="Z552" s="344"/>
      <c r="AA552" s="348" t="s">
        <v>64</v>
      </c>
      <c r="AB552" s="348" t="s">
        <v>65</v>
      </c>
      <c r="AC552" s="349">
        <v>0.1</v>
      </c>
      <c r="AD552" s="349">
        <v>0</v>
      </c>
      <c r="AE552" s="535" t="s">
        <v>88</v>
      </c>
      <c r="AF552" s="346">
        <v>60000</v>
      </c>
      <c r="AG552" s="350">
        <v>6</v>
      </c>
      <c r="AH552" s="350">
        <v>5</v>
      </c>
      <c r="AI552" s="350">
        <v>5</v>
      </c>
      <c r="AJ552" s="345">
        <v>12</v>
      </c>
      <c r="AK552" s="352" t="s">
        <v>67</v>
      </c>
      <c r="AL552" s="352" t="s">
        <v>68</v>
      </c>
      <c r="AM552" s="353" t="s">
        <v>69</v>
      </c>
      <c r="AN552" s="353" t="s">
        <v>70</v>
      </c>
      <c r="AO552" s="314">
        <f t="shared" si="1140"/>
        <v>0.0534837962962963</v>
      </c>
      <c r="AP552" s="315">
        <f t="shared" si="1141"/>
        <v>167</v>
      </c>
      <c r="AQ552" s="316" t="str">
        <f t="shared" si="1142"/>
        <v>MICRO</v>
      </c>
    </row>
    <row r="553" ht="29.25" customHeight="1" outlineLevel="1" spans="1:43">
      <c r="B553" s="317">
        <v>0.013900462962963</v>
      </c>
      <c r="C553" s="293" t="e">
        <f t="shared" ref="C553:G553" si="1163">TEXT(IF($B553=0," ",$B553-C$6),"hh:mm am/pm")</f>
        <v>#VALUE!</v>
      </c>
      <c r="D553" s="293" t="e">
        <f t="shared" si="1163"/>
        <v>#VALUE!</v>
      </c>
      <c r="E553" s="293" t="e">
        <f t="shared" si="1163"/>
        <v>#VALUE!</v>
      </c>
      <c r="F553" s="293" t="e">
        <f t="shared" si="1163"/>
        <v>#VALUE!</v>
      </c>
      <c r="G553" s="293" t="e">
        <f t="shared" si="1163"/>
        <v>#VALUE!</v>
      </c>
      <c r="H553" s="293" t="str">
        <f t="shared" ref="H553:I553" si="1164">TEXT(IF($B553=0," ",$B553+H$6),"hh:mm am/pm")</f>
        <v>06:20 001/p1</v>
      </c>
      <c r="I553" s="293" t="str">
        <f t="shared" si="1164"/>
        <v>11:20 001/p1</v>
      </c>
      <c r="J553" s="294" t="s">
        <v>110</v>
      </c>
      <c r="K553" s="295"/>
      <c r="L553" s="319" t="s">
        <v>111</v>
      </c>
      <c r="M553" s="320" t="s">
        <v>71</v>
      </c>
      <c r="N553" s="321" t="s">
        <v>57</v>
      </c>
      <c r="O553" s="322" t="s">
        <v>109</v>
      </c>
      <c r="P553" s="323" t="s">
        <v>75</v>
      </c>
      <c r="Q553" s="324">
        <v>120</v>
      </c>
      <c r="R553" s="375" t="s">
        <v>60</v>
      </c>
      <c r="S553" s="326"/>
      <c r="T553" s="327" t="s">
        <v>61</v>
      </c>
      <c r="U553" s="321" t="s">
        <v>62</v>
      </c>
      <c r="V553" s="321">
        <v>1</v>
      </c>
      <c r="W553" s="321">
        <v>1</v>
      </c>
      <c r="X553" s="328"/>
      <c r="Y553" s="329" t="s">
        <v>63</v>
      </c>
      <c r="Z553" s="326"/>
      <c r="AA553" s="330" t="s">
        <v>64</v>
      </c>
      <c r="AB553" s="330" t="s">
        <v>65</v>
      </c>
      <c r="AC553" s="331">
        <v>0.1</v>
      </c>
      <c r="AD553" s="331">
        <v>0</v>
      </c>
      <c r="AE553" s="534" t="s">
        <v>66</v>
      </c>
      <c r="AF553" s="332">
        <v>30000</v>
      </c>
      <c r="AG553" s="333">
        <v>5</v>
      </c>
      <c r="AH553" s="333">
        <v>5</v>
      </c>
      <c r="AI553" s="333">
        <v>5</v>
      </c>
      <c r="AJ553" s="327">
        <v>13</v>
      </c>
      <c r="AK553" s="335" t="s">
        <v>67</v>
      </c>
      <c r="AL553" s="335" t="s">
        <v>68</v>
      </c>
      <c r="AM553" s="336" t="s">
        <v>69</v>
      </c>
      <c r="AN553" s="336" t="s">
        <v>70</v>
      </c>
      <c r="AO553" s="314">
        <f t="shared" si="1140"/>
        <v>0.0625115740740741</v>
      </c>
      <c r="AP553" s="315">
        <f t="shared" si="1141"/>
        <v>134</v>
      </c>
      <c r="AQ553" s="316" t="str">
        <f t="shared" si="1142"/>
        <v>MICRO</v>
      </c>
    </row>
    <row r="554" ht="29.25" customHeight="1" outlineLevel="1" spans="1:43">
      <c r="B554" s="317">
        <v>0.0208449074074074</v>
      </c>
      <c r="C554" s="293" t="e">
        <f t="shared" ref="C554:G554" si="1165">TEXT(IF($B554=0," ",$B554-C$6),"hh:mm am/pm")</f>
        <v>#VALUE!</v>
      </c>
      <c r="D554" s="293" t="e">
        <f t="shared" si="1165"/>
        <v>#VALUE!</v>
      </c>
      <c r="E554" s="293" t="e">
        <f t="shared" si="1165"/>
        <v>#VALUE!</v>
      </c>
      <c r="F554" s="293" t="e">
        <f t="shared" si="1165"/>
        <v>#VALUE!</v>
      </c>
      <c r="G554" s="293" t="e">
        <f t="shared" si="1165"/>
        <v>#VALUE!</v>
      </c>
      <c r="H554" s="293" t="str">
        <f t="shared" ref="H554:I554" si="1166">TEXT(IF($B554=0," ",$B554+H$6),"hh:mm am/pm")</f>
        <v>06:30 001/p1</v>
      </c>
      <c r="I554" s="293" t="str">
        <f t="shared" si="1166"/>
        <v>11:30 001/p1</v>
      </c>
      <c r="J554" s="294" t="s">
        <v>364</v>
      </c>
      <c r="K554" s="295"/>
      <c r="L554" s="337" t="s">
        <v>259</v>
      </c>
      <c r="M554" s="338" t="s">
        <v>71</v>
      </c>
      <c r="N554" s="339" t="s">
        <v>57</v>
      </c>
      <c r="O554" s="340" t="s">
        <v>74</v>
      </c>
      <c r="P554" s="341" t="s">
        <v>75</v>
      </c>
      <c r="Q554" s="342">
        <v>600</v>
      </c>
      <c r="R554" s="343" t="s">
        <v>60</v>
      </c>
      <c r="S554" s="344"/>
      <c r="T554" s="345" t="s">
        <v>77</v>
      </c>
      <c r="U554" s="339" t="s">
        <v>78</v>
      </c>
      <c r="V554" s="339">
        <v>1.2</v>
      </c>
      <c r="W554" s="339">
        <v>1.2</v>
      </c>
      <c r="X554" s="354"/>
      <c r="Y554" s="347" t="s">
        <v>79</v>
      </c>
      <c r="Z554" s="339">
        <v>1.2</v>
      </c>
      <c r="AA554" s="348">
        <v>60000</v>
      </c>
      <c r="AB554" s="348" t="s">
        <v>65</v>
      </c>
      <c r="AC554" s="349">
        <v>0.1</v>
      </c>
      <c r="AD554" s="349">
        <v>0.02</v>
      </c>
      <c r="AE554" s="535" t="s">
        <v>66</v>
      </c>
      <c r="AF554" s="346">
        <v>30000</v>
      </c>
      <c r="AG554" s="350">
        <v>5</v>
      </c>
      <c r="AH554" s="350">
        <v>5</v>
      </c>
      <c r="AI554" s="350">
        <v>5</v>
      </c>
      <c r="AJ554" s="345">
        <v>13</v>
      </c>
      <c r="AK554" s="352" t="s">
        <v>67</v>
      </c>
      <c r="AL554" s="352" t="s">
        <v>68</v>
      </c>
      <c r="AM554" s="353" t="s">
        <v>69</v>
      </c>
      <c r="AN554" s="353" t="s">
        <v>70</v>
      </c>
      <c r="AO554" s="314">
        <f t="shared" si="1140"/>
        <v>0.0694560185185185</v>
      </c>
      <c r="AP554" s="315">
        <f t="shared" si="1141"/>
        <v>569</v>
      </c>
      <c r="AQ554" s="316" t="str">
        <f t="shared" si="1142"/>
        <v>MICRO</v>
      </c>
    </row>
    <row r="555" ht="29.25" customHeight="1" outlineLevel="1" spans="1:43">
      <c r="A555" s="363" t="s">
        <v>385</v>
      </c>
      <c r="B555" s="317">
        <v>0.0208449074074074</v>
      </c>
      <c r="C555" s="293" t="e">
        <f t="shared" ref="C555:G555" si="1167">TEXT(IF($B555=0," ",$B555-C$6),"hh:mm am/pm")</f>
        <v>#VALUE!</v>
      </c>
      <c r="D555" s="293" t="e">
        <f t="shared" si="1167"/>
        <v>#VALUE!</v>
      </c>
      <c r="E555" s="293" t="e">
        <f t="shared" si="1167"/>
        <v>#VALUE!</v>
      </c>
      <c r="F555" s="293" t="e">
        <f t="shared" si="1167"/>
        <v>#VALUE!</v>
      </c>
      <c r="G555" s="293" t="e">
        <f t="shared" si="1167"/>
        <v>#VALUE!</v>
      </c>
      <c r="H555" s="293" t="str">
        <f t="shared" ref="H555:I555" si="1168">TEXT(IF($B555=0," ",$B555+H$6),"hh:mm am/pm")</f>
        <v>06:30 001/p1</v>
      </c>
      <c r="I555" s="293" t="str">
        <f t="shared" si="1168"/>
        <v>11:30 001/p1</v>
      </c>
      <c r="J555" s="294" t="s">
        <v>116</v>
      </c>
      <c r="K555" s="295"/>
      <c r="L555" s="319" t="s">
        <v>117</v>
      </c>
      <c r="M555" s="320" t="s">
        <v>71</v>
      </c>
      <c r="N555" s="321" t="s">
        <v>100</v>
      </c>
      <c r="O555" s="322" t="s">
        <v>74</v>
      </c>
      <c r="P555" s="323" t="s">
        <v>101</v>
      </c>
      <c r="Q555" s="324">
        <v>240</v>
      </c>
      <c r="R555" s="375" t="s">
        <v>60</v>
      </c>
      <c r="S555" s="326"/>
      <c r="T555" s="327" t="s">
        <v>61</v>
      </c>
      <c r="U555" s="321" t="s">
        <v>62</v>
      </c>
      <c r="V555" s="321">
        <v>1</v>
      </c>
      <c r="W555" s="321">
        <v>1</v>
      </c>
      <c r="X555" s="328"/>
      <c r="Y555" s="329" t="s">
        <v>79</v>
      </c>
      <c r="Z555" s="321">
        <v>1</v>
      </c>
      <c r="AA555" s="330">
        <v>70000</v>
      </c>
      <c r="AB555" s="330" t="s">
        <v>65</v>
      </c>
      <c r="AC555" s="331">
        <v>0.1</v>
      </c>
      <c r="AD555" s="331">
        <v>0.02</v>
      </c>
      <c r="AE555" s="534" t="s">
        <v>88</v>
      </c>
      <c r="AF555" s="332">
        <v>30000</v>
      </c>
      <c r="AG555" s="333">
        <v>6</v>
      </c>
      <c r="AH555" s="333">
        <v>5</v>
      </c>
      <c r="AI555" s="333">
        <v>5</v>
      </c>
      <c r="AJ555" s="327">
        <v>12</v>
      </c>
      <c r="AK555" s="335" t="s">
        <v>67</v>
      </c>
      <c r="AL555" s="335" t="s">
        <v>68</v>
      </c>
      <c r="AM555" s="336" t="s">
        <v>69</v>
      </c>
      <c r="AN555" s="336" t="s">
        <v>70</v>
      </c>
      <c r="AO555" s="314">
        <f t="shared" si="1140"/>
        <v>0.0743171296296296</v>
      </c>
      <c r="AP555" s="315">
        <f t="shared" si="1141"/>
        <v>273</v>
      </c>
      <c r="AQ555" s="316" t="str">
        <f t="shared" si="1142"/>
        <v>MICRO</v>
      </c>
    </row>
    <row r="556" ht="29.25" customHeight="1" outlineLevel="1" spans="1:43">
      <c r="B556" s="317">
        <v>0.0416782407407407</v>
      </c>
      <c r="C556" s="293" t="e">
        <f t="shared" ref="C556:G556" si="1169">TEXT(IF($B556=0," ",$B556-C$6),"hh:mm am/pm")</f>
        <v>#VALUE!</v>
      </c>
      <c r="D556" s="293" t="e">
        <f t="shared" si="1169"/>
        <v>#VALUE!</v>
      </c>
      <c r="E556" s="293" t="e">
        <f t="shared" si="1169"/>
        <v>#VALUE!</v>
      </c>
      <c r="F556" s="293" t="e">
        <f t="shared" si="1169"/>
        <v>#VALUE!</v>
      </c>
      <c r="G556" s="293" t="str">
        <f t="shared" si="1169"/>
        <v>00:00 001/p1</v>
      </c>
      <c r="H556" s="293" t="str">
        <f t="shared" ref="H556:I556" si="1170">TEXT(IF($B556=0," ",$B556+H$6),"hh:mm am/pm")</f>
        <v>07:00 001/p1</v>
      </c>
      <c r="I556" s="293" t="str">
        <f t="shared" si="1170"/>
        <v>12:00 001/p1</v>
      </c>
      <c r="J556" s="318" t="s">
        <v>365</v>
      </c>
      <c r="K556" s="295"/>
      <c r="L556" s="337" t="s">
        <v>73</v>
      </c>
      <c r="M556" s="338" t="s">
        <v>71</v>
      </c>
      <c r="N556" s="339" t="s">
        <v>57</v>
      </c>
      <c r="O556" s="340" t="s">
        <v>74</v>
      </c>
      <c r="P556" s="341" t="s">
        <v>101</v>
      </c>
      <c r="Q556" s="342">
        <v>2200</v>
      </c>
      <c r="R556" s="325" t="s">
        <v>76</v>
      </c>
      <c r="S556" s="344"/>
      <c r="T556" s="345" t="s">
        <v>115</v>
      </c>
      <c r="U556" s="339" t="s">
        <v>62</v>
      </c>
      <c r="V556" s="339">
        <v>3</v>
      </c>
      <c r="W556" s="339">
        <v>3</v>
      </c>
      <c r="X556" s="354"/>
      <c r="Y556" s="347" t="s">
        <v>79</v>
      </c>
      <c r="Z556" s="339">
        <v>3</v>
      </c>
      <c r="AA556" s="348">
        <v>100000</v>
      </c>
      <c r="AB556" s="348" t="s">
        <v>65</v>
      </c>
      <c r="AC556" s="349">
        <v>0.1</v>
      </c>
      <c r="AD556" s="349">
        <v>0.02</v>
      </c>
      <c r="AE556" s="535" t="s">
        <v>88</v>
      </c>
      <c r="AF556" s="346">
        <v>40000</v>
      </c>
      <c r="AG556" s="350">
        <v>6</v>
      </c>
      <c r="AH556" s="350">
        <v>5</v>
      </c>
      <c r="AI556" s="350">
        <v>5</v>
      </c>
      <c r="AJ556" s="345">
        <v>13</v>
      </c>
      <c r="AK556" s="352" t="s">
        <v>67</v>
      </c>
      <c r="AL556" s="352" t="s">
        <v>68</v>
      </c>
      <c r="AM556" s="353" t="s">
        <v>69</v>
      </c>
      <c r="AN556" s="353" t="s">
        <v>70</v>
      </c>
      <c r="AO556" s="314">
        <f t="shared" si="1140"/>
        <v>0.0993171296296296</v>
      </c>
      <c r="AP556" s="315">
        <f t="shared" si="1141"/>
        <v>834</v>
      </c>
      <c r="AQ556" s="316" t="str">
        <f t="shared" si="1142"/>
        <v>MICRO</v>
      </c>
    </row>
    <row r="557" ht="29.25" customHeight="1" outlineLevel="1" spans="1:43">
      <c r="B557" s="317">
        <v>0.0416782407407407</v>
      </c>
      <c r="C557" s="293" t="e">
        <f t="shared" ref="C557:G557" si="1171">TEXT(IF($B557=0," ",$B557-C$6),"hh:mm am/pm")</f>
        <v>#VALUE!</v>
      </c>
      <c r="D557" s="293" t="e">
        <f t="shared" si="1171"/>
        <v>#VALUE!</v>
      </c>
      <c r="E557" s="293" t="e">
        <f t="shared" si="1171"/>
        <v>#VALUE!</v>
      </c>
      <c r="F557" s="293" t="e">
        <f t="shared" si="1171"/>
        <v>#VALUE!</v>
      </c>
      <c r="G557" s="293" t="str">
        <f t="shared" si="1171"/>
        <v>00:00 001/p1</v>
      </c>
      <c r="H557" s="293" t="str">
        <f t="shared" ref="H557:I557" si="1172">TEXT(IF($B557=0," ",$B557+H$6),"hh:mm am/pm")</f>
        <v>07:00 001/p1</v>
      </c>
      <c r="I557" s="293" t="str">
        <f t="shared" si="1172"/>
        <v>12:00 001/p1</v>
      </c>
      <c r="J557" s="294" t="s">
        <v>252</v>
      </c>
      <c r="K557" s="295"/>
      <c r="L557" s="319" t="s">
        <v>121</v>
      </c>
      <c r="M557" s="320" t="s">
        <v>71</v>
      </c>
      <c r="N557" s="321" t="s">
        <v>122</v>
      </c>
      <c r="O557" s="322" t="s">
        <v>109</v>
      </c>
      <c r="P557" s="323" t="s">
        <v>101</v>
      </c>
      <c r="Q557" s="324">
        <v>400</v>
      </c>
      <c r="R557" s="375" t="s">
        <v>60</v>
      </c>
      <c r="S557" s="326"/>
      <c r="T557" s="327" t="s">
        <v>61</v>
      </c>
      <c r="U557" s="321" t="s">
        <v>62</v>
      </c>
      <c r="V557" s="321">
        <v>10</v>
      </c>
      <c r="W557" s="321">
        <v>10</v>
      </c>
      <c r="X557" s="328"/>
      <c r="Y557" s="329" t="s">
        <v>63</v>
      </c>
      <c r="Z557" s="326"/>
      <c r="AA557" s="330" t="s">
        <v>64</v>
      </c>
      <c r="AB557" s="330" t="s">
        <v>65</v>
      </c>
      <c r="AC557" s="331">
        <v>0.1</v>
      </c>
      <c r="AD557" s="331">
        <v>0.02</v>
      </c>
      <c r="AE557" s="534" t="s">
        <v>66</v>
      </c>
      <c r="AF557" s="332">
        <v>40000</v>
      </c>
      <c r="AG557" s="333">
        <v>7</v>
      </c>
      <c r="AH557" s="333">
        <v>6</v>
      </c>
      <c r="AI557" s="333">
        <v>6</v>
      </c>
      <c r="AJ557" s="327">
        <v>14</v>
      </c>
      <c r="AK557" s="335" t="s">
        <v>67</v>
      </c>
      <c r="AL557" s="335" t="s">
        <v>68</v>
      </c>
      <c r="AM557" s="336" t="s">
        <v>69</v>
      </c>
      <c r="AN557" s="336" t="s">
        <v>70</v>
      </c>
      <c r="AO557" s="314">
        <f t="shared" si="1140"/>
        <v>0.113206018518519</v>
      </c>
      <c r="AP557" s="315">
        <f t="shared" si="1141"/>
        <v>46</v>
      </c>
      <c r="AQ557" s="316" t="str">
        <f t="shared" si="1142"/>
        <v>LOW</v>
      </c>
    </row>
    <row r="558" ht="29.25" customHeight="1" outlineLevel="1" spans="1:43">
      <c r="A558" s="363" t="s">
        <v>385</v>
      </c>
      <c r="B558" s="317">
        <v>0.0625115740740741</v>
      </c>
      <c r="C558" s="293" t="e">
        <f t="shared" ref="C558:G558" si="1173">TEXT(IF($B558=0," ",$B558-C$6),"hh:mm am/pm")</f>
        <v>#VALUE!</v>
      </c>
      <c r="D558" s="293" t="e">
        <f t="shared" si="1173"/>
        <v>#VALUE!</v>
      </c>
      <c r="E558" s="293" t="e">
        <f t="shared" si="1173"/>
        <v>#VALUE!</v>
      </c>
      <c r="F558" s="293" t="e">
        <f t="shared" si="1173"/>
        <v>#VALUE!</v>
      </c>
      <c r="G558" s="293" t="str">
        <f t="shared" si="1173"/>
        <v>00:30 001/p1</v>
      </c>
      <c r="H558" s="293" t="str">
        <f t="shared" ref="H558:I558" si="1174">TEXT(IF($B558=0," ",$B558+H$6),"hh:mm am/pm")</f>
        <v>07:30 001/p1</v>
      </c>
      <c r="I558" s="293" t="str">
        <f t="shared" si="1174"/>
        <v>12:30 001/p1</v>
      </c>
      <c r="J558" s="294" t="s">
        <v>123</v>
      </c>
      <c r="K558" s="295"/>
      <c r="L558" s="337" t="s">
        <v>124</v>
      </c>
      <c r="M558" s="338" t="s">
        <v>71</v>
      </c>
      <c r="N558" s="339" t="s">
        <v>100</v>
      </c>
      <c r="O558" s="340" t="s">
        <v>82</v>
      </c>
      <c r="P558" s="341" t="s">
        <v>101</v>
      </c>
      <c r="Q558" s="342">
        <v>100</v>
      </c>
      <c r="R558" s="343" t="s">
        <v>60</v>
      </c>
      <c r="S558" s="344"/>
      <c r="T558" s="345" t="s">
        <v>61</v>
      </c>
      <c r="U558" s="339" t="s">
        <v>62</v>
      </c>
      <c r="V558" s="339">
        <v>0.6</v>
      </c>
      <c r="W558" s="339">
        <v>0.6</v>
      </c>
      <c r="X558" s="354"/>
      <c r="Y558" s="347" t="s">
        <v>63</v>
      </c>
      <c r="Z558" s="344"/>
      <c r="AA558" s="348" t="s">
        <v>64</v>
      </c>
      <c r="AB558" s="348" t="s">
        <v>65</v>
      </c>
      <c r="AC558" s="349">
        <v>0.1</v>
      </c>
      <c r="AD558" s="349">
        <v>0</v>
      </c>
      <c r="AE558" s="535" t="s">
        <v>66</v>
      </c>
      <c r="AF558" s="346">
        <v>30000</v>
      </c>
      <c r="AG558" s="350">
        <v>5</v>
      </c>
      <c r="AH558" s="350">
        <v>5</v>
      </c>
      <c r="AI558" s="350">
        <v>5</v>
      </c>
      <c r="AJ558" s="345">
        <v>13</v>
      </c>
      <c r="AK558" s="352" t="s">
        <v>67</v>
      </c>
      <c r="AL558" s="352" t="s">
        <v>68</v>
      </c>
      <c r="AM558" s="353" t="s">
        <v>69</v>
      </c>
      <c r="AN558" s="353" t="s">
        <v>70</v>
      </c>
      <c r="AO558" s="314">
        <f t="shared" si="1140"/>
        <v>0.111122685185185</v>
      </c>
      <c r="AP558" s="315">
        <f t="shared" si="1141"/>
        <v>186</v>
      </c>
      <c r="AQ558" s="316" t="str">
        <f t="shared" si="1142"/>
        <v>MICRO</v>
      </c>
    </row>
    <row r="559" ht="29.25" customHeight="1" outlineLevel="1" spans="1:43">
      <c r="B559" s="317">
        <v>0.0833449074074074</v>
      </c>
      <c r="C559" s="293" t="str">
        <f t="shared" ref="C559:G559" si="1175">TEXT(IF($B559=0," ",$B559-C$6),"hh:mm am/pm")</f>
        <v>00:00 001/p1</v>
      </c>
      <c r="D559" s="293" t="e">
        <f t="shared" si="1175"/>
        <v>#VALUE!</v>
      </c>
      <c r="E559" s="293" t="e">
        <f t="shared" si="1175"/>
        <v>#VALUE!</v>
      </c>
      <c r="F559" s="293" t="str">
        <f t="shared" si="1175"/>
        <v>00:00 001/p1</v>
      </c>
      <c r="G559" s="293" t="str">
        <f t="shared" si="1175"/>
        <v>01:00 001/p1</v>
      </c>
      <c r="H559" s="293" t="str">
        <f t="shared" ref="H559:I559" si="1176">TEXT(IF($B559=0," ",$B559+H$6),"hh:mm am/pm")</f>
        <v>08:00 001/p1</v>
      </c>
      <c r="I559" s="293" t="str">
        <f t="shared" si="1176"/>
        <v>13:00 001/p1</v>
      </c>
      <c r="J559" s="294" t="s">
        <v>143</v>
      </c>
      <c r="K559" s="295"/>
      <c r="L559" s="319" t="s">
        <v>126</v>
      </c>
      <c r="M559" s="320" t="s">
        <v>71</v>
      </c>
      <c r="N559" s="321" t="s">
        <v>57</v>
      </c>
      <c r="O559" s="322" t="s">
        <v>82</v>
      </c>
      <c r="P559" s="323" t="s">
        <v>59</v>
      </c>
      <c r="Q559" s="324">
        <v>800</v>
      </c>
      <c r="R559" s="375" t="s">
        <v>60</v>
      </c>
      <c r="S559" s="326"/>
      <c r="T559" s="327" t="s">
        <v>61</v>
      </c>
      <c r="U559" s="321" t="s">
        <v>62</v>
      </c>
      <c r="V559" s="321">
        <v>7</v>
      </c>
      <c r="W559" s="321">
        <v>7</v>
      </c>
      <c r="X559" s="328"/>
      <c r="Y559" s="329" t="s">
        <v>63</v>
      </c>
      <c r="Z559" s="326"/>
      <c r="AA559" s="330" t="s">
        <v>64</v>
      </c>
      <c r="AB559" s="330" t="s">
        <v>65</v>
      </c>
      <c r="AC559" s="331">
        <v>0.1</v>
      </c>
      <c r="AD559" s="331">
        <v>0.02</v>
      </c>
      <c r="AE559" s="534" t="s">
        <v>88</v>
      </c>
      <c r="AF559" s="332">
        <v>40000</v>
      </c>
      <c r="AG559" s="333">
        <v>6</v>
      </c>
      <c r="AH559" s="333">
        <v>5</v>
      </c>
      <c r="AI559" s="333">
        <v>5</v>
      </c>
      <c r="AJ559" s="327">
        <v>13</v>
      </c>
      <c r="AK559" s="335" t="s">
        <v>67</v>
      </c>
      <c r="AL559" s="335" t="s">
        <v>68</v>
      </c>
      <c r="AM559" s="336" t="s">
        <v>69</v>
      </c>
      <c r="AN559" s="336" t="s">
        <v>70</v>
      </c>
      <c r="AO559" s="314">
        <f t="shared" si="1140"/>
        <v>0.140983796296296</v>
      </c>
      <c r="AP559" s="315">
        <f t="shared" si="1141"/>
        <v>130</v>
      </c>
      <c r="AQ559" s="316" t="str">
        <f t="shared" si="1142"/>
        <v>LOW</v>
      </c>
    </row>
    <row r="560" ht="29.25" customHeight="1" outlineLevel="1" spans="1:43">
      <c r="B560" s="317">
        <v>0.0833449074074074</v>
      </c>
      <c r="C560" s="293" t="str">
        <f t="shared" ref="C560:G560" si="1177">TEXT(IF($B560=0," ",$B560-C$6),"hh:mm am/pm")</f>
        <v>00:00 001/p1</v>
      </c>
      <c r="D560" s="293" t="e">
        <f t="shared" si="1177"/>
        <v>#VALUE!</v>
      </c>
      <c r="E560" s="293" t="e">
        <f t="shared" si="1177"/>
        <v>#VALUE!</v>
      </c>
      <c r="F560" s="293" t="str">
        <f t="shared" si="1177"/>
        <v>00:00 001/p1</v>
      </c>
      <c r="G560" s="293" t="str">
        <f t="shared" si="1177"/>
        <v>01:00 001/p1</v>
      </c>
      <c r="H560" s="293" t="str">
        <f t="shared" ref="H560:I560" si="1178">TEXT(IF($B560=0," ",$B560+H$6),"hh:mm am/pm")</f>
        <v>08:00 001/p1</v>
      </c>
      <c r="I560" s="293" t="str">
        <f t="shared" si="1178"/>
        <v>13:00 001/p1</v>
      </c>
      <c r="J560" s="294" t="s">
        <v>323</v>
      </c>
      <c r="K560" s="295"/>
      <c r="L560" s="337" t="s">
        <v>139</v>
      </c>
      <c r="M560" s="338" t="s">
        <v>71</v>
      </c>
      <c r="N560" s="339" t="s">
        <v>100</v>
      </c>
      <c r="O560" s="340" t="s">
        <v>82</v>
      </c>
      <c r="P560" s="341" t="s">
        <v>101</v>
      </c>
      <c r="Q560" s="342">
        <v>400</v>
      </c>
      <c r="R560" s="343" t="s">
        <v>60</v>
      </c>
      <c r="S560" s="344"/>
      <c r="T560" s="345" t="s">
        <v>61</v>
      </c>
      <c r="U560" s="339" t="s">
        <v>62</v>
      </c>
      <c r="V560" s="339">
        <v>6</v>
      </c>
      <c r="W560" s="339">
        <v>6</v>
      </c>
      <c r="X560" s="354"/>
      <c r="Y560" s="347" t="s">
        <v>63</v>
      </c>
      <c r="Z560" s="344"/>
      <c r="AA560" s="348" t="s">
        <v>64</v>
      </c>
      <c r="AB560" s="348" t="s">
        <v>65</v>
      </c>
      <c r="AC560" s="349">
        <v>0.1</v>
      </c>
      <c r="AD560" s="349">
        <v>0.02</v>
      </c>
      <c r="AE560" s="535" t="s">
        <v>66</v>
      </c>
      <c r="AF560" s="346">
        <v>50000</v>
      </c>
      <c r="AG560" s="350">
        <v>6</v>
      </c>
      <c r="AH560" s="350">
        <v>5</v>
      </c>
      <c r="AI560" s="350">
        <v>5</v>
      </c>
      <c r="AJ560" s="345">
        <v>15</v>
      </c>
      <c r="AK560" s="352" t="s">
        <v>67</v>
      </c>
      <c r="AL560" s="352" t="s">
        <v>68</v>
      </c>
      <c r="AM560" s="353" t="s">
        <v>69</v>
      </c>
      <c r="AN560" s="353" t="s">
        <v>70</v>
      </c>
      <c r="AO560" s="314">
        <f t="shared" si="1140"/>
        <v>0.14931712962963</v>
      </c>
      <c r="AP560" s="315">
        <f t="shared" si="1141"/>
        <v>76</v>
      </c>
      <c r="AQ560" s="316" t="str">
        <f t="shared" si="1142"/>
        <v>LOW</v>
      </c>
    </row>
    <row r="561" ht="29.25" customHeight="1" outlineLevel="1" spans="1:43">
      <c r="A561" s="363" t="s">
        <v>385</v>
      </c>
      <c r="B561" s="317">
        <v>0.104178240740741</v>
      </c>
      <c r="C561" s="293" t="str">
        <f t="shared" ref="C561:G561" si="1179">TEXT(IF($B561=0," ",$B561-C$6),"hh:mm am/pm")</f>
        <v>00:30 001/p1</v>
      </c>
      <c r="D561" s="293" t="e">
        <f t="shared" si="1179"/>
        <v>#VALUE!</v>
      </c>
      <c r="E561" s="293" t="e">
        <f t="shared" si="1179"/>
        <v>#VALUE!</v>
      </c>
      <c r="F561" s="293" t="str">
        <f t="shared" si="1179"/>
        <v>00:30 001/p1</v>
      </c>
      <c r="G561" s="293" t="str">
        <f t="shared" si="1179"/>
        <v>01:30 001/p1</v>
      </c>
      <c r="H561" s="293" t="str">
        <f t="shared" ref="H561:I561" si="1180">TEXT(IF($B561=0," ",$B561+H$6),"hh:mm am/pm")</f>
        <v>08:30 001/p1</v>
      </c>
      <c r="I561" s="293" t="str">
        <f t="shared" si="1180"/>
        <v>13:30 001/p1</v>
      </c>
      <c r="J561" s="294" t="s">
        <v>153</v>
      </c>
      <c r="K561" s="295"/>
      <c r="L561" s="319" t="s">
        <v>114</v>
      </c>
      <c r="M561" s="320" t="s">
        <v>71</v>
      </c>
      <c r="N561" s="321" t="s">
        <v>57</v>
      </c>
      <c r="O561" s="322" t="s">
        <v>74</v>
      </c>
      <c r="P561" s="323" t="s">
        <v>101</v>
      </c>
      <c r="Q561" s="324">
        <v>300</v>
      </c>
      <c r="R561" s="375" t="s">
        <v>60</v>
      </c>
      <c r="S561" s="326"/>
      <c r="T561" s="327" t="s">
        <v>115</v>
      </c>
      <c r="U561" s="321" t="s">
        <v>62</v>
      </c>
      <c r="V561" s="321">
        <v>0.6</v>
      </c>
      <c r="W561" s="321">
        <v>0.6</v>
      </c>
      <c r="X561" s="328"/>
      <c r="Y561" s="329" t="s">
        <v>79</v>
      </c>
      <c r="Z561" s="321">
        <v>0.8</v>
      </c>
      <c r="AA561" s="330">
        <v>100000</v>
      </c>
      <c r="AB561" s="330" t="s">
        <v>65</v>
      </c>
      <c r="AC561" s="331">
        <v>0.1</v>
      </c>
      <c r="AD561" s="331">
        <v>0</v>
      </c>
      <c r="AE561" s="534" t="s">
        <v>88</v>
      </c>
      <c r="AF561" s="332">
        <v>50000</v>
      </c>
      <c r="AG561" s="333">
        <v>5</v>
      </c>
      <c r="AH561" s="333">
        <v>5</v>
      </c>
      <c r="AI561" s="333">
        <v>5</v>
      </c>
      <c r="AJ561" s="327">
        <v>13</v>
      </c>
      <c r="AK561" s="335" t="s">
        <v>67</v>
      </c>
      <c r="AL561" s="335" t="s">
        <v>68</v>
      </c>
      <c r="AM561" s="336" t="s">
        <v>69</v>
      </c>
      <c r="AN561" s="336" t="s">
        <v>70</v>
      </c>
      <c r="AO561" s="314">
        <f t="shared" si="1140"/>
        <v>0.152789351851852</v>
      </c>
      <c r="AP561" s="315">
        <f t="shared" si="1141"/>
        <v>556</v>
      </c>
      <c r="AQ561" s="316" t="str">
        <f t="shared" si="1142"/>
        <v>MICRO</v>
      </c>
    </row>
    <row r="562" ht="29.25" customHeight="1" outlineLevel="1" spans="1:43">
      <c r="B562" s="317">
        <v>0.131956018518519</v>
      </c>
      <c r="C562" s="293" t="str">
        <f t="shared" ref="C562:G562" si="1181">TEXT(IF($B562=0," ",$B562-C$6),"hh:mm am/pm")</f>
        <v>01:10 001/p1</v>
      </c>
      <c r="D562" s="293" t="e">
        <f t="shared" si="1181"/>
        <v>#VALUE!</v>
      </c>
      <c r="E562" s="293" t="str">
        <f t="shared" si="1181"/>
        <v>00:10 001/p1</v>
      </c>
      <c r="F562" s="293" t="str">
        <f t="shared" si="1181"/>
        <v>01:10 001/p1</v>
      </c>
      <c r="G562" s="293" t="str">
        <f t="shared" si="1181"/>
        <v>02:10 001/p1</v>
      </c>
      <c r="H562" s="293" t="str">
        <f t="shared" ref="H562:I562" si="1182">TEXT(IF($B562=0," ",$B562+H$6),"hh:mm am/pm")</f>
        <v>09:10 001/p1</v>
      </c>
      <c r="I562" s="293" t="str">
        <f t="shared" si="1182"/>
        <v>14:10 001/p1</v>
      </c>
      <c r="J562" s="294" t="s">
        <v>164</v>
      </c>
      <c r="K562" s="295"/>
      <c r="L562" s="337" t="s">
        <v>129</v>
      </c>
      <c r="M562" s="338" t="s">
        <v>71</v>
      </c>
      <c r="N562" s="339" t="s">
        <v>100</v>
      </c>
      <c r="O562" s="340" t="s">
        <v>74</v>
      </c>
      <c r="P562" s="341" t="s">
        <v>101</v>
      </c>
      <c r="Q562" s="342">
        <v>200</v>
      </c>
      <c r="R562" s="343" t="s">
        <v>60</v>
      </c>
      <c r="S562" s="344"/>
      <c r="T562" s="345" t="s">
        <v>61</v>
      </c>
      <c r="U562" s="339" t="s">
        <v>62</v>
      </c>
      <c r="V562" s="339">
        <v>2</v>
      </c>
      <c r="W562" s="339">
        <v>2</v>
      </c>
      <c r="X562" s="354"/>
      <c r="Y562" s="347" t="s">
        <v>79</v>
      </c>
      <c r="Z562" s="339">
        <v>2</v>
      </c>
      <c r="AA562" s="348">
        <v>80000</v>
      </c>
      <c r="AB562" s="348" t="s">
        <v>65</v>
      </c>
      <c r="AC562" s="349">
        <v>0.1</v>
      </c>
      <c r="AD562" s="349">
        <v>0</v>
      </c>
      <c r="AE562" s="535" t="s">
        <v>88</v>
      </c>
      <c r="AF562" s="346">
        <v>40000</v>
      </c>
      <c r="AG562" s="350">
        <v>5</v>
      </c>
      <c r="AH562" s="350">
        <v>5</v>
      </c>
      <c r="AI562" s="350">
        <v>5</v>
      </c>
      <c r="AJ562" s="345">
        <v>13</v>
      </c>
      <c r="AK562" s="352" t="s">
        <v>67</v>
      </c>
      <c r="AL562" s="352" t="s">
        <v>68</v>
      </c>
      <c r="AM562" s="353" t="s">
        <v>69</v>
      </c>
      <c r="AN562" s="353" t="s">
        <v>70</v>
      </c>
      <c r="AO562" s="314">
        <f t="shared" si="1140"/>
        <v>0.18056712962963</v>
      </c>
      <c r="AP562" s="315">
        <f t="shared" si="1141"/>
        <v>112</v>
      </c>
      <c r="AQ562" s="316" t="str">
        <f t="shared" si="1142"/>
        <v>MICRO</v>
      </c>
    </row>
    <row r="563" ht="29.25" customHeight="1" outlineLevel="1" spans="1:43">
      <c r="B563" s="317">
        <v>0.131956018518519</v>
      </c>
      <c r="C563" s="293" t="str">
        <f t="shared" ref="C563:G563" si="1183">TEXT(IF($B563=0," ",$B563-C$6),"hh:mm am/pm")</f>
        <v>01:10 001/p1</v>
      </c>
      <c r="D563" s="293" t="e">
        <f t="shared" si="1183"/>
        <v>#VALUE!</v>
      </c>
      <c r="E563" s="293" t="str">
        <f t="shared" si="1183"/>
        <v>00:10 001/p1</v>
      </c>
      <c r="F563" s="293" t="str">
        <f t="shared" si="1183"/>
        <v>01:10 001/p1</v>
      </c>
      <c r="G563" s="293" t="str">
        <f t="shared" si="1183"/>
        <v>02:10 001/p1</v>
      </c>
      <c r="H563" s="293" t="str">
        <f t="shared" ref="H563:I563" si="1184">TEXT(IF($B563=0," ",$B563+H$6),"hh:mm am/pm")</f>
        <v>09:10 001/p1</v>
      </c>
      <c r="I563" s="293" t="str">
        <f t="shared" si="1184"/>
        <v>14:10 001/p1</v>
      </c>
      <c r="J563" s="294" t="s">
        <v>316</v>
      </c>
      <c r="K563" s="295"/>
      <c r="L563" s="319" t="s">
        <v>126</v>
      </c>
      <c r="M563" s="320" t="s">
        <v>71</v>
      </c>
      <c r="N563" s="321" t="s">
        <v>57</v>
      </c>
      <c r="O563" s="322" t="s">
        <v>82</v>
      </c>
      <c r="P563" s="323" t="s">
        <v>59</v>
      </c>
      <c r="Q563" s="324">
        <v>300</v>
      </c>
      <c r="R563" s="375" t="s">
        <v>60</v>
      </c>
      <c r="S563" s="326"/>
      <c r="T563" s="327" t="s">
        <v>92</v>
      </c>
      <c r="U563" s="321" t="s">
        <v>62</v>
      </c>
      <c r="V563" s="321">
        <v>5</v>
      </c>
      <c r="W563" s="321">
        <v>5</v>
      </c>
      <c r="X563" s="328"/>
      <c r="Y563" s="329" t="s">
        <v>63</v>
      </c>
      <c r="Z563" s="326"/>
      <c r="AA563" s="330" t="s">
        <v>64</v>
      </c>
      <c r="AB563" s="330" t="s">
        <v>65</v>
      </c>
      <c r="AC563" s="331">
        <v>0.1</v>
      </c>
      <c r="AD563" s="331">
        <v>0.02</v>
      </c>
      <c r="AE563" s="534" t="s">
        <v>88</v>
      </c>
      <c r="AF563" s="332">
        <v>30000</v>
      </c>
      <c r="AG563" s="333">
        <v>5</v>
      </c>
      <c r="AH563" s="333">
        <v>5</v>
      </c>
      <c r="AI563" s="333">
        <v>5</v>
      </c>
      <c r="AJ563" s="327">
        <v>12</v>
      </c>
      <c r="AK563" s="335" t="s">
        <v>67</v>
      </c>
      <c r="AL563" s="335" t="s">
        <v>68</v>
      </c>
      <c r="AM563" s="336" t="s">
        <v>69</v>
      </c>
      <c r="AN563" s="336" t="s">
        <v>70</v>
      </c>
      <c r="AO563" s="314">
        <f t="shared" si="1140"/>
        <v>0.177094907407407</v>
      </c>
      <c r="AP563" s="315">
        <f t="shared" si="1141"/>
        <v>69</v>
      </c>
      <c r="AQ563" s="316" t="str">
        <f t="shared" si="1142"/>
        <v>MICRO</v>
      </c>
    </row>
    <row r="564" ht="29.25" customHeight="1" outlineLevel="1" spans="1:43">
      <c r="A564" s="363" t="s">
        <v>385</v>
      </c>
      <c r="B564" s="317">
        <v>0.173622685185185</v>
      </c>
      <c r="C564" s="293" t="str">
        <f t="shared" ref="C564:G564" si="1185">TEXT(IF($B564=0," ",$B564-C$6),"hh:mm am/pm")</f>
        <v>02:10 001/p1</v>
      </c>
      <c r="D564" s="293" t="str">
        <f t="shared" si="1185"/>
        <v>00:10 001/p1</v>
      </c>
      <c r="E564" s="293" t="str">
        <f t="shared" si="1185"/>
        <v>01:10 001/p1</v>
      </c>
      <c r="F564" s="293" t="str">
        <f t="shared" si="1185"/>
        <v>02:10 001/p1</v>
      </c>
      <c r="G564" s="293" t="str">
        <f t="shared" si="1185"/>
        <v>03:10 001/p1</v>
      </c>
      <c r="H564" s="293" t="str">
        <f t="shared" ref="H564:I564" si="1186">TEXT(IF($B564=0," ",$B564+H$6),"hh:mm am/pm")</f>
        <v>10:10 001/p1</v>
      </c>
      <c r="I564" s="293" t="str">
        <f t="shared" si="1186"/>
        <v>15:10 001/p1</v>
      </c>
      <c r="J564" s="294" t="s">
        <v>317</v>
      </c>
      <c r="K564" s="295"/>
      <c r="L564" s="337" t="s">
        <v>119</v>
      </c>
      <c r="M564" s="338" t="s">
        <v>71</v>
      </c>
      <c r="N564" s="339" t="s">
        <v>57</v>
      </c>
      <c r="O564" s="340" t="s">
        <v>74</v>
      </c>
      <c r="P564" s="341" t="s">
        <v>59</v>
      </c>
      <c r="Q564" s="342">
        <v>300</v>
      </c>
      <c r="R564" s="343" t="s">
        <v>60</v>
      </c>
      <c r="S564" s="344"/>
      <c r="T564" s="345" t="s">
        <v>115</v>
      </c>
      <c r="U564" s="339" t="s">
        <v>62</v>
      </c>
      <c r="V564" s="339">
        <v>2</v>
      </c>
      <c r="W564" s="339">
        <v>2</v>
      </c>
      <c r="X564" s="354"/>
      <c r="Y564" s="347" t="s">
        <v>79</v>
      </c>
      <c r="Z564" s="339">
        <v>2</v>
      </c>
      <c r="AA564" s="348">
        <v>75000</v>
      </c>
      <c r="AB564" s="348" t="s">
        <v>65</v>
      </c>
      <c r="AC564" s="349">
        <v>0.1</v>
      </c>
      <c r="AD564" s="349">
        <v>0.02</v>
      </c>
      <c r="AE564" s="535" t="s">
        <v>88</v>
      </c>
      <c r="AF564" s="346">
        <v>30000</v>
      </c>
      <c r="AG564" s="350">
        <v>5</v>
      </c>
      <c r="AH564" s="350">
        <v>5</v>
      </c>
      <c r="AI564" s="350">
        <v>5</v>
      </c>
      <c r="AJ564" s="345">
        <v>12</v>
      </c>
      <c r="AK564" s="352" t="s">
        <v>67</v>
      </c>
      <c r="AL564" s="352" t="s">
        <v>68</v>
      </c>
      <c r="AM564" s="353" t="s">
        <v>69</v>
      </c>
      <c r="AN564" s="353" t="s">
        <v>70</v>
      </c>
      <c r="AO564" s="314">
        <f t="shared" si="1140"/>
        <v>0.218761574074074</v>
      </c>
      <c r="AP564" s="315">
        <f t="shared" si="1141"/>
        <v>171</v>
      </c>
      <c r="AQ564" s="316" t="str">
        <f t="shared" si="1142"/>
        <v>MICRO</v>
      </c>
    </row>
    <row r="565" ht="29.25" customHeight="1" outlineLevel="1" spans="1:43">
      <c r="B565" s="364">
        <v>0.208344907407407</v>
      </c>
      <c r="C565" s="293" t="str">
        <f t="shared" ref="C565:G565" si="1187">TEXT(IF($B565=0," ",$B565-C$6),"hh:mm am/pm")</f>
        <v>03:00 001/p1</v>
      </c>
      <c r="D565" s="293" t="str">
        <f t="shared" si="1187"/>
        <v>01:00 001/p1</v>
      </c>
      <c r="E565" s="293" t="str">
        <f t="shared" si="1187"/>
        <v>02:00 001/p1</v>
      </c>
      <c r="F565" s="293" t="str">
        <f t="shared" si="1187"/>
        <v>03:00 001/p1</v>
      </c>
      <c r="G565" s="293" t="str">
        <f t="shared" si="1187"/>
        <v>04:00 001/p1</v>
      </c>
      <c r="H565" s="293" t="str">
        <f t="shared" ref="H565:I565" si="1188">TEXT(IF($B565=0," ",$B565+H$6),"hh:mm am/pm")</f>
        <v>11:00 001/p1</v>
      </c>
      <c r="I565" s="293" t="str">
        <f t="shared" si="1188"/>
        <v>16:00 001/p1</v>
      </c>
      <c r="J565" s="294" t="s">
        <v>132</v>
      </c>
      <c r="K565" s="295"/>
      <c r="L565" s="319" t="s">
        <v>133</v>
      </c>
      <c r="M565" s="320" t="s">
        <v>71</v>
      </c>
      <c r="N565" s="321" t="s">
        <v>57</v>
      </c>
      <c r="O565" s="322" t="s">
        <v>58</v>
      </c>
      <c r="P565" s="323" t="s">
        <v>59</v>
      </c>
      <c r="Q565" s="324">
        <v>100</v>
      </c>
      <c r="R565" s="375" t="s">
        <v>60</v>
      </c>
      <c r="S565" s="326"/>
      <c r="T565" s="327" t="s">
        <v>61</v>
      </c>
      <c r="U565" s="321" t="s">
        <v>62</v>
      </c>
      <c r="V565" s="321">
        <v>1.6</v>
      </c>
      <c r="W565" s="321">
        <v>1.6</v>
      </c>
      <c r="X565" s="328"/>
      <c r="Y565" s="329" t="s">
        <v>63</v>
      </c>
      <c r="Z565" s="326"/>
      <c r="AA565" s="330" t="s">
        <v>64</v>
      </c>
      <c r="AB565" s="330" t="s">
        <v>65</v>
      </c>
      <c r="AC565" s="331">
        <v>0.1</v>
      </c>
      <c r="AD565" s="331">
        <v>0</v>
      </c>
      <c r="AE565" s="534" t="s">
        <v>66</v>
      </c>
      <c r="AF565" s="332">
        <v>30000</v>
      </c>
      <c r="AG565" s="333">
        <v>8</v>
      </c>
      <c r="AH565" s="333">
        <v>7</v>
      </c>
      <c r="AI565" s="333">
        <v>7</v>
      </c>
      <c r="AJ565" s="327">
        <v>13</v>
      </c>
      <c r="AK565" s="335" t="s">
        <v>67</v>
      </c>
      <c r="AL565" s="335" t="s">
        <v>68</v>
      </c>
      <c r="AM565" s="336" t="s">
        <v>69</v>
      </c>
      <c r="AN565" s="336" t="s">
        <v>70</v>
      </c>
      <c r="AO565" s="314">
        <f t="shared" si="1140"/>
        <v>0.284039351851852</v>
      </c>
      <c r="AP565" s="315">
        <f t="shared" si="1141"/>
        <v>70</v>
      </c>
      <c r="AQ565" s="316" t="str">
        <f t="shared" si="1142"/>
        <v>MICRO</v>
      </c>
    </row>
    <row r="566" ht="29.25" customHeight="1" outlineLevel="1" spans="1:43">
      <c r="B566" s="317">
        <v>0.215289351851852</v>
      </c>
      <c r="C566" s="293" t="str">
        <f t="shared" ref="C566:G566" si="1189">TEXT(IF($B566=0," ",$B566-C$6),"hh:mm am/pm")</f>
        <v>03:10 001/p1</v>
      </c>
      <c r="D566" s="293" t="str">
        <f t="shared" si="1189"/>
        <v>01:10 001/p1</v>
      </c>
      <c r="E566" s="293" t="str">
        <f t="shared" si="1189"/>
        <v>02:10 001/p1</v>
      </c>
      <c r="F566" s="293" t="str">
        <f t="shared" si="1189"/>
        <v>03:10 001/p1</v>
      </c>
      <c r="G566" s="293" t="str">
        <f t="shared" si="1189"/>
        <v>04:10 001/p1</v>
      </c>
      <c r="H566" s="293" t="str">
        <f t="shared" ref="H566:I566" si="1190">TEXT(IF($B566=0," ",$B566+H$6),"hh:mm am/pm")</f>
        <v>11:10 001/p1</v>
      </c>
      <c r="I566" s="293" t="str">
        <f t="shared" si="1190"/>
        <v>16:10 001/p1</v>
      </c>
      <c r="J566" s="294" t="s">
        <v>134</v>
      </c>
      <c r="K566" s="295"/>
      <c r="L566" s="337" t="s">
        <v>114</v>
      </c>
      <c r="M566" s="338" t="s">
        <v>71</v>
      </c>
      <c r="N566" s="339" t="s">
        <v>57</v>
      </c>
      <c r="O566" s="340" t="s">
        <v>74</v>
      </c>
      <c r="P566" s="341" t="s">
        <v>59</v>
      </c>
      <c r="Q566" s="342">
        <v>200</v>
      </c>
      <c r="R566" s="343" t="s">
        <v>60</v>
      </c>
      <c r="S566" s="344"/>
      <c r="T566" s="345" t="s">
        <v>115</v>
      </c>
      <c r="U566" s="339" t="s">
        <v>62</v>
      </c>
      <c r="V566" s="339">
        <v>2</v>
      </c>
      <c r="W566" s="339">
        <v>2</v>
      </c>
      <c r="X566" s="354"/>
      <c r="Y566" s="347" t="s">
        <v>79</v>
      </c>
      <c r="Z566" s="339">
        <v>2</v>
      </c>
      <c r="AA566" s="348">
        <v>80000</v>
      </c>
      <c r="AB566" s="348" t="s">
        <v>65</v>
      </c>
      <c r="AC566" s="349">
        <v>0.1</v>
      </c>
      <c r="AD566" s="349">
        <v>0</v>
      </c>
      <c r="AE566" s="348" t="s">
        <v>88</v>
      </c>
      <c r="AF566" s="346">
        <v>40000</v>
      </c>
      <c r="AG566" s="350">
        <v>6</v>
      </c>
      <c r="AH566" s="350">
        <v>6</v>
      </c>
      <c r="AI566" s="350">
        <v>6</v>
      </c>
      <c r="AJ566" s="345">
        <v>13</v>
      </c>
      <c r="AK566" s="352" t="s">
        <v>67</v>
      </c>
      <c r="AL566" s="352" t="s">
        <v>68</v>
      </c>
      <c r="AM566" s="353" t="s">
        <v>69</v>
      </c>
      <c r="AN566" s="353" t="s">
        <v>70</v>
      </c>
      <c r="AO566" s="314">
        <f t="shared" si="1140"/>
        <v>0.272928240740741</v>
      </c>
      <c r="AP566" s="315">
        <f t="shared" si="1141"/>
        <v>112</v>
      </c>
      <c r="AQ566" s="316" t="str">
        <f t="shared" si="1142"/>
        <v>MICRO</v>
      </c>
    </row>
    <row r="567" ht="29.25" customHeight="1" outlineLevel="1" spans="1:43">
      <c r="B567" s="317">
        <v>0.229178240740741</v>
      </c>
      <c r="C567" s="293" t="str">
        <f t="shared" ref="C567:G567" si="1191">TEXT(IF($B567=0," ",$B567-C$6),"hh:mm am/pm")</f>
        <v>03:30 001/p1</v>
      </c>
      <c r="D567" s="293" t="str">
        <f t="shared" si="1191"/>
        <v>01:30 001/p1</v>
      </c>
      <c r="E567" s="293" t="str">
        <f t="shared" si="1191"/>
        <v>02:30 001/p1</v>
      </c>
      <c r="F567" s="293" t="str">
        <f t="shared" si="1191"/>
        <v>03:30 001/p1</v>
      </c>
      <c r="G567" s="293" t="str">
        <f t="shared" si="1191"/>
        <v>04:30 001/p1</v>
      </c>
      <c r="H567" s="293" t="str">
        <f t="shared" ref="H567:I567" si="1192">TEXT(IF($B567=0," ",$B567+H$6),"hh:mm am/pm")</f>
        <v>11:30 001/p1</v>
      </c>
      <c r="I567" s="293" t="str">
        <f t="shared" si="1192"/>
        <v>16:30 001/p1</v>
      </c>
      <c r="J567" s="294" t="s">
        <v>246</v>
      </c>
      <c r="K567" s="295"/>
      <c r="L567" s="319" t="s">
        <v>124</v>
      </c>
      <c r="M567" s="320" t="s">
        <v>71</v>
      </c>
      <c r="N567" s="321" t="s">
        <v>122</v>
      </c>
      <c r="O567" s="322" t="s">
        <v>82</v>
      </c>
      <c r="P567" s="323" t="s">
        <v>59</v>
      </c>
      <c r="Q567" s="324">
        <v>80</v>
      </c>
      <c r="R567" s="375" t="s">
        <v>60</v>
      </c>
      <c r="S567" s="326"/>
      <c r="T567" s="327" t="s">
        <v>61</v>
      </c>
      <c r="U567" s="321" t="s">
        <v>62</v>
      </c>
      <c r="V567" s="321">
        <v>1</v>
      </c>
      <c r="W567" s="321">
        <v>1</v>
      </c>
      <c r="X567" s="328"/>
      <c r="Y567" s="329" t="s">
        <v>63</v>
      </c>
      <c r="Z567" s="326"/>
      <c r="AA567" s="330" t="s">
        <v>64</v>
      </c>
      <c r="AB567" s="330" t="s">
        <v>65</v>
      </c>
      <c r="AC567" s="331">
        <v>0.1</v>
      </c>
      <c r="AD567" s="331">
        <v>0</v>
      </c>
      <c r="AE567" s="327" t="s">
        <v>66</v>
      </c>
      <c r="AF567" s="332">
        <v>50000</v>
      </c>
      <c r="AG567" s="333">
        <v>7</v>
      </c>
      <c r="AH567" s="333">
        <v>6</v>
      </c>
      <c r="AI567" s="333">
        <v>6</v>
      </c>
      <c r="AJ567" s="327">
        <v>15</v>
      </c>
      <c r="AK567" s="335" t="s">
        <v>67</v>
      </c>
      <c r="AL567" s="335" t="s">
        <v>68</v>
      </c>
      <c r="AM567" s="336" t="s">
        <v>69</v>
      </c>
      <c r="AN567" s="336" t="s">
        <v>70</v>
      </c>
      <c r="AO567" s="314">
        <f t="shared" si="1140"/>
        <v>0.30556712962963</v>
      </c>
      <c r="AP567" s="315">
        <f t="shared" si="1141"/>
        <v>89</v>
      </c>
      <c r="AQ567" s="316" t="str">
        <f t="shared" si="1142"/>
        <v>MICRO</v>
      </c>
    </row>
    <row r="568" ht="29.25" customHeight="1" outlineLevel="1" spans="1:43">
      <c r="A568" s="363" t="s">
        <v>385</v>
      </c>
      <c r="B568" s="317">
        <v>0.256956018518519</v>
      </c>
      <c r="C568" s="293" t="str">
        <f t="shared" ref="C568:G568" si="1193">TEXT(IF($B568=0," ",$B568-C$6),"hh:mm am/pm")</f>
        <v>04:10 001/p1</v>
      </c>
      <c r="D568" s="293" t="str">
        <f t="shared" si="1193"/>
        <v>02:10 001/p1</v>
      </c>
      <c r="E568" s="293" t="str">
        <f t="shared" si="1193"/>
        <v>03:10 001/p1</v>
      </c>
      <c r="F568" s="293" t="str">
        <f t="shared" si="1193"/>
        <v>04:10 001/p1</v>
      </c>
      <c r="G568" s="293" t="str">
        <f t="shared" si="1193"/>
        <v>05:10 001/p1</v>
      </c>
      <c r="H568" s="293" t="str">
        <f t="shared" ref="H568:I568" si="1194">TEXT(IF($B568=0," ",$B568+H$6),"hh:mm am/pm")</f>
        <v>12:10 001/p1</v>
      </c>
      <c r="I568" s="293" t="str">
        <f t="shared" si="1194"/>
        <v>17:10 001/p1</v>
      </c>
      <c r="J568" s="294" t="s">
        <v>318</v>
      </c>
      <c r="K568" s="295"/>
      <c r="L568" s="337" t="s">
        <v>114</v>
      </c>
      <c r="M568" s="338" t="s">
        <v>71</v>
      </c>
      <c r="N568" s="339" t="s">
        <v>57</v>
      </c>
      <c r="O568" s="340" t="s">
        <v>74</v>
      </c>
      <c r="P568" s="341" t="s">
        <v>75</v>
      </c>
      <c r="Q568" s="342">
        <v>120</v>
      </c>
      <c r="R568" s="343" t="s">
        <v>60</v>
      </c>
      <c r="S568" s="344"/>
      <c r="T568" s="345" t="s">
        <v>115</v>
      </c>
      <c r="U568" s="339" t="s">
        <v>62</v>
      </c>
      <c r="V568" s="339">
        <v>1</v>
      </c>
      <c r="W568" s="339">
        <v>1</v>
      </c>
      <c r="X568" s="354"/>
      <c r="Y568" s="347" t="s">
        <v>79</v>
      </c>
      <c r="Z568" s="339">
        <v>1</v>
      </c>
      <c r="AA568" s="348">
        <v>75000</v>
      </c>
      <c r="AB568" s="348" t="s">
        <v>65</v>
      </c>
      <c r="AC568" s="349">
        <v>0.1</v>
      </c>
      <c r="AD568" s="349">
        <v>0</v>
      </c>
      <c r="AE568" s="535" t="s">
        <v>88</v>
      </c>
      <c r="AF568" s="346">
        <v>30000</v>
      </c>
      <c r="AG568" s="350">
        <v>5</v>
      </c>
      <c r="AH568" s="350">
        <v>5</v>
      </c>
      <c r="AI568" s="350">
        <v>5</v>
      </c>
      <c r="AJ568" s="345">
        <v>12</v>
      </c>
      <c r="AK568" s="352" t="s">
        <v>67</v>
      </c>
      <c r="AL568" s="352" t="s">
        <v>68</v>
      </c>
      <c r="AM568" s="353" t="s">
        <v>69</v>
      </c>
      <c r="AN568" s="353" t="s">
        <v>70</v>
      </c>
      <c r="AO568" s="314">
        <f t="shared" si="1140"/>
        <v>0.302094907407407</v>
      </c>
      <c r="AP568" s="315">
        <f t="shared" si="1141"/>
        <v>134</v>
      </c>
      <c r="AQ568" s="316" t="str">
        <f t="shared" si="1142"/>
        <v>MICRO</v>
      </c>
    </row>
    <row r="569" ht="29.25" customHeight="1" outlineLevel="1" spans="1:43">
      <c r="B569" s="317">
        <v>0.298622685185185</v>
      </c>
      <c r="C569" s="293" t="str">
        <f t="shared" ref="C569:G569" si="1195">TEXT(IF($B569=0," ",$B569-C$6),"hh:mm am/pm")</f>
        <v>05:10 001/p1</v>
      </c>
      <c r="D569" s="293" t="str">
        <f t="shared" si="1195"/>
        <v>03:10 001/p1</v>
      </c>
      <c r="E569" s="293" t="str">
        <f t="shared" si="1195"/>
        <v>04:10 001/p1</v>
      </c>
      <c r="F569" s="293" t="str">
        <f t="shared" si="1195"/>
        <v>05:10 001/p1</v>
      </c>
      <c r="G569" s="293" t="str">
        <f t="shared" si="1195"/>
        <v>06:10 001/p1</v>
      </c>
      <c r="H569" s="293" t="str">
        <f t="shared" ref="H569:I569" si="1196">TEXT(IF($B569=0," ",$B569+H$6),"hh:mm am/pm")</f>
        <v>13:10 001/p1</v>
      </c>
      <c r="I569" s="293" t="str">
        <f t="shared" si="1196"/>
        <v>18:10 001/p1</v>
      </c>
      <c r="J569" s="294" t="s">
        <v>137</v>
      </c>
      <c r="K569" s="295"/>
      <c r="L569" s="319" t="s">
        <v>129</v>
      </c>
      <c r="M569" s="320" t="s">
        <v>71</v>
      </c>
      <c r="N569" s="321" t="s">
        <v>100</v>
      </c>
      <c r="O569" s="322" t="s">
        <v>74</v>
      </c>
      <c r="P569" s="323" t="s">
        <v>101</v>
      </c>
      <c r="Q569" s="324">
        <v>100</v>
      </c>
      <c r="R569" s="375" t="s">
        <v>60</v>
      </c>
      <c r="S569" s="326"/>
      <c r="T569" s="327" t="s">
        <v>61</v>
      </c>
      <c r="U569" s="321" t="s">
        <v>62</v>
      </c>
      <c r="V569" s="321">
        <v>1</v>
      </c>
      <c r="W569" s="321">
        <v>1</v>
      </c>
      <c r="X569" s="328"/>
      <c r="Y569" s="329" t="s">
        <v>79</v>
      </c>
      <c r="Z569" s="321">
        <v>1</v>
      </c>
      <c r="AA569" s="330">
        <v>75000</v>
      </c>
      <c r="AB569" s="330" t="s">
        <v>65</v>
      </c>
      <c r="AC569" s="331">
        <v>0.1</v>
      </c>
      <c r="AD569" s="331">
        <v>0</v>
      </c>
      <c r="AE569" s="327" t="s">
        <v>88</v>
      </c>
      <c r="AF569" s="332">
        <v>30000</v>
      </c>
      <c r="AG569" s="333">
        <v>5</v>
      </c>
      <c r="AH569" s="333">
        <v>5</v>
      </c>
      <c r="AI569" s="333">
        <v>5</v>
      </c>
      <c r="AJ569" s="327">
        <v>12</v>
      </c>
      <c r="AK569" s="335" t="s">
        <v>67</v>
      </c>
      <c r="AL569" s="335" t="s">
        <v>68</v>
      </c>
      <c r="AM569" s="336" t="s">
        <v>69</v>
      </c>
      <c r="AN569" s="336" t="s">
        <v>70</v>
      </c>
      <c r="AO569" s="314">
        <f t="shared" si="1140"/>
        <v>0.343761574074074</v>
      </c>
      <c r="AP569" s="315">
        <f t="shared" si="1141"/>
        <v>112</v>
      </c>
      <c r="AQ569" s="316" t="str">
        <f t="shared" si="1142"/>
        <v>MICRO</v>
      </c>
    </row>
    <row r="570" ht="29.25" customHeight="1" outlineLevel="1" spans="1:43">
      <c r="A570" s="363" t="s">
        <v>385</v>
      </c>
      <c r="B570" s="317">
        <v>0.322928240740741</v>
      </c>
      <c r="C570" s="293" t="str">
        <f t="shared" ref="C570:G570" si="1197">TEXT(IF($B570=0," ",$B570-C$6),"hh:mm am/pm")</f>
        <v>05:45 001/p1</v>
      </c>
      <c r="D570" s="293" t="str">
        <f t="shared" si="1197"/>
        <v>03:45 001/p1</v>
      </c>
      <c r="E570" s="293" t="str">
        <f t="shared" si="1197"/>
        <v>04:45 001/p1</v>
      </c>
      <c r="F570" s="293" t="str">
        <f t="shared" si="1197"/>
        <v>05:45 001/p1</v>
      </c>
      <c r="G570" s="293" t="str">
        <f t="shared" si="1197"/>
        <v>06:45 001/p1</v>
      </c>
      <c r="H570" s="293" t="str">
        <f t="shared" ref="H570:I570" si="1198">TEXT(IF($B570=0," ",$B570+H$6),"hh:mm am/pm")</f>
        <v>13:45 001/p1</v>
      </c>
      <c r="I570" s="293" t="str">
        <f t="shared" si="1198"/>
        <v>18:45 001/p1</v>
      </c>
      <c r="J570" s="294" t="s">
        <v>138</v>
      </c>
      <c r="K570" s="295"/>
      <c r="L570" s="337" t="s">
        <v>139</v>
      </c>
      <c r="M570" s="338" t="s">
        <v>71</v>
      </c>
      <c r="N570" s="339" t="s">
        <v>122</v>
      </c>
      <c r="O570" s="340" t="s">
        <v>82</v>
      </c>
      <c r="P570" s="341" t="s">
        <v>101</v>
      </c>
      <c r="Q570" s="342">
        <v>300</v>
      </c>
      <c r="R570" s="343" t="s">
        <v>60</v>
      </c>
      <c r="S570" s="344"/>
      <c r="T570" s="345" t="s">
        <v>61</v>
      </c>
      <c r="U570" s="339" t="s">
        <v>62</v>
      </c>
      <c r="V570" s="339">
        <v>3</v>
      </c>
      <c r="W570" s="339">
        <v>3</v>
      </c>
      <c r="X570" s="354"/>
      <c r="Y570" s="347" t="s">
        <v>63</v>
      </c>
      <c r="Z570" s="344"/>
      <c r="AA570" s="348" t="s">
        <v>64</v>
      </c>
      <c r="AB570" s="348" t="s">
        <v>65</v>
      </c>
      <c r="AC570" s="349">
        <v>0.1</v>
      </c>
      <c r="AD570" s="349">
        <v>0.02</v>
      </c>
      <c r="AE570" s="345" t="s">
        <v>66</v>
      </c>
      <c r="AF570" s="346">
        <v>40000</v>
      </c>
      <c r="AG570" s="350">
        <v>10</v>
      </c>
      <c r="AH570" s="350">
        <v>8</v>
      </c>
      <c r="AI570" s="350">
        <v>8</v>
      </c>
      <c r="AJ570" s="345">
        <v>14</v>
      </c>
      <c r="AK570" s="352" t="s">
        <v>67</v>
      </c>
      <c r="AL570" s="352" t="s">
        <v>68</v>
      </c>
      <c r="AM570" s="353" t="s">
        <v>69</v>
      </c>
      <c r="AN570" s="353" t="s">
        <v>70</v>
      </c>
      <c r="AO570" s="314">
        <f t="shared" si="1140"/>
        <v>0.427094907407407</v>
      </c>
      <c r="AP570" s="315">
        <f t="shared" si="1141"/>
        <v>114</v>
      </c>
      <c r="AQ570" s="316" t="str">
        <f t="shared" si="1142"/>
        <v>MICRO</v>
      </c>
    </row>
    <row r="571" ht="29.25" customHeight="1" outlineLevel="1" spans="1:43">
      <c r="B571" s="317">
        <v>0.333344907407407</v>
      </c>
      <c r="C571" s="293" t="str">
        <f t="shared" ref="C571:G571" si="1199">TEXT(IF($B571=0," ",$B571-C$6),"hh:mm am/pm")</f>
        <v>06:00 001/p1</v>
      </c>
      <c r="D571" s="293" t="str">
        <f t="shared" si="1199"/>
        <v>04:00 001/p1</v>
      </c>
      <c r="E571" s="293" t="str">
        <f t="shared" si="1199"/>
        <v>05:00 001/p1</v>
      </c>
      <c r="F571" s="293" t="str">
        <f t="shared" si="1199"/>
        <v>06:00 001/p1</v>
      </c>
      <c r="G571" s="293" t="str">
        <f t="shared" si="1199"/>
        <v>07:00 001/p1</v>
      </c>
      <c r="H571" s="293" t="str">
        <f t="shared" ref="H571:I571" si="1200">TEXT(IF($B571=0," ",$B571+H$6),"hh:mm am/pm")</f>
        <v>14:00 001/p1</v>
      </c>
      <c r="I571" s="293" t="str">
        <f t="shared" si="1200"/>
        <v>19:00 001/p1</v>
      </c>
      <c r="J571" s="294" t="s">
        <v>140</v>
      </c>
      <c r="K571" s="295"/>
      <c r="L571" s="319" t="s">
        <v>119</v>
      </c>
      <c r="M571" s="320" t="s">
        <v>71</v>
      </c>
      <c r="N571" s="321" t="s">
        <v>57</v>
      </c>
      <c r="O571" s="322" t="s">
        <v>74</v>
      </c>
      <c r="P571" s="323" t="s">
        <v>75</v>
      </c>
      <c r="Q571" s="324">
        <v>500</v>
      </c>
      <c r="R571" s="375" t="s">
        <v>60</v>
      </c>
      <c r="S571" s="326"/>
      <c r="T571" s="327" t="s">
        <v>115</v>
      </c>
      <c r="U571" s="321" t="s">
        <v>62</v>
      </c>
      <c r="V571" s="321">
        <v>1</v>
      </c>
      <c r="W571" s="321">
        <v>1</v>
      </c>
      <c r="X571" s="328"/>
      <c r="Y571" s="329" t="s">
        <v>79</v>
      </c>
      <c r="Z571" s="321">
        <v>1</v>
      </c>
      <c r="AA571" s="330">
        <v>100000</v>
      </c>
      <c r="AB571" s="330" t="s">
        <v>65</v>
      </c>
      <c r="AC571" s="331">
        <v>0.1</v>
      </c>
      <c r="AD571" s="331">
        <v>0.02</v>
      </c>
      <c r="AE571" s="327" t="s">
        <v>66</v>
      </c>
      <c r="AF571" s="332">
        <v>40000</v>
      </c>
      <c r="AG571" s="333">
        <v>8</v>
      </c>
      <c r="AH571" s="333">
        <v>7</v>
      </c>
      <c r="AI571" s="333">
        <v>7</v>
      </c>
      <c r="AJ571" s="327">
        <v>15</v>
      </c>
      <c r="AK571" s="335" t="s">
        <v>67</v>
      </c>
      <c r="AL571" s="335" t="s">
        <v>68</v>
      </c>
      <c r="AM571" s="336" t="s">
        <v>69</v>
      </c>
      <c r="AN571" s="336" t="s">
        <v>70</v>
      </c>
      <c r="AO571" s="314">
        <f t="shared" si="1140"/>
        <v>0.423622685185185</v>
      </c>
      <c r="AP571" s="315">
        <f t="shared" si="1141"/>
        <v>569</v>
      </c>
      <c r="AQ571" s="316" t="str">
        <f t="shared" si="1142"/>
        <v>MICRO</v>
      </c>
    </row>
    <row r="572" ht="29.25" customHeight="1" outlineLevel="1" spans="1:43">
      <c r="A572" s="363" t="s">
        <v>385</v>
      </c>
      <c r="B572" s="317">
        <v>0.375011574074074</v>
      </c>
      <c r="C572" s="293" t="str">
        <f t="shared" ref="C572:G572" si="1201">TEXT(IF($B572=0," ",$B572-C$6),"hh:mm am/pm")</f>
        <v>07:00 001/p1</v>
      </c>
      <c r="D572" s="293" t="str">
        <f t="shared" si="1201"/>
        <v>05:00 001/p1</v>
      </c>
      <c r="E572" s="293" t="str">
        <f t="shared" si="1201"/>
        <v>06:00 001/p1</v>
      </c>
      <c r="F572" s="293" t="str">
        <f t="shared" si="1201"/>
        <v>07:00 001/p1</v>
      </c>
      <c r="G572" s="293" t="str">
        <f t="shared" si="1201"/>
        <v>08:00 001/p1</v>
      </c>
      <c r="H572" s="293" t="str">
        <f t="shared" ref="H572:I572" si="1202">TEXT(IF($B572=0," ",$B572+H$6),"hh:mm am/pm")</f>
        <v>15:00 001/p1</v>
      </c>
      <c r="I572" s="293" t="str">
        <f t="shared" si="1202"/>
        <v>20:00 001/p1</v>
      </c>
      <c r="J572" s="294" t="s">
        <v>142</v>
      </c>
      <c r="K572" s="295"/>
      <c r="L572" s="337" t="s">
        <v>133</v>
      </c>
      <c r="M572" s="338" t="s">
        <v>71</v>
      </c>
      <c r="N572" s="339" t="s">
        <v>57</v>
      </c>
      <c r="O572" s="340" t="s">
        <v>58</v>
      </c>
      <c r="P572" s="341" t="s">
        <v>59</v>
      </c>
      <c r="Q572" s="342">
        <v>150</v>
      </c>
      <c r="R572" s="343" t="s">
        <v>60</v>
      </c>
      <c r="S572" s="344"/>
      <c r="T572" s="345" t="s">
        <v>61</v>
      </c>
      <c r="U572" s="339" t="s">
        <v>62</v>
      </c>
      <c r="V572" s="339">
        <v>1.5</v>
      </c>
      <c r="W572" s="339">
        <v>1.5</v>
      </c>
      <c r="X572" s="346">
        <v>60000</v>
      </c>
      <c r="Y572" s="347" t="s">
        <v>63</v>
      </c>
      <c r="Z572" s="344"/>
      <c r="AA572" s="348" t="s">
        <v>64</v>
      </c>
      <c r="AB572" s="348" t="s">
        <v>65</v>
      </c>
      <c r="AC572" s="349">
        <v>0.1</v>
      </c>
      <c r="AD572" s="349">
        <v>0</v>
      </c>
      <c r="AE572" s="535" t="s">
        <v>66</v>
      </c>
      <c r="AF572" s="346">
        <v>50000</v>
      </c>
      <c r="AG572" s="350">
        <v>8</v>
      </c>
      <c r="AH572" s="350">
        <v>8</v>
      </c>
      <c r="AI572" s="350">
        <v>8</v>
      </c>
      <c r="AJ572" s="345">
        <v>15</v>
      </c>
      <c r="AK572" s="352" t="s">
        <v>67</v>
      </c>
      <c r="AL572" s="352" t="s">
        <v>68</v>
      </c>
      <c r="AM572" s="353" t="s">
        <v>69</v>
      </c>
      <c r="AN572" s="353" t="s">
        <v>70</v>
      </c>
      <c r="AO572" s="314">
        <f t="shared" si="1140"/>
        <v>0.465289351851852</v>
      </c>
      <c r="AP572" s="315">
        <f t="shared" si="1141"/>
        <v>112</v>
      </c>
      <c r="AQ572" s="316" t="str">
        <f t="shared" si="1142"/>
        <v>MICRO</v>
      </c>
    </row>
    <row r="573" ht="29.25" customHeight="1" outlineLevel="1" spans="1:43">
      <c r="B573" s="317">
        <v>0.375011574074074</v>
      </c>
      <c r="C573" s="293" t="str">
        <f t="shared" ref="C573:G573" si="1203">TEXT(IF($B573=0," ",$B573-C$6),"hh:mm am/pm")</f>
        <v>07:00 001/p1</v>
      </c>
      <c r="D573" s="293" t="str">
        <f t="shared" si="1203"/>
        <v>05:00 001/p1</v>
      </c>
      <c r="E573" s="293" t="str">
        <f t="shared" si="1203"/>
        <v>06:00 001/p1</v>
      </c>
      <c r="F573" s="293" t="str">
        <f t="shared" si="1203"/>
        <v>07:00 001/p1</v>
      </c>
      <c r="G573" s="293" t="str">
        <f t="shared" si="1203"/>
        <v>08:00 001/p1</v>
      </c>
      <c r="H573" s="293" t="str">
        <f t="shared" ref="H573:I573" si="1204">TEXT(IF($B573=0," ",$B573+H$6),"hh:mm am/pm")</f>
        <v>15:00 001/p1</v>
      </c>
      <c r="I573" s="293" t="str">
        <f t="shared" si="1204"/>
        <v>20:00 001/p1</v>
      </c>
      <c r="J573" s="294" t="s">
        <v>137</v>
      </c>
      <c r="K573" s="295"/>
      <c r="L573" s="319" t="s">
        <v>129</v>
      </c>
      <c r="M573" s="320" t="s">
        <v>71</v>
      </c>
      <c r="N573" s="321" t="s">
        <v>122</v>
      </c>
      <c r="O573" s="322" t="s">
        <v>74</v>
      </c>
      <c r="P573" s="323" t="s">
        <v>101</v>
      </c>
      <c r="Q573" s="324">
        <v>100</v>
      </c>
      <c r="R573" s="375" t="s">
        <v>60</v>
      </c>
      <c r="S573" s="326"/>
      <c r="T573" s="327" t="s">
        <v>61</v>
      </c>
      <c r="U573" s="321" t="s">
        <v>62</v>
      </c>
      <c r="V573" s="321">
        <v>1</v>
      </c>
      <c r="W573" s="321">
        <v>1</v>
      </c>
      <c r="X573" s="328"/>
      <c r="Y573" s="329" t="s">
        <v>79</v>
      </c>
      <c r="Z573" s="321">
        <v>1</v>
      </c>
      <c r="AA573" s="330">
        <v>80000</v>
      </c>
      <c r="AB573" s="330" t="s">
        <v>65</v>
      </c>
      <c r="AC573" s="331">
        <v>0.1</v>
      </c>
      <c r="AD573" s="331">
        <v>0</v>
      </c>
      <c r="AE573" s="327" t="s">
        <v>88</v>
      </c>
      <c r="AF573" s="332">
        <v>40000</v>
      </c>
      <c r="AG573" s="333">
        <v>7</v>
      </c>
      <c r="AH573" s="333">
        <v>7</v>
      </c>
      <c r="AI573" s="333">
        <v>7</v>
      </c>
      <c r="AJ573" s="327">
        <v>13</v>
      </c>
      <c r="AK573" s="335" t="s">
        <v>67</v>
      </c>
      <c r="AL573" s="335" t="s">
        <v>68</v>
      </c>
      <c r="AM573" s="336" t="s">
        <v>69</v>
      </c>
      <c r="AN573" s="336" t="s">
        <v>70</v>
      </c>
      <c r="AO573" s="314">
        <f t="shared" si="1140"/>
        <v>0.441678240740741</v>
      </c>
      <c r="AP573" s="315">
        <f t="shared" si="1141"/>
        <v>112</v>
      </c>
      <c r="AQ573" s="316" t="str">
        <f t="shared" si="1142"/>
        <v>MICRO</v>
      </c>
    </row>
    <row r="574" ht="29.25" customHeight="1" outlineLevel="1" spans="1:43">
      <c r="B574" s="317">
        <v>0.416678240740741</v>
      </c>
      <c r="C574" s="293" t="str">
        <f t="shared" ref="C574:G574" si="1205">TEXT(IF($B574=0," ",$B574-C$6),"hh:mm am/pm")</f>
        <v>08:00 001/p1</v>
      </c>
      <c r="D574" s="293" t="str">
        <f t="shared" si="1205"/>
        <v>06:00 001/p1</v>
      </c>
      <c r="E574" s="293" t="str">
        <f t="shared" si="1205"/>
        <v>07:00 001/p1</v>
      </c>
      <c r="F574" s="293" t="str">
        <f t="shared" si="1205"/>
        <v>08:00 001/p1</v>
      </c>
      <c r="G574" s="293" t="str">
        <f t="shared" si="1205"/>
        <v>09:00 001/p1</v>
      </c>
      <c r="H574" s="293" t="str">
        <f t="shared" ref="H574:I574" si="1206">TEXT(IF($B574=0," ",$B574+H$6),"hh:mm am/pm")</f>
        <v>16:00 001/p1</v>
      </c>
      <c r="I574" s="293" t="str">
        <f t="shared" si="1206"/>
        <v>21:00 001/p1</v>
      </c>
      <c r="J574" s="294" t="s">
        <v>143</v>
      </c>
      <c r="K574" s="295"/>
      <c r="L574" s="337" t="s">
        <v>126</v>
      </c>
      <c r="M574" s="338" t="s">
        <v>71</v>
      </c>
      <c r="N574" s="339" t="s">
        <v>57</v>
      </c>
      <c r="O574" s="340" t="s">
        <v>144</v>
      </c>
      <c r="P574" s="341" t="s">
        <v>59</v>
      </c>
      <c r="Q574" s="342">
        <v>800</v>
      </c>
      <c r="R574" s="343" t="s">
        <v>60</v>
      </c>
      <c r="S574" s="344"/>
      <c r="T574" s="345" t="s">
        <v>61</v>
      </c>
      <c r="U574" s="339" t="s">
        <v>62</v>
      </c>
      <c r="V574" s="339">
        <v>6</v>
      </c>
      <c r="W574" s="339">
        <v>6</v>
      </c>
      <c r="X574" s="354"/>
      <c r="Y574" s="347" t="s">
        <v>63</v>
      </c>
      <c r="Z574" s="344"/>
      <c r="AA574" s="348" t="s">
        <v>64</v>
      </c>
      <c r="AB574" s="348" t="s">
        <v>65</v>
      </c>
      <c r="AC574" s="349">
        <v>0.1</v>
      </c>
      <c r="AD574" s="349">
        <v>0.02</v>
      </c>
      <c r="AE574" s="535" t="s">
        <v>66</v>
      </c>
      <c r="AF574" s="346">
        <v>40000</v>
      </c>
      <c r="AG574" s="350">
        <v>10</v>
      </c>
      <c r="AH574" s="350">
        <v>8</v>
      </c>
      <c r="AI574" s="350">
        <v>8</v>
      </c>
      <c r="AJ574" s="345">
        <v>14</v>
      </c>
      <c r="AK574" s="352" t="s">
        <v>67</v>
      </c>
      <c r="AL574" s="352" t="s">
        <v>68</v>
      </c>
      <c r="AM574" s="353" t="s">
        <v>69</v>
      </c>
      <c r="AN574" s="353" t="s">
        <v>70</v>
      </c>
      <c r="AO574" s="314">
        <f t="shared" si="1140"/>
        <v>0.520844907407407</v>
      </c>
      <c r="AP574" s="315">
        <f t="shared" si="1141"/>
        <v>152</v>
      </c>
      <c r="AQ574" s="316" t="str">
        <f t="shared" si="1142"/>
        <v>LOW</v>
      </c>
    </row>
    <row r="575" ht="29.25" customHeight="1" outlineLevel="1" spans="1:43">
      <c r="A575" s="363" t="s">
        <v>385</v>
      </c>
      <c r="B575" s="317">
        <v>0.416678240740741</v>
      </c>
      <c r="C575" s="293" t="str">
        <f t="shared" ref="C575:G575" si="1207">TEXT(IF($B575=0," ",$B575-C$6),"hh:mm am/pm")</f>
        <v>08:00 001/p1</v>
      </c>
      <c r="D575" s="293" t="str">
        <f t="shared" si="1207"/>
        <v>06:00 001/p1</v>
      </c>
      <c r="E575" s="293" t="str">
        <f t="shared" si="1207"/>
        <v>07:00 001/p1</v>
      </c>
      <c r="F575" s="293" t="str">
        <f t="shared" si="1207"/>
        <v>08:00 001/p1</v>
      </c>
      <c r="G575" s="293" t="str">
        <f t="shared" si="1207"/>
        <v>09:00 001/p1</v>
      </c>
      <c r="H575" s="293" t="str">
        <f t="shared" ref="H575:I575" si="1208">TEXT(IF($B575=0," ",$B575+H$6),"hh:mm am/pm")</f>
        <v>16:00 001/p1</v>
      </c>
      <c r="I575" s="293" t="str">
        <f t="shared" si="1208"/>
        <v>21:00 001/p1</v>
      </c>
      <c r="J575" s="294" t="s">
        <v>134</v>
      </c>
      <c r="K575" s="295"/>
      <c r="L575" s="319" t="s">
        <v>114</v>
      </c>
      <c r="M575" s="320" t="s">
        <v>71</v>
      </c>
      <c r="N575" s="321" t="s">
        <v>57</v>
      </c>
      <c r="O575" s="322" t="s">
        <v>74</v>
      </c>
      <c r="P575" s="323" t="s">
        <v>75</v>
      </c>
      <c r="Q575" s="324">
        <v>200</v>
      </c>
      <c r="R575" s="375" t="s">
        <v>60</v>
      </c>
      <c r="S575" s="326"/>
      <c r="T575" s="327" t="s">
        <v>115</v>
      </c>
      <c r="U575" s="321" t="s">
        <v>62</v>
      </c>
      <c r="V575" s="321">
        <v>0.4</v>
      </c>
      <c r="W575" s="321">
        <v>0.4</v>
      </c>
      <c r="X575" s="328"/>
      <c r="Y575" s="329" t="s">
        <v>79</v>
      </c>
      <c r="Z575" s="321">
        <v>0.6</v>
      </c>
      <c r="AA575" s="330">
        <v>80000</v>
      </c>
      <c r="AB575" s="330" t="s">
        <v>65</v>
      </c>
      <c r="AC575" s="331">
        <v>0.1</v>
      </c>
      <c r="AD575" s="331">
        <v>0</v>
      </c>
      <c r="AE575" s="534" t="s">
        <v>66</v>
      </c>
      <c r="AF575" s="332">
        <v>40000</v>
      </c>
      <c r="AG575" s="333">
        <v>7</v>
      </c>
      <c r="AH575" s="333">
        <v>6</v>
      </c>
      <c r="AI575" s="333">
        <v>6</v>
      </c>
      <c r="AJ575" s="327">
        <v>15</v>
      </c>
      <c r="AK575" s="335" t="s">
        <v>67</v>
      </c>
      <c r="AL575" s="335" t="s">
        <v>68</v>
      </c>
      <c r="AM575" s="336" t="s">
        <v>69</v>
      </c>
      <c r="AN575" s="336" t="s">
        <v>70</v>
      </c>
      <c r="AO575" s="314">
        <f t="shared" si="1140"/>
        <v>0.49306712962963</v>
      </c>
      <c r="AP575" s="315">
        <f t="shared" si="1141"/>
        <v>556</v>
      </c>
      <c r="AQ575" s="316" t="str">
        <f t="shared" si="1142"/>
        <v>MICRO</v>
      </c>
    </row>
    <row r="576" ht="29.25" customHeight="1" outlineLevel="1" spans="1:43">
      <c r="B576" s="317">
        <v>0.416678240740741</v>
      </c>
      <c r="C576" s="293" t="str">
        <f t="shared" ref="C576:G576" si="1209">TEXT(IF($B576=0," ",$B576-C$6),"hh:mm am/pm")</f>
        <v>08:00 001/p1</v>
      </c>
      <c r="D576" s="293" t="str">
        <f t="shared" si="1209"/>
        <v>06:00 001/p1</v>
      </c>
      <c r="E576" s="293" t="str">
        <f t="shared" si="1209"/>
        <v>07:00 001/p1</v>
      </c>
      <c r="F576" s="293" t="str">
        <f t="shared" si="1209"/>
        <v>08:00 001/p1</v>
      </c>
      <c r="G576" s="293" t="str">
        <f t="shared" si="1209"/>
        <v>09:00 001/p1</v>
      </c>
      <c r="H576" s="293" t="str">
        <f t="shared" ref="H576:I576" si="1210">TEXT(IF($B576=0," ",$B576+H$6),"hh:mm am/pm")</f>
        <v>16:00 001/p1</v>
      </c>
      <c r="I576" s="293" t="str">
        <f t="shared" si="1210"/>
        <v>21:00 001/p1</v>
      </c>
      <c r="J576" s="537" t="s">
        <v>145</v>
      </c>
      <c r="K576" s="295"/>
      <c r="L576" s="337" t="s">
        <v>119</v>
      </c>
      <c r="M576" s="338" t="s">
        <v>71</v>
      </c>
      <c r="N576" s="339" t="s">
        <v>57</v>
      </c>
      <c r="O576" s="340" t="s">
        <v>74</v>
      </c>
      <c r="P576" s="341" t="s">
        <v>75</v>
      </c>
      <c r="Q576" s="342">
        <v>600</v>
      </c>
      <c r="R576" s="343" t="s">
        <v>60</v>
      </c>
      <c r="S576" s="344"/>
      <c r="T576" s="345" t="s">
        <v>115</v>
      </c>
      <c r="U576" s="339" t="s">
        <v>62</v>
      </c>
      <c r="V576" s="339">
        <v>1.6</v>
      </c>
      <c r="W576" s="339">
        <v>1.6</v>
      </c>
      <c r="X576" s="354"/>
      <c r="Y576" s="347" t="s">
        <v>79</v>
      </c>
      <c r="Z576" s="339">
        <v>1.6</v>
      </c>
      <c r="AA576" s="348">
        <v>160000</v>
      </c>
      <c r="AB576" s="348" t="s">
        <v>65</v>
      </c>
      <c r="AC576" s="349">
        <v>0.1</v>
      </c>
      <c r="AD576" s="349">
        <v>0.02</v>
      </c>
      <c r="AE576" s="535" t="s">
        <v>66</v>
      </c>
      <c r="AF576" s="346">
        <v>40000</v>
      </c>
      <c r="AG576" s="350">
        <v>8</v>
      </c>
      <c r="AH576" s="350">
        <v>7</v>
      </c>
      <c r="AI576" s="350">
        <v>7</v>
      </c>
      <c r="AJ576" s="345">
        <v>15</v>
      </c>
      <c r="AK576" s="352" t="s">
        <v>67</v>
      </c>
      <c r="AL576" s="352" t="s">
        <v>68</v>
      </c>
      <c r="AM576" s="353" t="s">
        <v>69</v>
      </c>
      <c r="AN576" s="353" t="s">
        <v>70</v>
      </c>
      <c r="AO576" s="314">
        <f t="shared" si="1140"/>
        <v>0.506956018518518</v>
      </c>
      <c r="AP576" s="315">
        <f t="shared" si="1141"/>
        <v>427</v>
      </c>
      <c r="AQ576" s="316" t="str">
        <f t="shared" si="1142"/>
        <v>MICRO</v>
      </c>
    </row>
    <row r="577" ht="29.25" customHeight="1" outlineLevel="1" spans="1:43">
      <c r="B577" s="317">
        <v>0.437511574074074</v>
      </c>
      <c r="C577" s="293" t="str">
        <f t="shared" ref="C577:G577" si="1211">TEXT(IF($B577=0," ",$B577-C$6),"hh:mm am/pm")</f>
        <v>08:30 001/p1</v>
      </c>
      <c r="D577" s="293" t="str">
        <f t="shared" si="1211"/>
        <v>06:30 001/p1</v>
      </c>
      <c r="E577" s="293" t="str">
        <f t="shared" si="1211"/>
        <v>07:30 001/p1</v>
      </c>
      <c r="F577" s="293" t="str">
        <f t="shared" si="1211"/>
        <v>08:30 001/p1</v>
      </c>
      <c r="G577" s="293" t="str">
        <f t="shared" si="1211"/>
        <v>09:30 001/p1</v>
      </c>
      <c r="H577" s="293" t="str">
        <f t="shared" ref="H577:I577" si="1212">TEXT(IF($B577=0," ",$B577+H$6),"hh:mm am/pm")</f>
        <v>16:30 001/p1</v>
      </c>
      <c r="I577" s="293" t="str">
        <f t="shared" si="1212"/>
        <v>21:30 001/p1</v>
      </c>
      <c r="J577" s="294" t="s">
        <v>146</v>
      </c>
      <c r="K577" s="295"/>
      <c r="L577" s="319" t="s">
        <v>117</v>
      </c>
      <c r="M577" s="320" t="s">
        <v>71</v>
      </c>
      <c r="N577" s="321" t="s">
        <v>100</v>
      </c>
      <c r="O577" s="322" t="s">
        <v>74</v>
      </c>
      <c r="P577" s="323" t="s">
        <v>101</v>
      </c>
      <c r="Q577" s="324">
        <v>400</v>
      </c>
      <c r="R577" s="375" t="s">
        <v>60</v>
      </c>
      <c r="S577" s="326"/>
      <c r="T577" s="327" t="s">
        <v>61</v>
      </c>
      <c r="U577" s="321" t="s">
        <v>62</v>
      </c>
      <c r="V577" s="321">
        <v>3</v>
      </c>
      <c r="W577" s="321">
        <v>3</v>
      </c>
      <c r="X577" s="328"/>
      <c r="Y577" s="329" t="s">
        <v>79</v>
      </c>
      <c r="Z577" s="321">
        <v>3</v>
      </c>
      <c r="AA577" s="330">
        <v>80000</v>
      </c>
      <c r="AB577" s="330" t="s">
        <v>65</v>
      </c>
      <c r="AC577" s="331">
        <v>0.1</v>
      </c>
      <c r="AD577" s="331">
        <v>0.02</v>
      </c>
      <c r="AE577" s="534" t="s">
        <v>88</v>
      </c>
      <c r="AF577" s="332">
        <v>40000</v>
      </c>
      <c r="AG577" s="333">
        <v>8</v>
      </c>
      <c r="AH577" s="333">
        <v>7</v>
      </c>
      <c r="AI577" s="333">
        <v>7</v>
      </c>
      <c r="AJ577" s="327">
        <v>13</v>
      </c>
      <c r="AK577" s="335" t="s">
        <v>67</v>
      </c>
      <c r="AL577" s="335" t="s">
        <v>68</v>
      </c>
      <c r="AM577" s="336" t="s">
        <v>69</v>
      </c>
      <c r="AN577" s="336" t="s">
        <v>70</v>
      </c>
      <c r="AO577" s="314">
        <f t="shared" si="1140"/>
        <v>0.513206018518519</v>
      </c>
      <c r="AP577" s="315">
        <f t="shared" si="1141"/>
        <v>152</v>
      </c>
      <c r="AQ577" s="316" t="str">
        <f t="shared" si="1142"/>
        <v>MICRO</v>
      </c>
    </row>
    <row r="578" ht="29.25" customHeight="1" outlineLevel="1" spans="1:43">
      <c r="A578" s="363"/>
      <c r="B578" s="317">
        <v>0.458344907407407</v>
      </c>
      <c r="C578" s="293" t="str">
        <f t="shared" ref="C578:G578" si="1213">TEXT(IF($B578=0," ",$B578-C$6),"hh:mm am/pm")</f>
        <v>09:00 001/p1</v>
      </c>
      <c r="D578" s="293" t="str">
        <f t="shared" si="1213"/>
        <v>07:00 001/p1</v>
      </c>
      <c r="E578" s="293" t="str">
        <f t="shared" si="1213"/>
        <v>08:00 001/p1</v>
      </c>
      <c r="F578" s="293" t="str">
        <f t="shared" si="1213"/>
        <v>09:00 001/p1</v>
      </c>
      <c r="G578" s="293" t="str">
        <f t="shared" si="1213"/>
        <v>10:00 001/p1</v>
      </c>
      <c r="H578" s="293" t="str">
        <f t="shared" ref="H578:I578" si="1214">TEXT(IF($B578=0," ",$B578+H$6),"hh:mm am/pm")</f>
        <v>17:00 001/p1</v>
      </c>
      <c r="I578" s="293" t="str">
        <f t="shared" si="1214"/>
        <v>22:00 001/p1</v>
      </c>
      <c r="J578" s="318" t="s">
        <v>147</v>
      </c>
      <c r="K578" s="295"/>
      <c r="L578" s="337" t="s">
        <v>73</v>
      </c>
      <c r="M578" s="338" t="s">
        <v>71</v>
      </c>
      <c r="N578" s="339" t="s">
        <v>57</v>
      </c>
      <c r="O578" s="340" t="s">
        <v>74</v>
      </c>
      <c r="P578" s="341" t="s">
        <v>75</v>
      </c>
      <c r="Q578" s="342">
        <v>3200</v>
      </c>
      <c r="R578" s="325" t="s">
        <v>76</v>
      </c>
      <c r="S578" s="344"/>
      <c r="T578" s="345" t="s">
        <v>115</v>
      </c>
      <c r="U578" s="339" t="s">
        <v>62</v>
      </c>
      <c r="V578" s="339">
        <v>3</v>
      </c>
      <c r="W578" s="339">
        <v>3</v>
      </c>
      <c r="X578" s="354"/>
      <c r="Y578" s="346" t="s">
        <v>79</v>
      </c>
      <c r="Z578" s="339">
        <v>3</v>
      </c>
      <c r="AA578" s="348">
        <v>120000</v>
      </c>
      <c r="AB578" s="348" t="s">
        <v>65</v>
      </c>
      <c r="AC578" s="349">
        <v>0.1</v>
      </c>
      <c r="AD578" s="349">
        <v>0.02</v>
      </c>
      <c r="AE578" s="535" t="s">
        <v>66</v>
      </c>
      <c r="AF578" s="346">
        <v>40000</v>
      </c>
      <c r="AG578" s="350">
        <v>10</v>
      </c>
      <c r="AH578" s="350">
        <v>8</v>
      </c>
      <c r="AI578" s="350">
        <v>8</v>
      </c>
      <c r="AJ578" s="345">
        <v>14</v>
      </c>
      <c r="AK578" s="352" t="s">
        <v>67</v>
      </c>
      <c r="AL578" s="352" t="s">
        <v>68</v>
      </c>
      <c r="AM578" s="353" t="s">
        <v>69</v>
      </c>
      <c r="AN578" s="353" t="s">
        <v>70</v>
      </c>
      <c r="AO578" s="314">
        <f t="shared" si="1140"/>
        <v>0.562511574074074</v>
      </c>
      <c r="AP578" s="315">
        <f t="shared" si="1141"/>
        <v>1213</v>
      </c>
      <c r="AQ578" s="316" t="str">
        <f t="shared" si="1142"/>
        <v>MICRO</v>
      </c>
    </row>
    <row r="579" ht="29.25" customHeight="1" outlineLevel="1" spans="1:43">
      <c r="B579" s="317">
        <v>0.458344907407407</v>
      </c>
      <c r="C579" s="293" t="str">
        <f t="shared" ref="C579:G579" si="1215">TEXT(IF($B579=0," ",$B579-C$6),"hh:mm am/pm")</f>
        <v>09:00 001/p1</v>
      </c>
      <c r="D579" s="293" t="str">
        <f t="shared" si="1215"/>
        <v>07:00 001/p1</v>
      </c>
      <c r="E579" s="293" t="str">
        <f t="shared" si="1215"/>
        <v>08:00 001/p1</v>
      </c>
      <c r="F579" s="293" t="str">
        <f t="shared" si="1215"/>
        <v>09:00 001/p1</v>
      </c>
      <c r="G579" s="293" t="str">
        <f t="shared" si="1215"/>
        <v>10:00 001/p1</v>
      </c>
      <c r="H579" s="293" t="str">
        <f t="shared" ref="H579:I579" si="1216">TEXT(IF($B579=0," ",$B579+H$6),"hh:mm am/pm")</f>
        <v>17:00 001/p1</v>
      </c>
      <c r="I579" s="293" t="str">
        <f t="shared" si="1216"/>
        <v>22:00 001/p1</v>
      </c>
      <c r="J579" s="294" t="s">
        <v>148</v>
      </c>
      <c r="K579" s="295"/>
      <c r="L579" s="319" t="s">
        <v>129</v>
      </c>
      <c r="M579" s="320" t="s">
        <v>71</v>
      </c>
      <c r="N579" s="321" t="s">
        <v>122</v>
      </c>
      <c r="O579" s="322" t="s">
        <v>74</v>
      </c>
      <c r="P579" s="323" t="s">
        <v>101</v>
      </c>
      <c r="Q579" s="324">
        <v>120</v>
      </c>
      <c r="R579" s="375" t="s">
        <v>60</v>
      </c>
      <c r="S579" s="326"/>
      <c r="T579" s="327" t="s">
        <v>61</v>
      </c>
      <c r="U579" s="321" t="s">
        <v>62</v>
      </c>
      <c r="V579" s="321">
        <v>0.8</v>
      </c>
      <c r="W579" s="321">
        <v>0.8</v>
      </c>
      <c r="X579" s="328"/>
      <c r="Y579" s="332" t="s">
        <v>79</v>
      </c>
      <c r="Z579" s="321">
        <v>1</v>
      </c>
      <c r="AA579" s="330">
        <v>100000</v>
      </c>
      <c r="AB579" s="330" t="s">
        <v>65</v>
      </c>
      <c r="AC579" s="331">
        <v>0.1</v>
      </c>
      <c r="AD579" s="331">
        <v>0</v>
      </c>
      <c r="AE579" s="327" t="s">
        <v>66</v>
      </c>
      <c r="AF579" s="332">
        <v>40000</v>
      </c>
      <c r="AG579" s="333">
        <v>8</v>
      </c>
      <c r="AH579" s="333">
        <v>7</v>
      </c>
      <c r="AI579" s="333">
        <v>7</v>
      </c>
      <c r="AJ579" s="327">
        <v>15</v>
      </c>
      <c r="AK579" s="335" t="s">
        <v>67</v>
      </c>
      <c r="AL579" s="335" t="s">
        <v>68</v>
      </c>
      <c r="AM579" s="336" t="s">
        <v>69</v>
      </c>
      <c r="AN579" s="336" t="s">
        <v>70</v>
      </c>
      <c r="AO579" s="314">
        <f t="shared" si="1140"/>
        <v>0.548622685185185</v>
      </c>
      <c r="AP579" s="315">
        <f t="shared" si="1141"/>
        <v>167</v>
      </c>
      <c r="AQ579" s="316" t="str">
        <f t="shared" si="1142"/>
        <v>MICRO</v>
      </c>
    </row>
    <row r="580" ht="29.25" customHeight="1" outlineLevel="1" spans="1:43">
      <c r="A580" s="363" t="s">
        <v>385</v>
      </c>
      <c r="B580" s="317">
        <v>0.458344907407407</v>
      </c>
      <c r="C580" s="293" t="str">
        <f t="shared" ref="C580:G580" si="1217">TEXT(IF($B580=0," ",$B580-C$6),"hh:mm am/pm")</f>
        <v>09:00 001/p1</v>
      </c>
      <c r="D580" s="293" t="str">
        <f t="shared" si="1217"/>
        <v>07:00 001/p1</v>
      </c>
      <c r="E580" s="293" t="str">
        <f t="shared" si="1217"/>
        <v>08:00 001/p1</v>
      </c>
      <c r="F580" s="293" t="str">
        <f t="shared" si="1217"/>
        <v>09:00 001/p1</v>
      </c>
      <c r="G580" s="293" t="str">
        <f t="shared" si="1217"/>
        <v>10:00 001/p1</v>
      </c>
      <c r="H580" s="293" t="str">
        <f t="shared" ref="H580:I580" si="1218">TEXT(IF($B580=0," ",$B580+H$6),"hh:mm am/pm")</f>
        <v>17:00 001/p1</v>
      </c>
      <c r="I580" s="293" t="str">
        <f t="shared" si="1218"/>
        <v>22:00 001/p1</v>
      </c>
      <c r="J580" s="294" t="s">
        <v>149</v>
      </c>
      <c r="K580" s="295"/>
      <c r="L580" s="337" t="s">
        <v>149</v>
      </c>
      <c r="M580" s="338" t="s">
        <v>71</v>
      </c>
      <c r="N580" s="339" t="s">
        <v>57</v>
      </c>
      <c r="O580" s="340" t="s">
        <v>74</v>
      </c>
      <c r="P580" s="341" t="s">
        <v>75</v>
      </c>
      <c r="Q580" s="342">
        <v>40</v>
      </c>
      <c r="R580" s="343" t="s">
        <v>60</v>
      </c>
      <c r="S580" s="344"/>
      <c r="T580" s="345" t="s">
        <v>61</v>
      </c>
      <c r="U580" s="339" t="s">
        <v>62</v>
      </c>
      <c r="V580" s="339">
        <v>0.6</v>
      </c>
      <c r="W580" s="339">
        <v>0.6</v>
      </c>
      <c r="X580" s="354"/>
      <c r="Y580" s="346" t="s">
        <v>63</v>
      </c>
      <c r="Z580" s="339">
        <v>0.6</v>
      </c>
      <c r="AA580" s="348">
        <v>30000</v>
      </c>
      <c r="AB580" s="348" t="s">
        <v>65</v>
      </c>
      <c r="AC580" s="349">
        <v>0.1</v>
      </c>
      <c r="AD580" s="349">
        <v>0</v>
      </c>
      <c r="AE580" s="535" t="s">
        <v>112</v>
      </c>
      <c r="AF580" s="346">
        <v>20000</v>
      </c>
      <c r="AG580" s="350">
        <v>5</v>
      </c>
      <c r="AH580" s="350">
        <v>5</v>
      </c>
      <c r="AI580" s="350">
        <v>5</v>
      </c>
      <c r="AJ580" s="345">
        <v>15</v>
      </c>
      <c r="AK580" s="352" t="s">
        <v>150</v>
      </c>
      <c r="AL580" s="352" t="s">
        <v>68</v>
      </c>
      <c r="AM580" s="353" t="s">
        <v>69</v>
      </c>
      <c r="AN580" s="353" t="s">
        <v>70</v>
      </c>
      <c r="AO580" s="314">
        <f t="shared" si="1140"/>
        <v>0.513900462962963</v>
      </c>
      <c r="AP580" s="315">
        <f t="shared" si="1141"/>
        <v>75</v>
      </c>
      <c r="AQ580" s="316" t="str">
        <f t="shared" si="1142"/>
        <v>MICRO</v>
      </c>
    </row>
    <row r="581" ht="29.25" customHeight="1" outlineLevel="1" spans="1:43">
      <c r="B581" s="317">
        <v>0.500011574074074</v>
      </c>
      <c r="C581" s="293" t="str">
        <f t="shared" ref="C581:G581" si="1219">TEXT(IF($B581=0," ",$B581-C$6),"hh:mm am/pm")</f>
        <v>10:00 001/p1</v>
      </c>
      <c r="D581" s="293" t="str">
        <f t="shared" si="1219"/>
        <v>08:00 001/p1</v>
      </c>
      <c r="E581" s="293" t="str">
        <f t="shared" si="1219"/>
        <v>09:00 001/p1</v>
      </c>
      <c r="F581" s="293" t="str">
        <f t="shared" si="1219"/>
        <v>10:00 001/p1</v>
      </c>
      <c r="G581" s="293" t="str">
        <f t="shared" si="1219"/>
        <v>11:00 001/p1</v>
      </c>
      <c r="H581" s="293" t="str">
        <f t="shared" ref="H581:I581" si="1220">TEXT(IF($B581=0," ",$B581+H$6),"hh:mm am/pm")</f>
        <v>18:00 001/p1</v>
      </c>
      <c r="I581" s="293" t="str">
        <f t="shared" si="1220"/>
        <v>23:00 001/p1</v>
      </c>
      <c r="J581" s="294" t="s">
        <v>151</v>
      </c>
      <c r="K581" s="295"/>
      <c r="L581" s="319" t="s">
        <v>152</v>
      </c>
      <c r="M581" s="320" t="s">
        <v>71</v>
      </c>
      <c r="N581" s="321" t="s">
        <v>57</v>
      </c>
      <c r="O581" s="322" t="s">
        <v>104</v>
      </c>
      <c r="P581" s="323" t="s">
        <v>75</v>
      </c>
      <c r="Q581" s="324">
        <v>600</v>
      </c>
      <c r="R581" s="375" t="s">
        <v>60</v>
      </c>
      <c r="S581" s="326"/>
      <c r="T581" s="327" t="s">
        <v>61</v>
      </c>
      <c r="U581" s="321" t="s">
        <v>62</v>
      </c>
      <c r="V581" s="321">
        <v>2</v>
      </c>
      <c r="W581" s="321">
        <v>2</v>
      </c>
      <c r="X581" s="328"/>
      <c r="Y581" s="332" t="s">
        <v>63</v>
      </c>
      <c r="Z581" s="326"/>
      <c r="AA581" s="330" t="s">
        <v>64</v>
      </c>
      <c r="AB581" s="330" t="s">
        <v>65</v>
      </c>
      <c r="AC581" s="331">
        <v>0.1</v>
      </c>
      <c r="AD581" s="331">
        <v>0.02</v>
      </c>
      <c r="AE581" s="327" t="s">
        <v>88</v>
      </c>
      <c r="AF581" s="332">
        <v>60000</v>
      </c>
      <c r="AG581" s="333">
        <v>10</v>
      </c>
      <c r="AH581" s="333">
        <v>8</v>
      </c>
      <c r="AI581" s="333">
        <v>8</v>
      </c>
      <c r="AJ581" s="327">
        <v>14</v>
      </c>
      <c r="AK581" s="335" t="s">
        <v>67</v>
      </c>
      <c r="AL581" s="335" t="s">
        <v>68</v>
      </c>
      <c r="AM581" s="336" t="s">
        <v>69</v>
      </c>
      <c r="AN581" s="336" t="s">
        <v>70</v>
      </c>
      <c r="AO581" s="314">
        <f t="shared" si="1140"/>
        <v>0.604178240740741</v>
      </c>
      <c r="AP581" s="315">
        <f t="shared" si="1141"/>
        <v>341</v>
      </c>
      <c r="AQ581" s="316" t="str">
        <f t="shared" si="1142"/>
        <v>MICRO</v>
      </c>
    </row>
    <row r="582" ht="29.25" customHeight="1" outlineLevel="1" spans="1:43">
      <c r="B582" s="317">
        <v>0.500011574074074</v>
      </c>
      <c r="C582" s="293" t="str">
        <f t="shared" ref="C582:G582" si="1221">TEXT(IF($B582=0," ",$B582-C$6),"hh:mm am/pm")</f>
        <v>10:00 001/p1</v>
      </c>
      <c r="D582" s="293" t="str">
        <f t="shared" si="1221"/>
        <v>08:00 001/p1</v>
      </c>
      <c r="E582" s="293" t="str">
        <f t="shared" si="1221"/>
        <v>09:00 001/p1</v>
      </c>
      <c r="F582" s="293" t="str">
        <f t="shared" si="1221"/>
        <v>10:00 001/p1</v>
      </c>
      <c r="G582" s="293" t="str">
        <f t="shared" si="1221"/>
        <v>11:00 001/p1</v>
      </c>
      <c r="H582" s="293" t="str">
        <f t="shared" ref="H582:I582" si="1222">TEXT(IF($B582=0," ",$B582+H$6),"hh:mm am/pm")</f>
        <v>18:00 001/p1</v>
      </c>
      <c r="I582" s="293" t="str">
        <f t="shared" si="1222"/>
        <v>23:00 001/p1</v>
      </c>
      <c r="J582" s="294" t="s">
        <v>153</v>
      </c>
      <c r="K582" s="295"/>
      <c r="L582" s="337" t="s">
        <v>114</v>
      </c>
      <c r="M582" s="338" t="s">
        <v>71</v>
      </c>
      <c r="N582" s="339" t="s">
        <v>57</v>
      </c>
      <c r="O582" s="340" t="s">
        <v>74</v>
      </c>
      <c r="P582" s="341" t="s">
        <v>75</v>
      </c>
      <c r="Q582" s="342">
        <v>300</v>
      </c>
      <c r="R582" s="343" t="s">
        <v>60</v>
      </c>
      <c r="S582" s="344"/>
      <c r="T582" s="345" t="s">
        <v>115</v>
      </c>
      <c r="U582" s="339" t="s">
        <v>62</v>
      </c>
      <c r="V582" s="339">
        <v>0.6</v>
      </c>
      <c r="W582" s="339">
        <v>0.6</v>
      </c>
      <c r="X582" s="354"/>
      <c r="Y582" s="347" t="s">
        <v>79</v>
      </c>
      <c r="Z582" s="339">
        <v>0.8</v>
      </c>
      <c r="AA582" s="348">
        <v>100000</v>
      </c>
      <c r="AB582" s="348" t="s">
        <v>65</v>
      </c>
      <c r="AC582" s="349">
        <v>0.1</v>
      </c>
      <c r="AD582" s="349">
        <v>0</v>
      </c>
      <c r="AE582" s="535" t="s">
        <v>66</v>
      </c>
      <c r="AF582" s="346">
        <v>40000</v>
      </c>
      <c r="AG582" s="350">
        <v>7</v>
      </c>
      <c r="AH582" s="350">
        <v>6</v>
      </c>
      <c r="AI582" s="350">
        <v>6</v>
      </c>
      <c r="AJ582" s="345">
        <v>15</v>
      </c>
      <c r="AK582" s="352" t="s">
        <v>67</v>
      </c>
      <c r="AL582" s="352" t="s">
        <v>68</v>
      </c>
      <c r="AM582" s="353" t="s">
        <v>69</v>
      </c>
      <c r="AN582" s="353" t="s">
        <v>70</v>
      </c>
      <c r="AO582" s="314">
        <f t="shared" si="1140"/>
        <v>0.576400462962963</v>
      </c>
      <c r="AP582" s="315">
        <f t="shared" si="1141"/>
        <v>556</v>
      </c>
      <c r="AQ582" s="316" t="str">
        <f t="shared" si="1142"/>
        <v>MICRO</v>
      </c>
    </row>
    <row r="583" ht="29.25" customHeight="1" outlineLevel="1" spans="1:43">
      <c r="A583" s="363" t="s">
        <v>385</v>
      </c>
      <c r="B583" s="317">
        <v>0.500011574074074</v>
      </c>
      <c r="C583" s="293" t="str">
        <f t="shared" ref="C583:G583" si="1223">TEXT(IF($B583=0," ",$B583-C$6),"hh:mm am/pm")</f>
        <v>10:00 001/p1</v>
      </c>
      <c r="D583" s="293" t="str">
        <f t="shared" si="1223"/>
        <v>08:00 001/p1</v>
      </c>
      <c r="E583" s="293" t="str">
        <f t="shared" si="1223"/>
        <v>09:00 001/p1</v>
      </c>
      <c r="F583" s="293" t="str">
        <f t="shared" si="1223"/>
        <v>10:00 001/p1</v>
      </c>
      <c r="G583" s="293" t="str">
        <f t="shared" si="1223"/>
        <v>11:00 001/p1</v>
      </c>
      <c r="H583" s="293" t="str">
        <f t="shared" ref="H583:I583" si="1224">TEXT(IF($B583=0," ",$B583+H$6),"hh:mm am/pm")</f>
        <v>18:00 001/p1</v>
      </c>
      <c r="I583" s="293" t="str">
        <f t="shared" si="1224"/>
        <v>23:00 001/p1</v>
      </c>
      <c r="J583" s="294" t="s">
        <v>242</v>
      </c>
      <c r="K583" s="295"/>
      <c r="L583" s="319" t="s">
        <v>155</v>
      </c>
      <c r="M583" s="320" t="s">
        <v>71</v>
      </c>
      <c r="N583" s="321" t="s">
        <v>57</v>
      </c>
      <c r="O583" s="322" t="s">
        <v>74</v>
      </c>
      <c r="P583" s="323" t="s">
        <v>59</v>
      </c>
      <c r="Q583" s="324">
        <v>1600</v>
      </c>
      <c r="R583" s="375" t="s">
        <v>60</v>
      </c>
      <c r="S583" s="326"/>
      <c r="T583" s="327" t="s">
        <v>61</v>
      </c>
      <c r="U583" s="321" t="s">
        <v>62</v>
      </c>
      <c r="V583" s="321">
        <v>15</v>
      </c>
      <c r="W583" s="321">
        <v>15</v>
      </c>
      <c r="X583" s="328"/>
      <c r="Y583" s="329" t="s">
        <v>63</v>
      </c>
      <c r="Z583" s="326"/>
      <c r="AA583" s="330" t="s">
        <v>64</v>
      </c>
      <c r="AB583" s="330" t="s">
        <v>65</v>
      </c>
      <c r="AC583" s="331">
        <v>0.1</v>
      </c>
      <c r="AD583" s="331">
        <v>0.02</v>
      </c>
      <c r="AE583" s="534" t="s">
        <v>88</v>
      </c>
      <c r="AF583" s="332">
        <v>80000</v>
      </c>
      <c r="AG583" s="333">
        <v>12</v>
      </c>
      <c r="AH583" s="333">
        <v>10</v>
      </c>
      <c r="AI583" s="333">
        <v>10</v>
      </c>
      <c r="AJ583" s="327">
        <v>15</v>
      </c>
      <c r="AK583" s="335" t="s">
        <v>67</v>
      </c>
      <c r="AL583" s="335" t="s">
        <v>68</v>
      </c>
      <c r="AM583" s="336" t="s">
        <v>69</v>
      </c>
      <c r="AN583" s="336" t="s">
        <v>70</v>
      </c>
      <c r="AO583" s="314">
        <f t="shared" si="1140"/>
        <v>0.635428240740741</v>
      </c>
      <c r="AP583" s="315">
        <f t="shared" si="1141"/>
        <v>122</v>
      </c>
      <c r="AQ583" s="316" t="str">
        <f t="shared" si="1142"/>
        <v>LOW</v>
      </c>
    </row>
    <row r="584" ht="29.25" customHeight="1" outlineLevel="1" spans="1:43">
      <c r="B584" s="317">
        <v>0.500011574074074</v>
      </c>
      <c r="C584" s="293" t="str">
        <f t="shared" ref="C584:G584" si="1225">TEXT(IF($B584=0," ",$B584-C$6),"hh:mm am/pm")</f>
        <v>10:00 001/p1</v>
      </c>
      <c r="D584" s="293" t="str">
        <f t="shared" si="1225"/>
        <v>08:00 001/p1</v>
      </c>
      <c r="E584" s="293" t="str">
        <f t="shared" si="1225"/>
        <v>09:00 001/p1</v>
      </c>
      <c r="F584" s="293" t="str">
        <f t="shared" si="1225"/>
        <v>10:00 001/p1</v>
      </c>
      <c r="G584" s="293" t="str">
        <f t="shared" si="1225"/>
        <v>11:00 001/p1</v>
      </c>
      <c r="H584" s="293" t="str">
        <f t="shared" ref="H584:I584" si="1226">TEXT(IF($B584=0," ",$B584+H$6),"hh:mm am/pm")</f>
        <v>18:00 001/p1</v>
      </c>
      <c r="I584" s="293" t="str">
        <f t="shared" si="1226"/>
        <v>23:00 001/p1</v>
      </c>
      <c r="J584" s="294" t="s">
        <v>123</v>
      </c>
      <c r="K584" s="295"/>
      <c r="L584" s="337" t="s">
        <v>124</v>
      </c>
      <c r="M584" s="338" t="s">
        <v>71</v>
      </c>
      <c r="N584" s="339" t="s">
        <v>100</v>
      </c>
      <c r="O584" s="340" t="s">
        <v>82</v>
      </c>
      <c r="P584" s="341" t="s">
        <v>101</v>
      </c>
      <c r="Q584" s="342">
        <v>100</v>
      </c>
      <c r="R584" s="343" t="s">
        <v>60</v>
      </c>
      <c r="S584" s="344"/>
      <c r="T584" s="345" t="s">
        <v>61</v>
      </c>
      <c r="U584" s="339" t="s">
        <v>62</v>
      </c>
      <c r="V584" s="339">
        <v>0.6</v>
      </c>
      <c r="W584" s="339">
        <v>0.6</v>
      </c>
      <c r="X584" s="354"/>
      <c r="Y584" s="347" t="s">
        <v>63</v>
      </c>
      <c r="Z584" s="344"/>
      <c r="AA584" s="348" t="s">
        <v>64</v>
      </c>
      <c r="AB584" s="348" t="s">
        <v>65</v>
      </c>
      <c r="AC584" s="349">
        <v>0.1</v>
      </c>
      <c r="AD584" s="349">
        <v>0</v>
      </c>
      <c r="AE584" s="345" t="s">
        <v>66</v>
      </c>
      <c r="AF584" s="346">
        <v>50000</v>
      </c>
      <c r="AG584" s="350">
        <v>8</v>
      </c>
      <c r="AH584" s="350">
        <v>7</v>
      </c>
      <c r="AI584" s="350">
        <v>7</v>
      </c>
      <c r="AJ584" s="345">
        <v>15</v>
      </c>
      <c r="AK584" s="352" t="s">
        <v>67</v>
      </c>
      <c r="AL584" s="352" t="s">
        <v>68</v>
      </c>
      <c r="AM584" s="353" t="s">
        <v>69</v>
      </c>
      <c r="AN584" s="353" t="s">
        <v>70</v>
      </c>
      <c r="AO584" s="314">
        <f t="shared" si="1140"/>
        <v>0.590289351851852</v>
      </c>
      <c r="AP584" s="315">
        <f t="shared" si="1141"/>
        <v>186</v>
      </c>
      <c r="AQ584" s="316" t="str">
        <f t="shared" si="1142"/>
        <v>MICRO</v>
      </c>
    </row>
    <row r="585" ht="29.25" customHeight="1" outlineLevel="1" spans="1:43">
      <c r="A585" s="363" t="s">
        <v>385</v>
      </c>
      <c r="B585" s="317">
        <v>0.520844907407407</v>
      </c>
      <c r="C585" s="293" t="str">
        <f t="shared" ref="C585:G585" si="1227">TEXT(IF($B585=0," ",$B585-C$6),"hh:mm am/pm")</f>
        <v>10:30 001/p1</v>
      </c>
      <c r="D585" s="293" t="str">
        <f t="shared" si="1227"/>
        <v>08:30 001/p1</v>
      </c>
      <c r="E585" s="293" t="str">
        <f t="shared" si="1227"/>
        <v>09:30 001/p1</v>
      </c>
      <c r="F585" s="293" t="str">
        <f t="shared" si="1227"/>
        <v>10:30 001/p1</v>
      </c>
      <c r="G585" s="293" t="str">
        <f t="shared" si="1227"/>
        <v>11:30 001/p1</v>
      </c>
      <c r="H585" s="293" t="str">
        <f t="shared" ref="H585:I585" si="1228">TEXT(IF($B585=0," ",$B585+H$6),"hh:mm am/pm")</f>
        <v>18:30 001/p1</v>
      </c>
      <c r="I585" s="293" t="str">
        <f t="shared" si="1228"/>
        <v>23:30 001/p1</v>
      </c>
      <c r="J585" s="294" t="s">
        <v>156</v>
      </c>
      <c r="K585" s="295"/>
      <c r="L585" s="319" t="s">
        <v>157</v>
      </c>
      <c r="M585" s="320" t="s">
        <v>71</v>
      </c>
      <c r="N585" s="321" t="s">
        <v>100</v>
      </c>
      <c r="O585" s="322" t="s">
        <v>82</v>
      </c>
      <c r="P585" s="323" t="s">
        <v>101</v>
      </c>
      <c r="Q585" s="324">
        <v>2000</v>
      </c>
      <c r="R585" s="375" t="s">
        <v>60</v>
      </c>
      <c r="S585" s="326"/>
      <c r="T585" s="327" t="s">
        <v>92</v>
      </c>
      <c r="U585" s="321" t="s">
        <v>62</v>
      </c>
      <c r="V585" s="321">
        <v>12</v>
      </c>
      <c r="W585" s="321">
        <v>12</v>
      </c>
      <c r="X585" s="328"/>
      <c r="Y585" s="329" t="s">
        <v>63</v>
      </c>
      <c r="Z585" s="326"/>
      <c r="AA585" s="330" t="s">
        <v>64</v>
      </c>
      <c r="AB585" s="330" t="s">
        <v>65</v>
      </c>
      <c r="AC585" s="331">
        <v>0.1</v>
      </c>
      <c r="AD585" s="331">
        <v>0.02</v>
      </c>
      <c r="AE585" s="327" t="s">
        <v>66</v>
      </c>
      <c r="AF585" s="332">
        <v>40000</v>
      </c>
      <c r="AG585" s="333">
        <v>12</v>
      </c>
      <c r="AH585" s="333">
        <v>10</v>
      </c>
      <c r="AI585" s="333">
        <v>10</v>
      </c>
      <c r="AJ585" s="327">
        <v>14</v>
      </c>
      <c r="AK585" s="335" t="s">
        <v>67</v>
      </c>
      <c r="AL585" s="335" t="s">
        <v>68</v>
      </c>
      <c r="AM585" s="336" t="s">
        <v>69</v>
      </c>
      <c r="AN585" s="336" t="s">
        <v>70</v>
      </c>
      <c r="AO585" s="314">
        <f t="shared" si="1140"/>
        <v>0.644456018518519</v>
      </c>
      <c r="AP585" s="315">
        <f t="shared" si="1141"/>
        <v>190</v>
      </c>
      <c r="AQ585" s="316" t="str">
        <f t="shared" si="1142"/>
        <v>LOW</v>
      </c>
    </row>
    <row r="586" ht="29.25" customHeight="1" outlineLevel="1" spans="1:43">
      <c r="B586" s="317">
        <v>0.541678240740741</v>
      </c>
      <c r="C586" s="293" t="str">
        <f t="shared" ref="C586:G586" si="1229">TEXT(IF($B586=0," ",$B586-C$6),"hh:mm am/pm")</f>
        <v>11:00 001/p1</v>
      </c>
      <c r="D586" s="293" t="str">
        <f t="shared" si="1229"/>
        <v>09:00 001/p1</v>
      </c>
      <c r="E586" s="293" t="str">
        <f t="shared" si="1229"/>
        <v>10:00 001/p1</v>
      </c>
      <c r="F586" s="293" t="str">
        <f t="shared" si="1229"/>
        <v>11:00 001/p1</v>
      </c>
      <c r="G586" s="293" t="str">
        <f t="shared" si="1229"/>
        <v>12:00 001/p1</v>
      </c>
      <c r="H586" s="293" t="str">
        <f t="shared" ref="H586:I586" si="1230">TEXT(IF($B586=0," ",$B586+H$6),"hh:mm am/pm")</f>
        <v>19:00 001/p1</v>
      </c>
      <c r="I586" s="293" t="str">
        <f t="shared" si="1230"/>
        <v>00:00 001/p1</v>
      </c>
      <c r="J586" s="294" t="s">
        <v>243</v>
      </c>
      <c r="K586" s="295"/>
      <c r="L586" s="337" t="s">
        <v>126</v>
      </c>
      <c r="M586" s="338" t="s">
        <v>71</v>
      </c>
      <c r="N586" s="339" t="s">
        <v>57</v>
      </c>
      <c r="O586" s="340" t="s">
        <v>144</v>
      </c>
      <c r="P586" s="341" t="s">
        <v>59</v>
      </c>
      <c r="Q586" s="342">
        <v>1600</v>
      </c>
      <c r="R586" s="343" t="s">
        <v>60</v>
      </c>
      <c r="S586" s="344"/>
      <c r="T586" s="345" t="s">
        <v>61</v>
      </c>
      <c r="U586" s="339" t="s">
        <v>62</v>
      </c>
      <c r="V586" s="339">
        <v>5</v>
      </c>
      <c r="W586" s="339">
        <v>5</v>
      </c>
      <c r="X586" s="354"/>
      <c r="Y586" s="347" t="s">
        <v>63</v>
      </c>
      <c r="Z586" s="344"/>
      <c r="AA586" s="348" t="s">
        <v>64</v>
      </c>
      <c r="AB586" s="348" t="s">
        <v>65</v>
      </c>
      <c r="AC586" s="349">
        <v>0.1</v>
      </c>
      <c r="AD586" s="349">
        <v>0.02</v>
      </c>
      <c r="AE586" s="535" t="s">
        <v>88</v>
      </c>
      <c r="AF586" s="346">
        <v>80000</v>
      </c>
      <c r="AG586" s="350">
        <v>10</v>
      </c>
      <c r="AH586" s="350">
        <v>8</v>
      </c>
      <c r="AI586" s="350">
        <v>8</v>
      </c>
      <c r="AJ586" s="345">
        <v>15</v>
      </c>
      <c r="AK586" s="352" t="s">
        <v>67</v>
      </c>
      <c r="AL586" s="352" t="s">
        <v>68</v>
      </c>
      <c r="AM586" s="353" t="s">
        <v>69</v>
      </c>
      <c r="AN586" s="353" t="s">
        <v>70</v>
      </c>
      <c r="AO586" s="314">
        <f t="shared" si="1140"/>
        <v>0.652789351851852</v>
      </c>
      <c r="AP586" s="315">
        <f t="shared" si="1141"/>
        <v>364</v>
      </c>
      <c r="AQ586" s="316" t="str">
        <f t="shared" si="1142"/>
        <v>MICRO</v>
      </c>
    </row>
    <row r="587" ht="29.25" customHeight="1" outlineLevel="1" spans="1:43">
      <c r="B587" s="317">
        <v>0.552094907407407</v>
      </c>
      <c r="C587" s="293" t="str">
        <f t="shared" ref="C587:G587" si="1231">TEXT(IF($B587=0," ",$B587-C$6),"hh:mm am/pm")</f>
        <v>11:15 001/p1</v>
      </c>
      <c r="D587" s="293" t="str">
        <f t="shared" si="1231"/>
        <v>09:15 001/p1</v>
      </c>
      <c r="E587" s="293" t="str">
        <f t="shared" si="1231"/>
        <v>10:15 001/p1</v>
      </c>
      <c r="F587" s="293" t="str">
        <f t="shared" si="1231"/>
        <v>11:15 001/p1</v>
      </c>
      <c r="G587" s="293" t="str">
        <f t="shared" si="1231"/>
        <v>12:15 001/p1</v>
      </c>
      <c r="H587" s="293" t="str">
        <f t="shared" ref="H587:I587" si="1232">TEXT(IF($B587=0," ",$B587+H$6),"hh:mm am/pm")</f>
        <v>19:15 001/p1</v>
      </c>
      <c r="I587" s="293" t="str">
        <f t="shared" si="1232"/>
        <v>00:15 001/p1</v>
      </c>
      <c r="J587" s="294" t="s">
        <v>244</v>
      </c>
      <c r="K587" s="295"/>
      <c r="L587" s="319" t="s">
        <v>160</v>
      </c>
      <c r="M587" s="320" t="s">
        <v>71</v>
      </c>
      <c r="N587" s="321" t="s">
        <v>57</v>
      </c>
      <c r="O587" s="322" t="s">
        <v>74</v>
      </c>
      <c r="P587" s="323" t="s">
        <v>59</v>
      </c>
      <c r="Q587" s="324">
        <v>700</v>
      </c>
      <c r="R587" s="375" t="s">
        <v>60</v>
      </c>
      <c r="S587" s="326"/>
      <c r="T587" s="327" t="s">
        <v>61</v>
      </c>
      <c r="U587" s="321" t="s">
        <v>62</v>
      </c>
      <c r="V587" s="321">
        <v>7</v>
      </c>
      <c r="W587" s="326"/>
      <c r="X587" s="328"/>
      <c r="Y587" s="329" t="s">
        <v>161</v>
      </c>
      <c r="Z587" s="326"/>
      <c r="AA587" s="330" t="s">
        <v>162</v>
      </c>
      <c r="AB587" s="330" t="s">
        <v>65</v>
      </c>
      <c r="AC587" s="331">
        <v>0.1</v>
      </c>
      <c r="AD587" s="331">
        <v>0.02</v>
      </c>
      <c r="AE587" s="327" t="s">
        <v>66</v>
      </c>
      <c r="AF587" s="332">
        <v>40000</v>
      </c>
      <c r="AG587" s="333">
        <v>10</v>
      </c>
      <c r="AH587" s="333">
        <v>10</v>
      </c>
      <c r="AI587" s="333">
        <v>10</v>
      </c>
      <c r="AJ587" s="327">
        <v>14</v>
      </c>
      <c r="AK587" s="335" t="s">
        <v>67</v>
      </c>
      <c r="AL587" s="335" t="s">
        <v>68</v>
      </c>
      <c r="AM587" s="336" t="s">
        <v>69</v>
      </c>
      <c r="AN587" s="336" t="s">
        <v>70</v>
      </c>
      <c r="AO587" s="314">
        <f t="shared" si="1140"/>
        <v>0.656261574074074</v>
      </c>
      <c r="AP587" s="315">
        <f t="shared" si="1141"/>
        <v>114</v>
      </c>
      <c r="AQ587" s="316" t="str">
        <f t="shared" si="1142"/>
        <v>LOW</v>
      </c>
    </row>
    <row r="588" ht="29.25" customHeight="1" outlineLevel="1" spans="1:43">
      <c r="A588" s="363"/>
      <c r="B588" s="317">
        <v>0.583344907407407</v>
      </c>
      <c r="C588" s="293" t="str">
        <f t="shared" ref="C588:G588" si="1233">TEXT(IF($B588=0," ",$B588-C$6),"hh:mm am/pm")</f>
        <v>12:00 001/p1</v>
      </c>
      <c r="D588" s="293" t="str">
        <f t="shared" si="1233"/>
        <v>10:00 001/p1</v>
      </c>
      <c r="E588" s="293" t="str">
        <f t="shared" si="1233"/>
        <v>11:00 001/p1</v>
      </c>
      <c r="F588" s="293" t="str">
        <f t="shared" si="1233"/>
        <v>12:00 001/p1</v>
      </c>
      <c r="G588" s="293" t="str">
        <f t="shared" si="1233"/>
        <v>13:00 001/p1</v>
      </c>
      <c r="H588" s="293" t="str">
        <f t="shared" ref="H588:I588" si="1234">TEXT(IF($B588=0," ",$B588+H$6),"hh:mm am/pm")</f>
        <v>20:00 001/p1</v>
      </c>
      <c r="I588" s="293" t="str">
        <f t="shared" si="1234"/>
        <v>01:00 001/p1</v>
      </c>
      <c r="J588" s="294" t="s">
        <v>164</v>
      </c>
      <c r="K588" s="295"/>
      <c r="L588" s="337" t="s">
        <v>129</v>
      </c>
      <c r="M588" s="338" t="s">
        <v>71</v>
      </c>
      <c r="N588" s="339" t="s">
        <v>165</v>
      </c>
      <c r="O588" s="340" t="s">
        <v>74</v>
      </c>
      <c r="P588" s="341" t="s">
        <v>101</v>
      </c>
      <c r="Q588" s="342">
        <v>200</v>
      </c>
      <c r="R588" s="343" t="s">
        <v>60</v>
      </c>
      <c r="S588" s="344"/>
      <c r="T588" s="345" t="s">
        <v>61</v>
      </c>
      <c r="U588" s="339" t="s">
        <v>62</v>
      </c>
      <c r="V588" s="339">
        <v>2</v>
      </c>
      <c r="W588" s="339">
        <v>2</v>
      </c>
      <c r="X588" s="354"/>
      <c r="Y588" s="347" t="s">
        <v>79</v>
      </c>
      <c r="Z588" s="339">
        <v>2</v>
      </c>
      <c r="AA588" s="348">
        <v>90000</v>
      </c>
      <c r="AB588" s="348" t="s">
        <v>65</v>
      </c>
      <c r="AC588" s="349">
        <v>0.1</v>
      </c>
      <c r="AD588" s="349">
        <v>0</v>
      </c>
      <c r="AE588" s="535" t="s">
        <v>88</v>
      </c>
      <c r="AF588" s="346">
        <v>30000</v>
      </c>
      <c r="AG588" s="350">
        <v>8</v>
      </c>
      <c r="AH588" s="350">
        <v>8</v>
      </c>
      <c r="AI588" s="350">
        <v>8</v>
      </c>
      <c r="AJ588" s="345">
        <v>11</v>
      </c>
      <c r="AK588" s="352" t="s">
        <v>67</v>
      </c>
      <c r="AL588" s="352" t="s">
        <v>68</v>
      </c>
      <c r="AM588" s="353" t="s">
        <v>69</v>
      </c>
      <c r="AN588" s="353" t="s">
        <v>70</v>
      </c>
      <c r="AO588" s="314">
        <f t="shared" si="1140"/>
        <v>0.647928240740741</v>
      </c>
      <c r="AP588" s="315">
        <f t="shared" si="1141"/>
        <v>112</v>
      </c>
      <c r="AQ588" s="316" t="str">
        <f t="shared" si="1142"/>
        <v>MICRO</v>
      </c>
    </row>
    <row r="589" ht="29.25" customHeight="1" outlineLevel="1" spans="1:43">
      <c r="A589" s="363" t="s">
        <v>385</v>
      </c>
      <c r="B589" s="317">
        <v>0.583344907407407</v>
      </c>
      <c r="C589" s="293" t="str">
        <f t="shared" ref="C589:G589" si="1235">TEXT(IF($B589=0," ",$B589-C$6),"hh:mm am/pm")</f>
        <v>12:00 001/p1</v>
      </c>
      <c r="D589" s="293" t="str">
        <f t="shared" si="1235"/>
        <v>10:00 001/p1</v>
      </c>
      <c r="E589" s="293" t="str">
        <f t="shared" si="1235"/>
        <v>11:00 001/p1</v>
      </c>
      <c r="F589" s="293" t="str">
        <f t="shared" si="1235"/>
        <v>12:00 001/p1</v>
      </c>
      <c r="G589" s="293" t="str">
        <f t="shared" si="1235"/>
        <v>13:00 001/p1</v>
      </c>
      <c r="H589" s="293" t="str">
        <f t="shared" ref="H589:I589" si="1236">TEXT(IF($B589=0," ",$B589+H$6),"hh:mm am/pm")</f>
        <v>20:00 001/p1</v>
      </c>
      <c r="I589" s="293" t="str">
        <f t="shared" si="1236"/>
        <v>01:00 001/p1</v>
      </c>
      <c r="J589" s="294" t="s">
        <v>245</v>
      </c>
      <c r="K589" s="295"/>
      <c r="L589" s="319" t="s">
        <v>167</v>
      </c>
      <c r="M589" s="320" t="s">
        <v>71</v>
      </c>
      <c r="N589" s="321" t="s">
        <v>57</v>
      </c>
      <c r="O589" s="322" t="s">
        <v>74</v>
      </c>
      <c r="P589" s="323" t="s">
        <v>75</v>
      </c>
      <c r="Q589" s="324">
        <v>1500</v>
      </c>
      <c r="R589" s="375" t="s">
        <v>60</v>
      </c>
      <c r="S589" s="326"/>
      <c r="T589" s="327" t="s">
        <v>77</v>
      </c>
      <c r="U589" s="321" t="s">
        <v>78</v>
      </c>
      <c r="V589" s="321">
        <v>1</v>
      </c>
      <c r="W589" s="321">
        <v>1</v>
      </c>
      <c r="X589" s="328"/>
      <c r="Y589" s="329" t="s">
        <v>79</v>
      </c>
      <c r="Z589" s="321">
        <v>1</v>
      </c>
      <c r="AA589" s="330">
        <v>120000</v>
      </c>
      <c r="AB589" s="330" t="s">
        <v>65</v>
      </c>
      <c r="AC589" s="331">
        <v>0.1</v>
      </c>
      <c r="AD589" s="331">
        <v>0.02</v>
      </c>
      <c r="AE589" s="330" t="s">
        <v>66</v>
      </c>
      <c r="AF589" s="332">
        <v>40000</v>
      </c>
      <c r="AG589" s="333">
        <v>8</v>
      </c>
      <c r="AH589" s="333">
        <v>7</v>
      </c>
      <c r="AI589" s="333">
        <v>7</v>
      </c>
      <c r="AJ589" s="327">
        <v>15</v>
      </c>
      <c r="AK589" s="335" t="s">
        <v>67</v>
      </c>
      <c r="AL589" s="335" t="s">
        <v>68</v>
      </c>
      <c r="AM589" s="336" t="s">
        <v>69</v>
      </c>
      <c r="AN589" s="336" t="s">
        <v>70</v>
      </c>
      <c r="AO589" s="314">
        <f t="shared" si="1140"/>
        <v>0.673622685185185</v>
      </c>
      <c r="AP589" s="315">
        <f t="shared" si="1141"/>
        <v>1705</v>
      </c>
      <c r="AQ589" s="316" t="str">
        <f t="shared" si="1142"/>
        <v>MICRO</v>
      </c>
    </row>
    <row r="590" ht="29.25" customHeight="1" outlineLevel="1" spans="1:43">
      <c r="B590" s="317">
        <v>0.583344907407407</v>
      </c>
      <c r="C590" s="293" t="str">
        <f t="shared" ref="C590:G590" si="1237">TEXT(IF($B590=0," ",$B590-C$6),"hh:mm am/pm")</f>
        <v>12:00 001/p1</v>
      </c>
      <c r="D590" s="293" t="str">
        <f t="shared" si="1237"/>
        <v>10:00 001/p1</v>
      </c>
      <c r="E590" s="293" t="str">
        <f t="shared" si="1237"/>
        <v>11:00 001/p1</v>
      </c>
      <c r="F590" s="293" t="str">
        <f t="shared" si="1237"/>
        <v>12:00 001/p1</v>
      </c>
      <c r="G590" s="293" t="str">
        <f t="shared" si="1237"/>
        <v>13:00 001/p1</v>
      </c>
      <c r="H590" s="293" t="str">
        <f t="shared" ref="H590:I590" si="1238">TEXT(IF($B590=0," ",$B590+H$6),"hh:mm am/pm")</f>
        <v>20:00 001/p1</v>
      </c>
      <c r="I590" s="293" t="str">
        <f t="shared" si="1238"/>
        <v>01:00 001/p1</v>
      </c>
      <c r="J590" s="294" t="s">
        <v>149</v>
      </c>
      <c r="K590" s="295"/>
      <c r="L590" s="337" t="s">
        <v>149</v>
      </c>
      <c r="M590" s="338" t="s">
        <v>71</v>
      </c>
      <c r="N590" s="339" t="s">
        <v>57</v>
      </c>
      <c r="O590" s="340" t="s">
        <v>74</v>
      </c>
      <c r="P590" s="341" t="s">
        <v>75</v>
      </c>
      <c r="Q590" s="342">
        <v>40</v>
      </c>
      <c r="R590" s="343" t="s">
        <v>60</v>
      </c>
      <c r="S590" s="344"/>
      <c r="T590" s="345" t="s">
        <v>61</v>
      </c>
      <c r="U590" s="339" t="s">
        <v>62</v>
      </c>
      <c r="V590" s="339">
        <v>0.6</v>
      </c>
      <c r="W590" s="339">
        <v>0.6</v>
      </c>
      <c r="X590" s="354"/>
      <c r="Y590" s="347" t="s">
        <v>63</v>
      </c>
      <c r="Z590" s="339">
        <v>0.6</v>
      </c>
      <c r="AA590" s="348">
        <v>30000</v>
      </c>
      <c r="AB590" s="348" t="s">
        <v>65</v>
      </c>
      <c r="AC590" s="349">
        <v>0.1</v>
      </c>
      <c r="AD590" s="349">
        <v>0</v>
      </c>
      <c r="AE590" s="535" t="s">
        <v>112</v>
      </c>
      <c r="AF590" s="346">
        <v>20000</v>
      </c>
      <c r="AG590" s="350">
        <v>5</v>
      </c>
      <c r="AH590" s="350">
        <v>5</v>
      </c>
      <c r="AI590" s="350">
        <v>5</v>
      </c>
      <c r="AJ590" s="345">
        <v>15</v>
      </c>
      <c r="AK590" s="352" t="s">
        <v>150</v>
      </c>
      <c r="AL590" s="352" t="s">
        <v>68</v>
      </c>
      <c r="AM590" s="353" t="s">
        <v>69</v>
      </c>
      <c r="AN590" s="353" t="s">
        <v>70</v>
      </c>
      <c r="AO590" s="314">
        <f t="shared" si="1140"/>
        <v>0.638900462962963</v>
      </c>
      <c r="AP590" s="315">
        <f t="shared" si="1141"/>
        <v>75</v>
      </c>
      <c r="AQ590" s="316" t="str">
        <f t="shared" si="1142"/>
        <v>MICRO</v>
      </c>
    </row>
    <row r="591" ht="29.25" customHeight="1" outlineLevel="1" spans="1:43">
      <c r="B591" s="317">
        <v>0.625011574074074</v>
      </c>
      <c r="C591" s="293" t="str">
        <f t="shared" ref="C591:G591" si="1239">TEXT(IF($B591=0," ",$B591-C$6),"hh:mm am/pm")</f>
        <v>13:00 001/p1</v>
      </c>
      <c r="D591" s="293" t="str">
        <f t="shared" si="1239"/>
        <v>11:00 001/p1</v>
      </c>
      <c r="E591" s="293" t="str">
        <f t="shared" si="1239"/>
        <v>12:00 001/p1</v>
      </c>
      <c r="F591" s="293" t="str">
        <f t="shared" si="1239"/>
        <v>13:00 001/p1</v>
      </c>
      <c r="G591" s="293" t="str">
        <f t="shared" si="1239"/>
        <v>14:00 001/p1</v>
      </c>
      <c r="H591" s="293" t="str">
        <f t="shared" ref="H591:I591" si="1240">TEXT(IF($B591=0," ",$B591+H$6),"hh:mm am/pm")</f>
        <v>21:00 001/p1</v>
      </c>
      <c r="I591" s="293" t="str">
        <f t="shared" si="1240"/>
        <v>02:00 001/p1</v>
      </c>
      <c r="J591" s="294" t="s">
        <v>123</v>
      </c>
      <c r="K591" s="295"/>
      <c r="L591" s="319" t="s">
        <v>124</v>
      </c>
      <c r="M591" s="320" t="s">
        <v>71</v>
      </c>
      <c r="N591" s="321" t="s">
        <v>122</v>
      </c>
      <c r="O591" s="322" t="s">
        <v>82</v>
      </c>
      <c r="P591" s="323" t="s">
        <v>59</v>
      </c>
      <c r="Q591" s="324">
        <v>100</v>
      </c>
      <c r="R591" s="375" t="s">
        <v>60</v>
      </c>
      <c r="S591" s="326"/>
      <c r="T591" s="327" t="s">
        <v>61</v>
      </c>
      <c r="U591" s="321" t="s">
        <v>62</v>
      </c>
      <c r="V591" s="321">
        <v>0.6</v>
      </c>
      <c r="W591" s="321">
        <v>0.6</v>
      </c>
      <c r="X591" s="328"/>
      <c r="Y591" s="329" t="s">
        <v>63</v>
      </c>
      <c r="Z591" s="326"/>
      <c r="AA591" s="330" t="s">
        <v>64</v>
      </c>
      <c r="AB591" s="330" t="s">
        <v>65</v>
      </c>
      <c r="AC591" s="331">
        <v>0.1</v>
      </c>
      <c r="AD591" s="331">
        <v>0</v>
      </c>
      <c r="AE591" s="534" t="s">
        <v>66</v>
      </c>
      <c r="AF591" s="332">
        <v>50000</v>
      </c>
      <c r="AG591" s="333">
        <v>8</v>
      </c>
      <c r="AH591" s="333">
        <v>7</v>
      </c>
      <c r="AI591" s="333">
        <v>7</v>
      </c>
      <c r="AJ591" s="327">
        <v>15</v>
      </c>
      <c r="AK591" s="335" t="s">
        <v>67</v>
      </c>
      <c r="AL591" s="335" t="s">
        <v>68</v>
      </c>
      <c r="AM591" s="336" t="s">
        <v>69</v>
      </c>
      <c r="AN591" s="336" t="s">
        <v>70</v>
      </c>
      <c r="AO591" s="314">
        <f t="shared" si="1140"/>
        <v>0.715289351851852</v>
      </c>
      <c r="AP591" s="315">
        <f t="shared" si="1141"/>
        <v>186</v>
      </c>
      <c r="AQ591" s="316" t="str">
        <f t="shared" si="1142"/>
        <v>MICRO</v>
      </c>
    </row>
    <row r="592" ht="29.25" customHeight="1" outlineLevel="1" spans="1:43">
      <c r="A592" s="363" t="s">
        <v>385</v>
      </c>
      <c r="B592" s="317">
        <v>0.625011574074074</v>
      </c>
      <c r="C592" s="293" t="str">
        <f t="shared" ref="C592:G592" si="1241">TEXT(IF($B592=0," ",$B592-C$6),"hh:mm am/pm")</f>
        <v>13:00 001/p1</v>
      </c>
      <c r="D592" s="293" t="str">
        <f t="shared" si="1241"/>
        <v>11:00 001/p1</v>
      </c>
      <c r="E592" s="293" t="str">
        <f t="shared" si="1241"/>
        <v>12:00 001/p1</v>
      </c>
      <c r="F592" s="293" t="str">
        <f t="shared" si="1241"/>
        <v>13:00 001/p1</v>
      </c>
      <c r="G592" s="293" t="str">
        <f t="shared" si="1241"/>
        <v>14:00 001/p1</v>
      </c>
      <c r="H592" s="293" t="str">
        <f t="shared" ref="H592:I592" si="1242">TEXT(IF($B592=0," ",$B592+H$6),"hh:mm am/pm")</f>
        <v>21:00 001/p1</v>
      </c>
      <c r="I592" s="293" t="str">
        <f t="shared" si="1242"/>
        <v>02:00 001/p1</v>
      </c>
      <c r="J592" s="294" t="s">
        <v>252</v>
      </c>
      <c r="K592" s="295"/>
      <c r="L592" s="337" t="s">
        <v>121</v>
      </c>
      <c r="M592" s="338" t="s">
        <v>71</v>
      </c>
      <c r="N592" s="339" t="s">
        <v>100</v>
      </c>
      <c r="O592" s="340" t="s">
        <v>109</v>
      </c>
      <c r="P592" s="341" t="s">
        <v>101</v>
      </c>
      <c r="Q592" s="342">
        <v>400</v>
      </c>
      <c r="R592" s="343" t="s">
        <v>60</v>
      </c>
      <c r="S592" s="344"/>
      <c r="T592" s="345" t="s">
        <v>61</v>
      </c>
      <c r="U592" s="339" t="s">
        <v>62</v>
      </c>
      <c r="V592" s="339">
        <v>4</v>
      </c>
      <c r="W592" s="339">
        <v>4</v>
      </c>
      <c r="X592" s="354"/>
      <c r="Y592" s="347" t="s">
        <v>63</v>
      </c>
      <c r="Z592" s="344"/>
      <c r="AA592" s="348" t="s">
        <v>64</v>
      </c>
      <c r="AB592" s="348" t="s">
        <v>65</v>
      </c>
      <c r="AC592" s="349">
        <v>0.1</v>
      </c>
      <c r="AD592" s="349">
        <v>0.02</v>
      </c>
      <c r="AE592" s="535" t="s">
        <v>66</v>
      </c>
      <c r="AF592" s="346">
        <v>40000</v>
      </c>
      <c r="AG592" s="350">
        <v>10</v>
      </c>
      <c r="AH592" s="350">
        <v>8</v>
      </c>
      <c r="AI592" s="350">
        <v>8</v>
      </c>
      <c r="AJ592" s="345">
        <v>14</v>
      </c>
      <c r="AK592" s="352" t="s">
        <v>67</v>
      </c>
      <c r="AL592" s="352" t="s">
        <v>68</v>
      </c>
      <c r="AM592" s="353" t="s">
        <v>69</v>
      </c>
      <c r="AN592" s="353" t="s">
        <v>70</v>
      </c>
      <c r="AO592" s="314">
        <f t="shared" si="1140"/>
        <v>0.729178240740741</v>
      </c>
      <c r="AP592" s="315">
        <f t="shared" si="1141"/>
        <v>114</v>
      </c>
      <c r="AQ592" s="316" t="str">
        <f t="shared" si="1142"/>
        <v>MICRO</v>
      </c>
    </row>
    <row r="593" ht="29.25" customHeight="1" outlineLevel="1" spans="1:43">
      <c r="B593" s="317">
        <v>0.645844907407407</v>
      </c>
      <c r="C593" s="293" t="str">
        <f t="shared" ref="C593:G593" si="1243">TEXT(IF($B593=0," ",$B593-C$6),"hh:mm am/pm")</f>
        <v>13:30 001/p1</v>
      </c>
      <c r="D593" s="293" t="str">
        <f t="shared" si="1243"/>
        <v>11:30 001/p1</v>
      </c>
      <c r="E593" s="293" t="str">
        <f t="shared" si="1243"/>
        <v>12:30 001/p1</v>
      </c>
      <c r="F593" s="293" t="str">
        <f t="shared" si="1243"/>
        <v>13:30 001/p1</v>
      </c>
      <c r="G593" s="293" t="str">
        <f t="shared" si="1243"/>
        <v>14:30 001/p1</v>
      </c>
      <c r="H593" s="293" t="str">
        <f t="shared" ref="H593:I593" si="1244">TEXT(IF($B593=0," ",$B593+H$6),"hh:mm am/pm")</f>
        <v>21:30 001/p1</v>
      </c>
      <c r="I593" s="293" t="str">
        <f t="shared" si="1244"/>
        <v>02:30 001/p1</v>
      </c>
      <c r="J593" s="537" t="s">
        <v>156</v>
      </c>
      <c r="K593" s="295"/>
      <c r="L593" s="319" t="s">
        <v>157</v>
      </c>
      <c r="M593" s="320" t="s">
        <v>71</v>
      </c>
      <c r="N593" s="321" t="s">
        <v>165</v>
      </c>
      <c r="O593" s="322" t="s">
        <v>82</v>
      </c>
      <c r="P593" s="323" t="s">
        <v>101</v>
      </c>
      <c r="Q593" s="324">
        <v>2000</v>
      </c>
      <c r="R593" s="375" t="s">
        <v>60</v>
      </c>
      <c r="S593" s="326"/>
      <c r="T593" s="327" t="s">
        <v>92</v>
      </c>
      <c r="U593" s="321" t="s">
        <v>62</v>
      </c>
      <c r="V593" s="321">
        <v>30</v>
      </c>
      <c r="W593" s="321">
        <v>30</v>
      </c>
      <c r="X593" s="328"/>
      <c r="Y593" s="329" t="s">
        <v>63</v>
      </c>
      <c r="Z593" s="326"/>
      <c r="AA593" s="330" t="s">
        <v>64</v>
      </c>
      <c r="AB593" s="330" t="s">
        <v>65</v>
      </c>
      <c r="AC593" s="331">
        <v>0.1</v>
      </c>
      <c r="AD593" s="331">
        <v>0.02</v>
      </c>
      <c r="AE593" s="534" t="s">
        <v>66</v>
      </c>
      <c r="AF593" s="332">
        <v>40000</v>
      </c>
      <c r="AG593" s="333">
        <v>10</v>
      </c>
      <c r="AH593" s="333">
        <v>10</v>
      </c>
      <c r="AI593" s="333">
        <v>10</v>
      </c>
      <c r="AJ593" s="327">
        <v>14</v>
      </c>
      <c r="AK593" s="335" t="s">
        <v>67</v>
      </c>
      <c r="AL593" s="335" t="s">
        <v>68</v>
      </c>
      <c r="AM593" s="336" t="s">
        <v>69</v>
      </c>
      <c r="AN593" s="336" t="s">
        <v>70</v>
      </c>
      <c r="AO593" s="314">
        <f t="shared" si="1140"/>
        <v>0.750011574074074</v>
      </c>
      <c r="AP593" s="315">
        <f t="shared" si="1141"/>
        <v>76</v>
      </c>
      <c r="AQ593" s="316" t="str">
        <f t="shared" si="1142"/>
        <v>MEDIUM</v>
      </c>
    </row>
    <row r="594" ht="29.25" customHeight="1" outlineLevel="1" spans="1:43">
      <c r="A594" s="363" t="s">
        <v>385</v>
      </c>
      <c r="B594" s="317">
        <v>0.666678240740741</v>
      </c>
      <c r="C594" s="293" t="str">
        <f t="shared" ref="C594:G594" si="1245">TEXT(IF($B594=0," ",$B594-C$6),"hh:mm am/pm")</f>
        <v>14:00 001/p1</v>
      </c>
      <c r="D594" s="293" t="str">
        <f t="shared" si="1245"/>
        <v>12:00 001/p1</v>
      </c>
      <c r="E594" s="293" t="str">
        <f t="shared" si="1245"/>
        <v>13:00 001/p1</v>
      </c>
      <c r="F594" s="293" t="str">
        <f t="shared" si="1245"/>
        <v>14:00 001/p1</v>
      </c>
      <c r="G594" s="293" t="str">
        <f t="shared" si="1245"/>
        <v>15:00 001/p1</v>
      </c>
      <c r="H594" s="293" t="str">
        <f t="shared" ref="H594:I594" si="1246">TEXT(IF($B594=0," ",$B594+H$6),"hh:mm am/pm")</f>
        <v>22:00 001/p1</v>
      </c>
      <c r="I594" s="293" t="str">
        <f t="shared" si="1246"/>
        <v>03:00 001/p1</v>
      </c>
      <c r="J594" s="294" t="s">
        <v>137</v>
      </c>
      <c r="K594" s="295"/>
      <c r="L594" s="337" t="s">
        <v>129</v>
      </c>
      <c r="M594" s="338" t="s">
        <v>71</v>
      </c>
      <c r="N594" s="339" t="s">
        <v>122</v>
      </c>
      <c r="O594" s="340" t="s">
        <v>74</v>
      </c>
      <c r="P594" s="341" t="s">
        <v>101</v>
      </c>
      <c r="Q594" s="342">
        <v>100</v>
      </c>
      <c r="R594" s="343" t="s">
        <v>60</v>
      </c>
      <c r="S594" s="344"/>
      <c r="T594" s="345" t="s">
        <v>61</v>
      </c>
      <c r="U594" s="339" t="s">
        <v>62</v>
      </c>
      <c r="V594" s="339">
        <v>0.8</v>
      </c>
      <c r="W594" s="339">
        <v>0.8</v>
      </c>
      <c r="X594" s="354"/>
      <c r="Y594" s="347" t="s">
        <v>79</v>
      </c>
      <c r="Z594" s="339">
        <v>0.8</v>
      </c>
      <c r="AA594" s="348">
        <v>100000</v>
      </c>
      <c r="AB594" s="348" t="s">
        <v>65</v>
      </c>
      <c r="AC594" s="349">
        <v>0.1</v>
      </c>
      <c r="AD594" s="349">
        <v>0</v>
      </c>
      <c r="AE594" s="535" t="s">
        <v>88</v>
      </c>
      <c r="AF594" s="346">
        <v>40000</v>
      </c>
      <c r="AG594" s="350">
        <v>8</v>
      </c>
      <c r="AH594" s="350">
        <v>7</v>
      </c>
      <c r="AI594" s="350">
        <v>7</v>
      </c>
      <c r="AJ594" s="345">
        <v>12</v>
      </c>
      <c r="AK594" s="352" t="s">
        <v>67</v>
      </c>
      <c r="AL594" s="352" t="s">
        <v>68</v>
      </c>
      <c r="AM594" s="353" t="s">
        <v>69</v>
      </c>
      <c r="AN594" s="353" t="s">
        <v>70</v>
      </c>
      <c r="AO594" s="314">
        <f t="shared" si="1140"/>
        <v>0.73681712962963</v>
      </c>
      <c r="AP594" s="315">
        <f t="shared" si="1141"/>
        <v>139</v>
      </c>
      <c r="AQ594" s="316" t="str">
        <f t="shared" si="1142"/>
        <v>MICRO</v>
      </c>
    </row>
    <row r="595" ht="29.25" customHeight="1" outlineLevel="1" spans="1:43">
      <c r="B595" s="317">
        <v>0.666678240740741</v>
      </c>
      <c r="C595" s="293" t="str">
        <f t="shared" ref="C595:G595" si="1247">TEXT(IF($B595=0," ",$B595-C$6),"hh:mm am/pm")</f>
        <v>14:00 001/p1</v>
      </c>
      <c r="D595" s="293" t="str">
        <f t="shared" si="1247"/>
        <v>12:00 001/p1</v>
      </c>
      <c r="E595" s="293" t="str">
        <f t="shared" si="1247"/>
        <v>13:00 001/p1</v>
      </c>
      <c r="F595" s="293" t="str">
        <f t="shared" si="1247"/>
        <v>14:00 001/p1</v>
      </c>
      <c r="G595" s="293" t="str">
        <f t="shared" si="1247"/>
        <v>15:00 001/p1</v>
      </c>
      <c r="H595" s="293" t="str">
        <f t="shared" ref="H595:I595" si="1248">TEXT(IF($B595=0," ",$B595+H$6),"hh:mm am/pm")</f>
        <v>22:00 001/p1</v>
      </c>
      <c r="I595" s="293" t="str">
        <f t="shared" si="1248"/>
        <v>03:00 001/p1</v>
      </c>
      <c r="J595" s="294" t="s">
        <v>134</v>
      </c>
      <c r="K595" s="295"/>
      <c r="L595" s="319" t="s">
        <v>114</v>
      </c>
      <c r="M595" s="320" t="s">
        <v>71</v>
      </c>
      <c r="N595" s="321" t="s">
        <v>57</v>
      </c>
      <c r="O595" s="322" t="s">
        <v>74</v>
      </c>
      <c r="P595" s="323" t="s">
        <v>75</v>
      </c>
      <c r="Q595" s="324">
        <v>200</v>
      </c>
      <c r="R595" s="375" t="s">
        <v>60</v>
      </c>
      <c r="S595" s="326"/>
      <c r="T595" s="327" t="s">
        <v>115</v>
      </c>
      <c r="U595" s="321" t="s">
        <v>62</v>
      </c>
      <c r="V595" s="321">
        <v>0.4</v>
      </c>
      <c r="W595" s="321">
        <v>0.4</v>
      </c>
      <c r="X595" s="328"/>
      <c r="Y595" s="329" t="s">
        <v>79</v>
      </c>
      <c r="Z595" s="321">
        <v>0.6</v>
      </c>
      <c r="AA595" s="330">
        <v>60000</v>
      </c>
      <c r="AB595" s="330" t="s">
        <v>65</v>
      </c>
      <c r="AC595" s="331">
        <v>0.1</v>
      </c>
      <c r="AD595" s="331">
        <v>0</v>
      </c>
      <c r="AE595" s="327" t="s">
        <v>66</v>
      </c>
      <c r="AF595" s="332">
        <v>20000</v>
      </c>
      <c r="AG595" s="333">
        <v>8</v>
      </c>
      <c r="AH595" s="333">
        <v>7</v>
      </c>
      <c r="AI595" s="333">
        <v>7</v>
      </c>
      <c r="AJ595" s="327">
        <v>12</v>
      </c>
      <c r="AK595" s="335" t="s">
        <v>67</v>
      </c>
      <c r="AL595" s="335" t="s">
        <v>68</v>
      </c>
      <c r="AM595" s="336" t="s">
        <v>69</v>
      </c>
      <c r="AN595" s="336" t="s">
        <v>70</v>
      </c>
      <c r="AO595" s="314">
        <f t="shared" si="1140"/>
        <v>0.73681712962963</v>
      </c>
      <c r="AP595" s="315">
        <f t="shared" si="1141"/>
        <v>556</v>
      </c>
      <c r="AQ595" s="316" t="str">
        <f t="shared" si="1142"/>
        <v>MICRO</v>
      </c>
    </row>
    <row r="596" ht="29.25" customHeight="1" outlineLevel="1" spans="1:43">
      <c r="B596" s="317">
        <v>0.666678240740741</v>
      </c>
      <c r="C596" s="293" t="str">
        <f t="shared" ref="C596:G596" si="1249">TEXT(IF($B596=0," ",$B596-C$6),"hh:mm am/pm")</f>
        <v>14:00 001/p1</v>
      </c>
      <c r="D596" s="293" t="str">
        <f t="shared" si="1249"/>
        <v>12:00 001/p1</v>
      </c>
      <c r="E596" s="293" t="str">
        <f t="shared" si="1249"/>
        <v>13:00 001/p1</v>
      </c>
      <c r="F596" s="293" t="str">
        <f t="shared" si="1249"/>
        <v>14:00 001/p1</v>
      </c>
      <c r="G596" s="293" t="str">
        <f t="shared" si="1249"/>
        <v>15:00 001/p1</v>
      </c>
      <c r="H596" s="293" t="str">
        <f t="shared" ref="H596:I596" si="1250">TEXT(IF($B596=0," ",$B596+H$6),"hh:mm am/pm")</f>
        <v>22:00 001/p1</v>
      </c>
      <c r="I596" s="293" t="str">
        <f t="shared" si="1250"/>
        <v>03:00 001/p1</v>
      </c>
      <c r="J596" s="294" t="s">
        <v>394</v>
      </c>
      <c r="K596" s="295"/>
      <c r="L596" s="337" t="s">
        <v>395</v>
      </c>
      <c r="M596" s="338" t="s">
        <v>71</v>
      </c>
      <c r="N596" s="339" t="s">
        <v>57</v>
      </c>
      <c r="O596" s="340" t="s">
        <v>82</v>
      </c>
      <c r="P596" s="341" t="s">
        <v>75</v>
      </c>
      <c r="Q596" s="342">
        <v>200</v>
      </c>
      <c r="R596" s="343" t="s">
        <v>60</v>
      </c>
      <c r="S596" s="344"/>
      <c r="T596" s="345" t="s">
        <v>61</v>
      </c>
      <c r="U596" s="339" t="s">
        <v>62</v>
      </c>
      <c r="V596" s="339">
        <v>1</v>
      </c>
      <c r="W596" s="339">
        <v>1</v>
      </c>
      <c r="X596" s="354"/>
      <c r="Y596" s="347" t="s">
        <v>63</v>
      </c>
      <c r="Z596" s="344"/>
      <c r="AA596" s="348" t="s">
        <v>64</v>
      </c>
      <c r="AB596" s="348" t="s">
        <v>65</v>
      </c>
      <c r="AC596" s="349">
        <v>0.1</v>
      </c>
      <c r="AD596" s="349">
        <v>0</v>
      </c>
      <c r="AE596" s="535" t="s">
        <v>66</v>
      </c>
      <c r="AF596" s="346">
        <v>50000</v>
      </c>
      <c r="AG596" s="350">
        <v>8</v>
      </c>
      <c r="AH596" s="350">
        <v>7</v>
      </c>
      <c r="AI596" s="350">
        <v>7</v>
      </c>
      <c r="AJ596" s="345">
        <v>15</v>
      </c>
      <c r="AK596" s="352" t="s">
        <v>67</v>
      </c>
      <c r="AL596" s="352" t="s">
        <v>68</v>
      </c>
      <c r="AM596" s="353" t="s">
        <v>69</v>
      </c>
      <c r="AN596" s="353" t="s">
        <v>70</v>
      </c>
      <c r="AO596" s="314">
        <f t="shared" si="1140"/>
        <v>0.756956018518519</v>
      </c>
      <c r="AP596" s="315">
        <f t="shared" si="1141"/>
        <v>223</v>
      </c>
      <c r="AQ596" s="316" t="str">
        <f t="shared" si="1142"/>
        <v>MICRO</v>
      </c>
    </row>
    <row r="597" ht="29.25" customHeight="1" outlineLevel="1" spans="1:43">
      <c r="A597" s="363" t="s">
        <v>385</v>
      </c>
      <c r="B597" s="364">
        <v>0.687511574074074</v>
      </c>
      <c r="C597" s="293" t="str">
        <f t="shared" ref="C597:G597" si="1251">TEXT(IF($B597=0," ",$B597-C$6),"hh:mm am/pm")</f>
        <v>14:30 001/p1</v>
      </c>
      <c r="D597" s="293" t="str">
        <f t="shared" si="1251"/>
        <v>12:30 001/p1</v>
      </c>
      <c r="E597" s="293" t="str">
        <f t="shared" si="1251"/>
        <v>13:30 001/p1</v>
      </c>
      <c r="F597" s="293" t="str">
        <f t="shared" si="1251"/>
        <v>14:30 001/p1</v>
      </c>
      <c r="G597" s="293" t="str">
        <f t="shared" si="1251"/>
        <v>15:30 001/p1</v>
      </c>
      <c r="H597" s="293" t="str">
        <f t="shared" ref="H597:I597" si="1252">TEXT(IF($B597=0," ",$B597+H$6),"hh:mm am/pm")</f>
        <v>22:30 001/p1</v>
      </c>
      <c r="I597" s="293" t="str">
        <f t="shared" si="1252"/>
        <v>03:30 001/p1</v>
      </c>
      <c r="J597" s="294" t="s">
        <v>244</v>
      </c>
      <c r="K597" s="295"/>
      <c r="L597" s="319" t="s">
        <v>160</v>
      </c>
      <c r="M597" s="320" t="s">
        <v>71</v>
      </c>
      <c r="N597" s="321" t="s">
        <v>57</v>
      </c>
      <c r="O597" s="322" t="s">
        <v>74</v>
      </c>
      <c r="P597" s="323" t="s">
        <v>59</v>
      </c>
      <c r="Q597" s="324">
        <v>700</v>
      </c>
      <c r="R597" s="375" t="s">
        <v>60</v>
      </c>
      <c r="S597" s="326"/>
      <c r="T597" s="327" t="s">
        <v>61</v>
      </c>
      <c r="U597" s="321" t="s">
        <v>62</v>
      </c>
      <c r="V597" s="321">
        <v>7</v>
      </c>
      <c r="W597" s="326"/>
      <c r="X597" s="328"/>
      <c r="Y597" s="329" t="s">
        <v>161</v>
      </c>
      <c r="Z597" s="326"/>
      <c r="AA597" s="330" t="s">
        <v>162</v>
      </c>
      <c r="AB597" s="330" t="s">
        <v>65</v>
      </c>
      <c r="AC597" s="331">
        <v>0.1</v>
      </c>
      <c r="AD597" s="331">
        <v>0.02</v>
      </c>
      <c r="AE597" s="327" t="s">
        <v>66</v>
      </c>
      <c r="AF597" s="332">
        <v>40000</v>
      </c>
      <c r="AG597" s="333">
        <v>10</v>
      </c>
      <c r="AH597" s="333">
        <v>10</v>
      </c>
      <c r="AI597" s="333">
        <v>10</v>
      </c>
      <c r="AJ597" s="327">
        <v>14</v>
      </c>
      <c r="AK597" s="335" t="s">
        <v>67</v>
      </c>
      <c r="AL597" s="335" t="s">
        <v>68</v>
      </c>
      <c r="AM597" s="336" t="s">
        <v>69</v>
      </c>
      <c r="AN597" s="336" t="s">
        <v>70</v>
      </c>
      <c r="AO597" s="314">
        <f t="shared" si="1140"/>
        <v>0.791678240740741</v>
      </c>
      <c r="AP597" s="315">
        <f t="shared" si="1141"/>
        <v>114</v>
      </c>
      <c r="AQ597" s="316" t="str">
        <f t="shared" si="1142"/>
        <v>LOW</v>
      </c>
    </row>
    <row r="598" ht="29.25" customHeight="1" outlineLevel="1" spans="1:43">
      <c r="B598" s="364">
        <v>0.708344907407407</v>
      </c>
      <c r="C598" s="293" t="str">
        <f t="shared" ref="C598:G598" si="1253">TEXT(IF($B598=0," ",$B598-C$6),"hh:mm am/pm")</f>
        <v>15:00 001/p1</v>
      </c>
      <c r="D598" s="293" t="str">
        <f t="shared" si="1253"/>
        <v>13:00 001/p1</v>
      </c>
      <c r="E598" s="293" t="str">
        <f t="shared" si="1253"/>
        <v>14:00 001/p1</v>
      </c>
      <c r="F598" s="293" t="str">
        <f t="shared" si="1253"/>
        <v>15:00 001/p1</v>
      </c>
      <c r="G598" s="293" t="str">
        <f t="shared" si="1253"/>
        <v>16:00 001/p1</v>
      </c>
      <c r="H598" s="293" t="str">
        <f t="shared" ref="H598:I598" si="1254">TEXT(IF($B598=0," ",$B598+H$6),"hh:mm am/pm")</f>
        <v>23:00 001/p1</v>
      </c>
      <c r="I598" s="293" t="str">
        <f t="shared" si="1254"/>
        <v>04:00 001/p1</v>
      </c>
      <c r="J598" s="294" t="s">
        <v>396</v>
      </c>
      <c r="K598" s="295"/>
      <c r="L598" s="337" t="s">
        <v>174</v>
      </c>
      <c r="M598" s="338" t="s">
        <v>71</v>
      </c>
      <c r="N598" s="339" t="s">
        <v>57</v>
      </c>
      <c r="O598" s="340" t="s">
        <v>82</v>
      </c>
      <c r="P598" s="341" t="s">
        <v>75</v>
      </c>
      <c r="Q598" s="342">
        <v>2500</v>
      </c>
      <c r="R598" s="343" t="s">
        <v>60</v>
      </c>
      <c r="S598" s="344"/>
      <c r="T598" s="345" t="s">
        <v>92</v>
      </c>
      <c r="U598" s="339" t="s">
        <v>62</v>
      </c>
      <c r="V598" s="339">
        <v>5</v>
      </c>
      <c r="W598" s="339">
        <v>5</v>
      </c>
      <c r="X598" s="354"/>
      <c r="Y598" s="347" t="s">
        <v>63</v>
      </c>
      <c r="Z598" s="344"/>
      <c r="AA598" s="348" t="s">
        <v>64</v>
      </c>
      <c r="AB598" s="348" t="s">
        <v>65</v>
      </c>
      <c r="AC598" s="349">
        <v>0.1</v>
      </c>
      <c r="AD598" s="349">
        <v>0.02</v>
      </c>
      <c r="AE598" s="345" t="s">
        <v>88</v>
      </c>
      <c r="AF598" s="346">
        <v>80000</v>
      </c>
      <c r="AG598" s="350">
        <v>12</v>
      </c>
      <c r="AH598" s="350">
        <v>10</v>
      </c>
      <c r="AI598" s="350">
        <v>10</v>
      </c>
      <c r="AJ598" s="345">
        <v>15</v>
      </c>
      <c r="AK598" s="352" t="s">
        <v>67</v>
      </c>
      <c r="AL598" s="352" t="s">
        <v>68</v>
      </c>
      <c r="AM598" s="353" t="s">
        <v>69</v>
      </c>
      <c r="AN598" s="353" t="s">
        <v>70</v>
      </c>
      <c r="AO598" s="314">
        <f t="shared" si="1140"/>
        <v>0.843761574074074</v>
      </c>
      <c r="AP598" s="315">
        <f t="shared" si="1141"/>
        <v>569</v>
      </c>
      <c r="AQ598" s="316" t="str">
        <f t="shared" si="1142"/>
        <v>MICRO</v>
      </c>
    </row>
    <row r="599" ht="29.25" customHeight="1" outlineLevel="1" spans="1:43">
      <c r="B599" s="364">
        <v>0.708344907407407</v>
      </c>
      <c r="C599" s="293" t="str">
        <f t="shared" ref="C599:G599" si="1255">TEXT(IF($B599=0," ",$B599-C$6),"hh:mm am/pm")</f>
        <v>15:00 001/p1</v>
      </c>
      <c r="D599" s="293" t="str">
        <f t="shared" si="1255"/>
        <v>13:00 001/p1</v>
      </c>
      <c r="E599" s="293" t="str">
        <f t="shared" si="1255"/>
        <v>14:00 001/p1</v>
      </c>
      <c r="F599" s="293" t="str">
        <f t="shared" si="1255"/>
        <v>15:00 001/p1</v>
      </c>
      <c r="G599" s="293" t="str">
        <f t="shared" si="1255"/>
        <v>16:00 001/p1</v>
      </c>
      <c r="H599" s="293" t="str">
        <f t="shared" ref="H599:I599" si="1256">TEXT(IF($B599=0," ",$B599+H$6),"hh:mm am/pm")</f>
        <v>23:00 001/p1</v>
      </c>
      <c r="I599" s="293" t="str">
        <f t="shared" si="1256"/>
        <v>04:00 001/p1</v>
      </c>
      <c r="J599" s="294" t="s">
        <v>149</v>
      </c>
      <c r="K599" s="295"/>
      <c r="L599" s="319" t="s">
        <v>149</v>
      </c>
      <c r="M599" s="320" t="s">
        <v>71</v>
      </c>
      <c r="N599" s="321" t="s">
        <v>57</v>
      </c>
      <c r="O599" s="322" t="s">
        <v>74</v>
      </c>
      <c r="P599" s="323" t="s">
        <v>75</v>
      </c>
      <c r="Q599" s="324">
        <v>40</v>
      </c>
      <c r="R599" s="375" t="s">
        <v>60</v>
      </c>
      <c r="S599" s="326"/>
      <c r="T599" s="327" t="s">
        <v>61</v>
      </c>
      <c r="U599" s="321" t="s">
        <v>62</v>
      </c>
      <c r="V599" s="321">
        <v>0.6</v>
      </c>
      <c r="W599" s="321">
        <v>0.6</v>
      </c>
      <c r="X599" s="328"/>
      <c r="Y599" s="329" t="s">
        <v>63</v>
      </c>
      <c r="Z599" s="321">
        <v>0.6</v>
      </c>
      <c r="AA599" s="330">
        <v>30000</v>
      </c>
      <c r="AB599" s="330" t="s">
        <v>65</v>
      </c>
      <c r="AC599" s="331">
        <v>0.1</v>
      </c>
      <c r="AD599" s="331">
        <v>0</v>
      </c>
      <c r="AE599" s="534" t="s">
        <v>112</v>
      </c>
      <c r="AF599" s="332">
        <v>20000</v>
      </c>
      <c r="AG599" s="333">
        <v>5</v>
      </c>
      <c r="AH599" s="333">
        <v>5</v>
      </c>
      <c r="AI599" s="333">
        <v>5</v>
      </c>
      <c r="AJ599" s="327">
        <v>15</v>
      </c>
      <c r="AK599" s="335" t="s">
        <v>150</v>
      </c>
      <c r="AL599" s="335" t="s">
        <v>68</v>
      </c>
      <c r="AM599" s="336" t="s">
        <v>69</v>
      </c>
      <c r="AN599" s="336" t="s">
        <v>70</v>
      </c>
      <c r="AO599" s="314">
        <f t="shared" si="1140"/>
        <v>0.763900462962963</v>
      </c>
      <c r="AP599" s="315">
        <f t="shared" si="1141"/>
        <v>75</v>
      </c>
      <c r="AQ599" s="316" t="str">
        <f t="shared" si="1142"/>
        <v>MICRO</v>
      </c>
    </row>
    <row r="600" ht="29.25" customHeight="1" outlineLevel="1" spans="1:43">
      <c r="A600" s="363" t="s">
        <v>385</v>
      </c>
      <c r="B600" s="317">
        <v>0.750011574074074</v>
      </c>
      <c r="C600" s="293" t="str">
        <f t="shared" ref="C600:G600" si="1257">TEXT(IF($B600=0," ",$B600-C$6),"hh:mm am/pm")</f>
        <v>16:00 001/p1</v>
      </c>
      <c r="D600" s="293" t="str">
        <f t="shared" si="1257"/>
        <v>14:00 001/p1</v>
      </c>
      <c r="E600" s="293" t="str">
        <f t="shared" si="1257"/>
        <v>15:00 001/p1</v>
      </c>
      <c r="F600" s="293" t="str">
        <f t="shared" si="1257"/>
        <v>16:00 001/p1</v>
      </c>
      <c r="G600" s="293" t="str">
        <f t="shared" si="1257"/>
        <v>17:00 001/p1</v>
      </c>
      <c r="H600" s="293" t="str">
        <f t="shared" ref="H600:I600" si="1258">TEXT(IF($B600=0," ",$B600+H$6),"hh:mm am/pm")</f>
        <v>00:00 001/p1</v>
      </c>
      <c r="I600" s="293" t="str">
        <f t="shared" si="1258"/>
        <v>05:00 001/p1</v>
      </c>
      <c r="J600" s="537" t="s">
        <v>123</v>
      </c>
      <c r="K600" s="295"/>
      <c r="L600" s="337" t="s">
        <v>124</v>
      </c>
      <c r="M600" s="338" t="s">
        <v>71</v>
      </c>
      <c r="N600" s="339" t="s">
        <v>122</v>
      </c>
      <c r="O600" s="340" t="s">
        <v>82</v>
      </c>
      <c r="P600" s="341" t="s">
        <v>59</v>
      </c>
      <c r="Q600" s="342">
        <v>100</v>
      </c>
      <c r="R600" s="343" t="s">
        <v>60</v>
      </c>
      <c r="S600" s="344"/>
      <c r="T600" s="345" t="s">
        <v>61</v>
      </c>
      <c r="U600" s="339" t="s">
        <v>62</v>
      </c>
      <c r="V600" s="339">
        <v>0.6</v>
      </c>
      <c r="W600" s="339">
        <v>0.6</v>
      </c>
      <c r="X600" s="354"/>
      <c r="Y600" s="347" t="s">
        <v>63</v>
      </c>
      <c r="Z600" s="344"/>
      <c r="AA600" s="348" t="s">
        <v>64</v>
      </c>
      <c r="AB600" s="348" t="s">
        <v>65</v>
      </c>
      <c r="AC600" s="349">
        <v>0.1</v>
      </c>
      <c r="AD600" s="349">
        <v>0</v>
      </c>
      <c r="AE600" s="345" t="s">
        <v>66</v>
      </c>
      <c r="AF600" s="346">
        <v>50000</v>
      </c>
      <c r="AG600" s="350">
        <v>8</v>
      </c>
      <c r="AH600" s="350">
        <v>7</v>
      </c>
      <c r="AI600" s="350">
        <v>7</v>
      </c>
      <c r="AJ600" s="345">
        <v>15</v>
      </c>
      <c r="AK600" s="352" t="s">
        <v>67</v>
      </c>
      <c r="AL600" s="352" t="s">
        <v>68</v>
      </c>
      <c r="AM600" s="353" t="s">
        <v>69</v>
      </c>
      <c r="AN600" s="353" t="s">
        <v>70</v>
      </c>
      <c r="AO600" s="314">
        <f t="shared" si="1140"/>
        <v>0.840289351851852</v>
      </c>
      <c r="AP600" s="315">
        <f t="shared" si="1141"/>
        <v>186</v>
      </c>
      <c r="AQ600" s="316" t="str">
        <f t="shared" si="1142"/>
        <v>MICRO</v>
      </c>
    </row>
    <row r="601" ht="29.25" customHeight="1" outlineLevel="1" spans="1:43">
      <c r="B601" s="317">
        <v>0.750011574074074</v>
      </c>
      <c r="C601" s="293" t="str">
        <f t="shared" ref="C601:G601" si="1259">TEXT(IF($B601=0," ",$B601-C$6),"hh:mm am/pm")</f>
        <v>16:00 001/p1</v>
      </c>
      <c r="D601" s="293" t="str">
        <f t="shared" si="1259"/>
        <v>14:00 001/p1</v>
      </c>
      <c r="E601" s="293" t="str">
        <f t="shared" si="1259"/>
        <v>15:00 001/p1</v>
      </c>
      <c r="F601" s="293" t="str">
        <f t="shared" si="1259"/>
        <v>16:00 001/p1</v>
      </c>
      <c r="G601" s="293" t="str">
        <f t="shared" si="1259"/>
        <v>17:00 001/p1</v>
      </c>
      <c r="H601" s="293" t="str">
        <f t="shared" ref="H601:I601" si="1260">TEXT(IF($B601=0," ",$B601+H$6),"hh:mm am/pm")</f>
        <v>00:00 001/p1</v>
      </c>
      <c r="I601" s="293" t="str">
        <f t="shared" si="1260"/>
        <v>05:00 001/p1</v>
      </c>
      <c r="J601" s="294" t="s">
        <v>333</v>
      </c>
      <c r="K601" s="295"/>
      <c r="L601" s="319" t="s">
        <v>81</v>
      </c>
      <c r="M601" s="320" t="s">
        <v>71</v>
      </c>
      <c r="N601" s="321" t="s">
        <v>57</v>
      </c>
      <c r="O601" s="322" t="s">
        <v>82</v>
      </c>
      <c r="P601" s="323" t="s">
        <v>59</v>
      </c>
      <c r="Q601" s="324">
        <v>2000</v>
      </c>
      <c r="R601" s="375" t="s">
        <v>60</v>
      </c>
      <c r="S601" s="326"/>
      <c r="T601" s="327" t="s">
        <v>92</v>
      </c>
      <c r="U601" s="321" t="s">
        <v>62</v>
      </c>
      <c r="V601" s="321">
        <v>22</v>
      </c>
      <c r="W601" s="321">
        <v>22</v>
      </c>
      <c r="X601" s="328"/>
      <c r="Y601" s="332" t="s">
        <v>63</v>
      </c>
      <c r="Z601" s="326"/>
      <c r="AA601" s="330" t="s">
        <v>64</v>
      </c>
      <c r="AB601" s="330" t="s">
        <v>65</v>
      </c>
      <c r="AC601" s="331">
        <v>0.1</v>
      </c>
      <c r="AD601" s="331">
        <v>0.02</v>
      </c>
      <c r="AE601" s="534" t="s">
        <v>66</v>
      </c>
      <c r="AF601" s="332">
        <v>50000</v>
      </c>
      <c r="AG601" s="333">
        <v>12</v>
      </c>
      <c r="AH601" s="333">
        <v>10</v>
      </c>
      <c r="AI601" s="333">
        <v>10</v>
      </c>
      <c r="AJ601" s="327">
        <v>15</v>
      </c>
      <c r="AK601" s="335" t="s">
        <v>67</v>
      </c>
      <c r="AL601" s="335" t="s">
        <v>68</v>
      </c>
      <c r="AM601" s="336" t="s">
        <v>69</v>
      </c>
      <c r="AN601" s="336" t="s">
        <v>70</v>
      </c>
      <c r="AO601" s="314">
        <f t="shared" si="1140"/>
        <v>0.885428240740741</v>
      </c>
      <c r="AP601" s="315">
        <f t="shared" si="1141"/>
        <v>104</v>
      </c>
      <c r="AQ601" s="316" t="str">
        <f t="shared" si="1142"/>
        <v>MEDIUM</v>
      </c>
    </row>
    <row r="602" ht="29.25" customHeight="1" outlineLevel="1" spans="1:43">
      <c r="B602" s="317">
        <v>0.770844907407407</v>
      </c>
      <c r="C602" s="293" t="str">
        <f t="shared" ref="C602:G602" si="1261">TEXT(IF($B602=0," ",$B602-C$6),"hh:mm am/pm")</f>
        <v>16:30 001/p1</v>
      </c>
      <c r="D602" s="293" t="str">
        <f t="shared" si="1261"/>
        <v>14:30 001/p1</v>
      </c>
      <c r="E602" s="293" t="str">
        <f t="shared" si="1261"/>
        <v>15:30 001/p1</v>
      </c>
      <c r="F602" s="293" t="str">
        <f t="shared" si="1261"/>
        <v>16:30 001/p1</v>
      </c>
      <c r="G602" s="293" t="str">
        <f t="shared" si="1261"/>
        <v>17:30 001/p1</v>
      </c>
      <c r="H602" s="293" t="str">
        <f t="shared" ref="H602:I602" si="1262">TEXT(IF($B602=0," ",$B602+H$6),"hh:mm am/pm")</f>
        <v>00:30 001/p1</v>
      </c>
      <c r="I602" s="293" t="str">
        <f t="shared" si="1262"/>
        <v>05:30 001/p1</v>
      </c>
      <c r="J602" s="318" t="s">
        <v>397</v>
      </c>
      <c r="K602" s="295"/>
      <c r="L602" s="337" t="s">
        <v>177</v>
      </c>
      <c r="M602" s="338" t="s">
        <v>71</v>
      </c>
      <c r="N602" s="339" t="s">
        <v>57</v>
      </c>
      <c r="O602" s="340" t="s">
        <v>74</v>
      </c>
      <c r="P602" s="341" t="s">
        <v>75</v>
      </c>
      <c r="Q602" s="342">
        <v>1600</v>
      </c>
      <c r="R602" s="325" t="s">
        <v>76</v>
      </c>
      <c r="S602" s="344"/>
      <c r="T602" s="345" t="s">
        <v>77</v>
      </c>
      <c r="U602" s="339" t="s">
        <v>78</v>
      </c>
      <c r="V602" s="339">
        <v>0.6</v>
      </c>
      <c r="W602" s="339">
        <v>0.6</v>
      </c>
      <c r="X602" s="354"/>
      <c r="Y602" s="346" t="s">
        <v>79</v>
      </c>
      <c r="Z602" s="339">
        <v>0.6</v>
      </c>
      <c r="AA602" s="348">
        <v>160000</v>
      </c>
      <c r="AB602" s="348" t="s">
        <v>65</v>
      </c>
      <c r="AC602" s="349">
        <v>0.1</v>
      </c>
      <c r="AD602" s="349">
        <v>0.02</v>
      </c>
      <c r="AE602" s="535" t="s">
        <v>66</v>
      </c>
      <c r="AF602" s="346">
        <v>40000</v>
      </c>
      <c r="AG602" s="350">
        <v>8</v>
      </c>
      <c r="AH602" s="350">
        <v>7</v>
      </c>
      <c r="AI602" s="350">
        <v>7</v>
      </c>
      <c r="AJ602" s="345">
        <v>15</v>
      </c>
      <c r="AK602" s="352" t="s">
        <v>67</v>
      </c>
      <c r="AL602" s="352" t="s">
        <v>68</v>
      </c>
      <c r="AM602" s="353" t="s">
        <v>69</v>
      </c>
      <c r="AN602" s="353" t="s">
        <v>70</v>
      </c>
      <c r="AO602" s="314">
        <f t="shared" si="1140"/>
        <v>0.861122685185185</v>
      </c>
      <c r="AP602" s="315">
        <f t="shared" si="1141"/>
        <v>3031</v>
      </c>
      <c r="AQ602" s="316" t="str">
        <f t="shared" si="1142"/>
        <v>MICRO</v>
      </c>
    </row>
    <row r="603" ht="29.25" customHeight="1" outlineLevel="1" spans="1:43">
      <c r="A603" s="363" t="s">
        <v>385</v>
      </c>
      <c r="B603" s="317">
        <v>0.770844907407407</v>
      </c>
      <c r="C603" s="293" t="str">
        <f t="shared" ref="C603:G603" si="1263">TEXT(IF($B603=0," ",$B603-C$6),"hh:mm am/pm")</f>
        <v>16:30 001/p1</v>
      </c>
      <c r="D603" s="293" t="str">
        <f t="shared" si="1263"/>
        <v>14:30 001/p1</v>
      </c>
      <c r="E603" s="293" t="str">
        <f t="shared" si="1263"/>
        <v>15:30 001/p1</v>
      </c>
      <c r="F603" s="293" t="str">
        <f t="shared" si="1263"/>
        <v>16:30 001/p1</v>
      </c>
      <c r="G603" s="293" t="str">
        <f t="shared" si="1263"/>
        <v>17:30 001/p1</v>
      </c>
      <c r="H603" s="293" t="str">
        <f t="shared" ref="H603:I603" si="1264">TEXT(IF($B603=0," ",$B603+H$6),"hh:mm am/pm")</f>
        <v>00:30 001/p1</v>
      </c>
      <c r="I603" s="293" t="str">
        <f t="shared" si="1264"/>
        <v>05:30 001/p1</v>
      </c>
      <c r="J603" s="294" t="s">
        <v>398</v>
      </c>
      <c r="K603" s="295"/>
      <c r="L603" s="319" t="s">
        <v>374</v>
      </c>
      <c r="M603" s="320" t="s">
        <v>71</v>
      </c>
      <c r="N603" s="321" t="s">
        <v>57</v>
      </c>
      <c r="O603" s="322" t="s">
        <v>74</v>
      </c>
      <c r="P603" s="323" t="s">
        <v>59</v>
      </c>
      <c r="Q603" s="324">
        <v>1000</v>
      </c>
      <c r="R603" s="375" t="s">
        <v>60</v>
      </c>
      <c r="S603" s="326"/>
      <c r="T603" s="327" t="s">
        <v>61</v>
      </c>
      <c r="U603" s="321" t="s">
        <v>62</v>
      </c>
      <c r="V603" s="321">
        <v>11</v>
      </c>
      <c r="W603" s="326"/>
      <c r="X603" s="328"/>
      <c r="Y603" s="332" t="s">
        <v>161</v>
      </c>
      <c r="Z603" s="326"/>
      <c r="AA603" s="330" t="s">
        <v>162</v>
      </c>
      <c r="AB603" s="330" t="s">
        <v>65</v>
      </c>
      <c r="AC603" s="331">
        <v>0.1</v>
      </c>
      <c r="AD603" s="331">
        <v>0.02</v>
      </c>
      <c r="AE603" s="534" t="s">
        <v>66</v>
      </c>
      <c r="AF603" s="332">
        <v>60000</v>
      </c>
      <c r="AG603" s="333">
        <v>10</v>
      </c>
      <c r="AH603" s="333">
        <v>10</v>
      </c>
      <c r="AI603" s="333">
        <v>10</v>
      </c>
      <c r="AJ603" s="327">
        <v>15</v>
      </c>
      <c r="AK603" s="335" t="s">
        <v>67</v>
      </c>
      <c r="AL603" s="335" t="s">
        <v>68</v>
      </c>
      <c r="AM603" s="336" t="s">
        <v>69</v>
      </c>
      <c r="AN603" s="336" t="s">
        <v>70</v>
      </c>
      <c r="AO603" s="314">
        <f t="shared" si="1140"/>
        <v>0.881956018518518</v>
      </c>
      <c r="AP603" s="315">
        <f t="shared" si="1141"/>
        <v>104</v>
      </c>
      <c r="AQ603" s="316" t="str">
        <f t="shared" si="1142"/>
        <v>LOW</v>
      </c>
    </row>
    <row r="604" ht="29.25" customHeight="1" outlineLevel="1" spans="1:43">
      <c r="B604" s="317">
        <v>0.791678240740741</v>
      </c>
      <c r="C604" s="293" t="str">
        <f t="shared" ref="C604:G604" si="1265">TEXT(IF($B604=0," ",$B604-C$6),"hh:mm am/pm")</f>
        <v>17:00 001/p1</v>
      </c>
      <c r="D604" s="293" t="str">
        <f t="shared" si="1265"/>
        <v>15:00 001/p1</v>
      </c>
      <c r="E604" s="293" t="str">
        <f t="shared" si="1265"/>
        <v>16:00 001/p1</v>
      </c>
      <c r="F604" s="293" t="str">
        <f t="shared" si="1265"/>
        <v>17:00 001/p1</v>
      </c>
      <c r="G604" s="293" t="str">
        <f t="shared" si="1265"/>
        <v>18:00 001/p1</v>
      </c>
      <c r="H604" s="293" t="str">
        <f t="shared" ref="H604:I604" si="1266">TEXT(IF($B604=0," ",$B604+H$6),"hh:mm am/pm")</f>
        <v>01:00 001/p1</v>
      </c>
      <c r="I604" s="293" t="str">
        <f t="shared" si="1266"/>
        <v>06:00 001/p1</v>
      </c>
      <c r="J604" s="294" t="s">
        <v>324</v>
      </c>
      <c r="K604" s="295"/>
      <c r="L604" s="337" t="s">
        <v>157</v>
      </c>
      <c r="M604" s="338" t="s">
        <v>71</v>
      </c>
      <c r="N604" s="339" t="s">
        <v>100</v>
      </c>
      <c r="O604" s="340" t="s">
        <v>82</v>
      </c>
      <c r="P604" s="341" t="s">
        <v>101</v>
      </c>
      <c r="Q604" s="342">
        <v>3000</v>
      </c>
      <c r="R604" s="343" t="s">
        <v>60</v>
      </c>
      <c r="S604" s="344"/>
      <c r="T604" s="345" t="s">
        <v>92</v>
      </c>
      <c r="U604" s="339" t="s">
        <v>62</v>
      </c>
      <c r="V604" s="339">
        <v>15</v>
      </c>
      <c r="W604" s="339">
        <v>15</v>
      </c>
      <c r="X604" s="354"/>
      <c r="Y604" s="346" t="s">
        <v>63</v>
      </c>
      <c r="Z604" s="344"/>
      <c r="AA604" s="348" t="s">
        <v>64</v>
      </c>
      <c r="AB604" s="348" t="s">
        <v>65</v>
      </c>
      <c r="AC604" s="349">
        <v>0.1</v>
      </c>
      <c r="AD604" s="349">
        <v>0.02</v>
      </c>
      <c r="AE604" s="345" t="s">
        <v>66</v>
      </c>
      <c r="AF604" s="346">
        <v>50000</v>
      </c>
      <c r="AG604" s="350">
        <v>12</v>
      </c>
      <c r="AH604" s="350">
        <v>10</v>
      </c>
      <c r="AI604" s="350">
        <v>10</v>
      </c>
      <c r="AJ604" s="345">
        <v>15</v>
      </c>
      <c r="AK604" s="352" t="s">
        <v>67</v>
      </c>
      <c r="AL604" s="352" t="s">
        <v>68</v>
      </c>
      <c r="AM604" s="353" t="s">
        <v>69</v>
      </c>
      <c r="AN604" s="353" t="s">
        <v>70</v>
      </c>
      <c r="AO604" s="314">
        <f t="shared" si="1140"/>
        <v>0.927094907407407</v>
      </c>
      <c r="AP604" s="315">
        <f t="shared" si="1141"/>
        <v>228</v>
      </c>
      <c r="AQ604" s="316" t="str">
        <f t="shared" si="1142"/>
        <v>LOW</v>
      </c>
    </row>
    <row r="605" ht="29.25" customHeight="1" outlineLevel="1" spans="1:43">
      <c r="B605" s="317">
        <v>0.791678240740741</v>
      </c>
      <c r="C605" s="293" t="str">
        <f t="shared" ref="C605:G605" si="1267">TEXT(IF($B605=0," ",$B605-C$6),"hh:mm am/pm")</f>
        <v>17:00 001/p1</v>
      </c>
      <c r="D605" s="293" t="str">
        <f t="shared" si="1267"/>
        <v>15:00 001/p1</v>
      </c>
      <c r="E605" s="293" t="str">
        <f t="shared" si="1267"/>
        <v>16:00 001/p1</v>
      </c>
      <c r="F605" s="293" t="str">
        <f t="shared" si="1267"/>
        <v>17:00 001/p1</v>
      </c>
      <c r="G605" s="293" t="str">
        <f t="shared" si="1267"/>
        <v>18:00 001/p1</v>
      </c>
      <c r="H605" s="293" t="str">
        <f t="shared" ref="H605:I605" si="1268">TEXT(IF($B605=0," ",$B605+H$6),"hh:mm am/pm")</f>
        <v>01:00 001/p1</v>
      </c>
      <c r="I605" s="293" t="str">
        <f t="shared" si="1268"/>
        <v>06:00 001/p1</v>
      </c>
      <c r="J605" s="537" t="s">
        <v>399</v>
      </c>
      <c r="K605" s="295"/>
      <c r="L605" s="319" t="s">
        <v>133</v>
      </c>
      <c r="M605" s="320" t="s">
        <v>71</v>
      </c>
      <c r="N605" s="321" t="s">
        <v>57</v>
      </c>
      <c r="O605" s="322" t="s">
        <v>58</v>
      </c>
      <c r="P605" s="323" t="s">
        <v>59</v>
      </c>
      <c r="Q605" s="324">
        <v>120</v>
      </c>
      <c r="R605" s="375" t="s">
        <v>60</v>
      </c>
      <c r="S605" s="326"/>
      <c r="T605" s="327" t="s">
        <v>61</v>
      </c>
      <c r="U605" s="321" t="s">
        <v>62</v>
      </c>
      <c r="V605" s="321">
        <v>1.2</v>
      </c>
      <c r="W605" s="321">
        <v>1.2</v>
      </c>
      <c r="X605" s="328"/>
      <c r="Y605" s="332" t="s">
        <v>63</v>
      </c>
      <c r="Z605" s="326"/>
      <c r="AA605" s="330" t="s">
        <v>64</v>
      </c>
      <c r="AB605" s="330" t="s">
        <v>65</v>
      </c>
      <c r="AC605" s="331">
        <v>0.1</v>
      </c>
      <c r="AD605" s="331">
        <v>0</v>
      </c>
      <c r="AE605" s="534" t="s">
        <v>66</v>
      </c>
      <c r="AF605" s="332">
        <v>30000</v>
      </c>
      <c r="AG605" s="333">
        <v>10</v>
      </c>
      <c r="AH605" s="333">
        <v>8</v>
      </c>
      <c r="AI605" s="333">
        <v>8</v>
      </c>
      <c r="AJ605" s="327">
        <v>12</v>
      </c>
      <c r="AK605" s="335" t="s">
        <v>67</v>
      </c>
      <c r="AL605" s="335" t="s">
        <v>68</v>
      </c>
      <c r="AM605" s="336" t="s">
        <v>69</v>
      </c>
      <c r="AN605" s="336" t="s">
        <v>70</v>
      </c>
      <c r="AO605" s="314">
        <f t="shared" si="1140"/>
        <v>0.881956018518519</v>
      </c>
      <c r="AP605" s="315">
        <f t="shared" si="1141"/>
        <v>112</v>
      </c>
      <c r="AQ605" s="316" t="str">
        <f t="shared" si="1142"/>
        <v>MICRO</v>
      </c>
    </row>
    <row r="606" ht="29.25" customHeight="1" outlineLevel="1" spans="1:43">
      <c r="A606" s="363" t="s">
        <v>385</v>
      </c>
      <c r="B606" s="317">
        <v>0.791678240740741</v>
      </c>
      <c r="C606" s="293" t="str">
        <f t="shared" ref="C606:G606" si="1269">TEXT(IF($B606=0," ",$B606-C$6),"hh:mm am/pm")</f>
        <v>17:00 001/p1</v>
      </c>
      <c r="D606" s="293" t="str">
        <f t="shared" si="1269"/>
        <v>15:00 001/p1</v>
      </c>
      <c r="E606" s="293" t="str">
        <f t="shared" si="1269"/>
        <v>16:00 001/p1</v>
      </c>
      <c r="F606" s="293" t="str">
        <f t="shared" si="1269"/>
        <v>17:00 001/p1</v>
      </c>
      <c r="G606" s="293" t="str">
        <f t="shared" si="1269"/>
        <v>18:00 001/p1</v>
      </c>
      <c r="H606" s="293" t="str">
        <f t="shared" ref="H606:I606" si="1270">TEXT(IF($B606=0," ",$B606+H$6),"hh:mm am/pm")</f>
        <v>01:00 001/p1</v>
      </c>
      <c r="I606" s="293" t="str">
        <f t="shared" si="1270"/>
        <v>06:00 001/p1</v>
      </c>
      <c r="J606" s="294" t="s">
        <v>252</v>
      </c>
      <c r="K606" s="295"/>
      <c r="L606" s="337" t="s">
        <v>121</v>
      </c>
      <c r="M606" s="338" t="s">
        <v>71</v>
      </c>
      <c r="N606" s="339" t="s">
        <v>100</v>
      </c>
      <c r="O606" s="340" t="s">
        <v>109</v>
      </c>
      <c r="P606" s="341" t="s">
        <v>101</v>
      </c>
      <c r="Q606" s="342">
        <v>400</v>
      </c>
      <c r="R606" s="343" t="s">
        <v>60</v>
      </c>
      <c r="S606" s="344"/>
      <c r="T606" s="345" t="s">
        <v>61</v>
      </c>
      <c r="U606" s="339" t="s">
        <v>62</v>
      </c>
      <c r="V606" s="339">
        <v>2</v>
      </c>
      <c r="W606" s="339">
        <v>2</v>
      </c>
      <c r="X606" s="354"/>
      <c r="Y606" s="347" t="s">
        <v>63</v>
      </c>
      <c r="Z606" s="344"/>
      <c r="AA606" s="348" t="s">
        <v>64</v>
      </c>
      <c r="AB606" s="348" t="s">
        <v>65</v>
      </c>
      <c r="AC606" s="349">
        <v>0.1</v>
      </c>
      <c r="AD606" s="349">
        <v>0.02</v>
      </c>
      <c r="AE606" s="345" t="s">
        <v>66</v>
      </c>
      <c r="AF606" s="346">
        <v>50000</v>
      </c>
      <c r="AG606" s="350">
        <v>10</v>
      </c>
      <c r="AH606" s="350">
        <v>8</v>
      </c>
      <c r="AI606" s="350">
        <v>8</v>
      </c>
      <c r="AJ606" s="345">
        <v>15</v>
      </c>
      <c r="AK606" s="352" t="s">
        <v>67</v>
      </c>
      <c r="AL606" s="352" t="s">
        <v>68</v>
      </c>
      <c r="AM606" s="353" t="s">
        <v>69</v>
      </c>
      <c r="AN606" s="353" t="s">
        <v>70</v>
      </c>
      <c r="AO606" s="314">
        <f t="shared" si="1140"/>
        <v>0.902789351851852</v>
      </c>
      <c r="AP606" s="315">
        <f t="shared" si="1141"/>
        <v>228</v>
      </c>
      <c r="AQ606" s="316" t="str">
        <f t="shared" si="1142"/>
        <v>MICRO</v>
      </c>
    </row>
    <row r="607" ht="29.25" customHeight="1" outlineLevel="1" spans="1:43">
      <c r="B607" s="317">
        <v>0.791678240740741</v>
      </c>
      <c r="C607" s="293" t="str">
        <f t="shared" ref="C607:G607" si="1271">TEXT(IF($B607=0," ",$B607-C$6),"hh:mm am/pm")</f>
        <v>17:00 001/p1</v>
      </c>
      <c r="D607" s="293" t="str">
        <f t="shared" si="1271"/>
        <v>15:00 001/p1</v>
      </c>
      <c r="E607" s="293" t="str">
        <f t="shared" si="1271"/>
        <v>16:00 001/p1</v>
      </c>
      <c r="F607" s="293" t="str">
        <f t="shared" si="1271"/>
        <v>17:00 001/p1</v>
      </c>
      <c r="G607" s="293" t="str">
        <f t="shared" si="1271"/>
        <v>18:00 001/p1</v>
      </c>
      <c r="H607" s="293" t="str">
        <f t="shared" ref="H607:I607" si="1272">TEXT(IF($B607=0," ",$B607+H$6),"hh:mm am/pm")</f>
        <v>01:00 001/p1</v>
      </c>
      <c r="I607" s="293" t="str">
        <f t="shared" si="1272"/>
        <v>06:00 001/p1</v>
      </c>
      <c r="J607" s="294" t="s">
        <v>149</v>
      </c>
      <c r="K607" s="295"/>
      <c r="L607" s="319" t="s">
        <v>149</v>
      </c>
      <c r="M607" s="320" t="s">
        <v>71</v>
      </c>
      <c r="N607" s="321" t="s">
        <v>57</v>
      </c>
      <c r="O607" s="322" t="s">
        <v>74</v>
      </c>
      <c r="P607" s="323" t="s">
        <v>75</v>
      </c>
      <c r="Q607" s="324">
        <v>50</v>
      </c>
      <c r="R607" s="375" t="s">
        <v>60</v>
      </c>
      <c r="S607" s="326"/>
      <c r="T607" s="327" t="s">
        <v>61</v>
      </c>
      <c r="U607" s="321" t="s">
        <v>62</v>
      </c>
      <c r="V607" s="321">
        <v>0.6</v>
      </c>
      <c r="W607" s="321">
        <v>0.6</v>
      </c>
      <c r="X607" s="328"/>
      <c r="Y607" s="332" t="s">
        <v>63</v>
      </c>
      <c r="Z607" s="321">
        <v>0.6</v>
      </c>
      <c r="AA607" s="330">
        <v>30000</v>
      </c>
      <c r="AB607" s="330" t="s">
        <v>65</v>
      </c>
      <c r="AC607" s="331">
        <v>0.1</v>
      </c>
      <c r="AD607" s="331">
        <v>0</v>
      </c>
      <c r="AE607" s="534" t="s">
        <v>112</v>
      </c>
      <c r="AF607" s="332">
        <v>20000</v>
      </c>
      <c r="AG607" s="333">
        <v>5</v>
      </c>
      <c r="AH607" s="333">
        <v>5</v>
      </c>
      <c r="AI607" s="333">
        <v>5</v>
      </c>
      <c r="AJ607" s="327">
        <v>15</v>
      </c>
      <c r="AK607" s="335" t="s">
        <v>150</v>
      </c>
      <c r="AL607" s="335" t="s">
        <v>68</v>
      </c>
      <c r="AM607" s="336" t="s">
        <v>69</v>
      </c>
      <c r="AN607" s="336" t="s">
        <v>70</v>
      </c>
      <c r="AO607" s="314">
        <f t="shared" si="1140"/>
        <v>0.847233796296296</v>
      </c>
      <c r="AP607" s="315">
        <f t="shared" si="1141"/>
        <v>93</v>
      </c>
      <c r="AQ607" s="316" t="str">
        <f t="shared" si="1142"/>
        <v>MICRO</v>
      </c>
    </row>
    <row r="608" ht="29.25" customHeight="1" outlineLevel="1" spans="1:43">
      <c r="B608" s="317">
        <v>0.791678240740741</v>
      </c>
      <c r="C608" s="293" t="str">
        <f t="shared" ref="C608:G608" si="1273">TEXT(IF($B608=0," ",$B608-C$6),"hh:mm am/pm")</f>
        <v>17:00 001/p1</v>
      </c>
      <c r="D608" s="293" t="str">
        <f t="shared" si="1273"/>
        <v>15:00 001/p1</v>
      </c>
      <c r="E608" s="293" t="str">
        <f t="shared" si="1273"/>
        <v>16:00 001/p1</v>
      </c>
      <c r="F608" s="293" t="str">
        <f t="shared" si="1273"/>
        <v>17:00 001/p1</v>
      </c>
      <c r="G608" s="293" t="str">
        <f t="shared" si="1273"/>
        <v>18:00 001/p1</v>
      </c>
      <c r="H608" s="293" t="str">
        <f t="shared" ref="H608:I608" si="1274">TEXT(IF($B608=0," ",$B608+H$6),"hh:mm am/pm")</f>
        <v>01:00 001/p1</v>
      </c>
      <c r="I608" s="293" t="str">
        <f t="shared" si="1274"/>
        <v>06:00 001/p1</v>
      </c>
      <c r="J608" s="294" t="s">
        <v>400</v>
      </c>
      <c r="K608" s="295"/>
      <c r="L608" s="337" t="s">
        <v>119</v>
      </c>
      <c r="M608" s="338" t="s">
        <v>71</v>
      </c>
      <c r="N608" s="339" t="s">
        <v>57</v>
      </c>
      <c r="O608" s="340" t="s">
        <v>74</v>
      </c>
      <c r="P608" s="341" t="s">
        <v>75</v>
      </c>
      <c r="Q608" s="342">
        <v>2000</v>
      </c>
      <c r="R608" s="343" t="s">
        <v>60</v>
      </c>
      <c r="S608" s="344"/>
      <c r="T608" s="345" t="s">
        <v>77</v>
      </c>
      <c r="U608" s="339" t="s">
        <v>78</v>
      </c>
      <c r="V608" s="339">
        <v>3</v>
      </c>
      <c r="W608" s="339">
        <v>3</v>
      </c>
      <c r="X608" s="354"/>
      <c r="Y608" s="538" t="s">
        <v>79</v>
      </c>
      <c r="Z608" s="339">
        <v>3</v>
      </c>
      <c r="AA608" s="348">
        <v>120000</v>
      </c>
      <c r="AB608" s="348" t="s">
        <v>65</v>
      </c>
      <c r="AC608" s="349">
        <v>0.1</v>
      </c>
      <c r="AD608" s="349">
        <v>0.02</v>
      </c>
      <c r="AE608" s="535" t="s">
        <v>66</v>
      </c>
      <c r="AF608" s="346">
        <v>40000</v>
      </c>
      <c r="AG608" s="350">
        <v>10</v>
      </c>
      <c r="AH608" s="350">
        <v>8</v>
      </c>
      <c r="AI608" s="350">
        <v>8</v>
      </c>
      <c r="AJ608" s="345">
        <v>14</v>
      </c>
      <c r="AK608" s="352" t="s">
        <v>67</v>
      </c>
      <c r="AL608" s="352" t="s">
        <v>68</v>
      </c>
      <c r="AM608" s="353" t="s">
        <v>69</v>
      </c>
      <c r="AN608" s="353" t="s">
        <v>70</v>
      </c>
      <c r="AO608" s="314">
        <f t="shared" si="1140"/>
        <v>0.895844907407407</v>
      </c>
      <c r="AP608" s="315">
        <f t="shared" si="1141"/>
        <v>758</v>
      </c>
      <c r="AQ608" s="316" t="str">
        <f t="shared" si="1142"/>
        <v>MICRO</v>
      </c>
    </row>
    <row r="609" ht="29.25" customHeight="1" outlineLevel="1" spans="1:43">
      <c r="B609" s="317">
        <v>0.812511574074074</v>
      </c>
      <c r="C609" s="293" t="str">
        <f t="shared" ref="C609:G609" si="1275">TEXT(IF($B609=0," ",$B609-C$6),"hh:mm am/pm")</f>
        <v>17:30 001/p1</v>
      </c>
      <c r="D609" s="293" t="str">
        <f t="shared" si="1275"/>
        <v>15:30 001/p1</v>
      </c>
      <c r="E609" s="293" t="str">
        <f t="shared" si="1275"/>
        <v>16:30 001/p1</v>
      </c>
      <c r="F609" s="293" t="str">
        <f t="shared" si="1275"/>
        <v>17:30 001/p1</v>
      </c>
      <c r="G609" s="293" t="str">
        <f t="shared" si="1275"/>
        <v>18:30 001/p1</v>
      </c>
      <c r="H609" s="293" t="str">
        <f t="shared" ref="H609:I609" si="1276">TEXT(IF($B609=0," ",$B609+H$6),"hh:mm am/pm")</f>
        <v>01:30 001/p1</v>
      </c>
      <c r="I609" s="293" t="str">
        <f t="shared" si="1276"/>
        <v>06:30 001/p1</v>
      </c>
      <c r="J609" s="318" t="s">
        <v>180</v>
      </c>
      <c r="K609" s="295"/>
      <c r="L609" s="319" t="s">
        <v>180</v>
      </c>
      <c r="M609" s="320" t="s">
        <v>71</v>
      </c>
      <c r="N609" s="321" t="s">
        <v>57</v>
      </c>
      <c r="O609" s="322" t="s">
        <v>74</v>
      </c>
      <c r="P609" s="323" t="s">
        <v>75</v>
      </c>
      <c r="Q609" s="324">
        <v>100</v>
      </c>
      <c r="R609" s="377" t="s">
        <v>181</v>
      </c>
      <c r="S609" s="375" t="s">
        <v>182</v>
      </c>
      <c r="T609" s="327" t="s">
        <v>61</v>
      </c>
      <c r="U609" s="321" t="s">
        <v>62</v>
      </c>
      <c r="V609" s="321">
        <v>0</v>
      </c>
      <c r="W609" s="321">
        <v>0</v>
      </c>
      <c r="X609" s="328"/>
      <c r="Y609" s="332" t="s">
        <v>161</v>
      </c>
      <c r="Z609" s="326"/>
      <c r="AA609" s="330" t="s">
        <v>162</v>
      </c>
      <c r="AB609" s="330" t="s">
        <v>183</v>
      </c>
      <c r="AC609" s="331">
        <v>0</v>
      </c>
      <c r="AD609" s="331">
        <v>0</v>
      </c>
      <c r="AE609" s="327" t="s">
        <v>88</v>
      </c>
      <c r="AF609" s="332">
        <v>10000</v>
      </c>
      <c r="AG609" s="333">
        <v>6</v>
      </c>
      <c r="AH609" s="333">
        <v>5</v>
      </c>
      <c r="AI609" s="333">
        <v>5</v>
      </c>
      <c r="AJ609" s="327">
        <v>10</v>
      </c>
      <c r="AK609" s="335" t="s">
        <v>401</v>
      </c>
      <c r="AL609" s="496"/>
      <c r="AM609" s="336" t="s">
        <v>69</v>
      </c>
      <c r="AN609" s="336" t="s">
        <v>70</v>
      </c>
      <c r="AO609" s="314">
        <f t="shared" si="1140"/>
        <v>0.857650462962963</v>
      </c>
      <c r="AP609" s="315" t="e">
        <f t="shared" si="1141"/>
        <v>#DIV/0!</v>
      </c>
      <c r="AQ609" s="316" t="str">
        <f t="shared" si="1142"/>
        <v> </v>
      </c>
    </row>
    <row r="610" ht="29.25" customHeight="1" outlineLevel="1" spans="1:43">
      <c r="A610" s="363" t="s">
        <v>385</v>
      </c>
      <c r="B610" s="317">
        <v>0.833344907407407</v>
      </c>
      <c r="C610" s="293" t="str">
        <f t="shared" ref="C610:G610" si="1277">TEXT(IF($B610=0," ",$B610-C$6),"hh:mm am/pm")</f>
        <v>18:00 001/p1</v>
      </c>
      <c r="D610" s="293" t="str">
        <f t="shared" si="1277"/>
        <v>16:00 001/p1</v>
      </c>
      <c r="E610" s="293" t="str">
        <f t="shared" si="1277"/>
        <v>17:00 001/p1</v>
      </c>
      <c r="F610" s="293" t="str">
        <f t="shared" si="1277"/>
        <v>18:00 001/p1</v>
      </c>
      <c r="G610" s="293" t="str">
        <f t="shared" si="1277"/>
        <v>19:00 001/p1</v>
      </c>
      <c r="H610" s="293" t="str">
        <f t="shared" ref="H610:I610" si="1278">TEXT(IF($B610=0," ",$B610+H$6),"hh:mm am/pm")</f>
        <v>02:00 001/p1</v>
      </c>
      <c r="I610" s="293" t="str">
        <f t="shared" si="1278"/>
        <v>07:00 001/p1</v>
      </c>
      <c r="J610" s="294" t="s">
        <v>402</v>
      </c>
      <c r="K610" s="295"/>
      <c r="L610" s="337" t="s">
        <v>355</v>
      </c>
      <c r="M610" s="338" t="s">
        <v>71</v>
      </c>
      <c r="N610" s="339" t="s">
        <v>57</v>
      </c>
      <c r="O610" s="340" t="s">
        <v>74</v>
      </c>
      <c r="P610" s="341" t="s">
        <v>59</v>
      </c>
      <c r="Q610" s="342">
        <v>6000</v>
      </c>
      <c r="R610" s="343" t="s">
        <v>60</v>
      </c>
      <c r="S610" s="344"/>
      <c r="T610" s="345" t="s">
        <v>77</v>
      </c>
      <c r="U610" s="339" t="s">
        <v>78</v>
      </c>
      <c r="V610" s="339">
        <v>15</v>
      </c>
      <c r="W610" s="339">
        <v>15</v>
      </c>
      <c r="X610" s="354"/>
      <c r="Y610" s="538" t="s">
        <v>79</v>
      </c>
      <c r="Z610" s="339">
        <v>15</v>
      </c>
      <c r="AA610" s="348">
        <v>120000</v>
      </c>
      <c r="AB610" s="348" t="s">
        <v>65</v>
      </c>
      <c r="AC610" s="349">
        <v>0.1</v>
      </c>
      <c r="AD610" s="349">
        <v>0.02</v>
      </c>
      <c r="AE610" s="348" t="s">
        <v>66</v>
      </c>
      <c r="AF610" s="346">
        <v>40000</v>
      </c>
      <c r="AG610" s="350">
        <v>10</v>
      </c>
      <c r="AH610" s="350">
        <v>10</v>
      </c>
      <c r="AI610" s="350">
        <v>10</v>
      </c>
      <c r="AJ610" s="345">
        <v>14</v>
      </c>
      <c r="AK610" s="352" t="s">
        <v>67</v>
      </c>
      <c r="AL610" s="352" t="s">
        <v>68</v>
      </c>
      <c r="AM610" s="353" t="s">
        <v>69</v>
      </c>
      <c r="AN610" s="353" t="s">
        <v>70</v>
      </c>
      <c r="AO610" s="314">
        <f t="shared" si="1140"/>
        <v>0.937511574074074</v>
      </c>
      <c r="AP610" s="315">
        <f t="shared" si="1141"/>
        <v>455</v>
      </c>
      <c r="AQ610" s="316" t="str">
        <f t="shared" si="1142"/>
        <v>LOW</v>
      </c>
    </row>
    <row r="611" ht="29.25" customHeight="1" outlineLevel="1" spans="1:43">
      <c r="B611" s="317">
        <v>0.833344907407407</v>
      </c>
      <c r="C611" s="293" t="str">
        <f t="shared" ref="C611:G611" si="1279">TEXT(IF($B611=0," ",$B611-C$6),"hh:mm am/pm")</f>
        <v>18:00 001/p1</v>
      </c>
      <c r="D611" s="293" t="str">
        <f t="shared" si="1279"/>
        <v>16:00 001/p1</v>
      </c>
      <c r="E611" s="293" t="str">
        <f t="shared" si="1279"/>
        <v>17:00 001/p1</v>
      </c>
      <c r="F611" s="293" t="str">
        <f t="shared" si="1279"/>
        <v>18:00 001/p1</v>
      </c>
      <c r="G611" s="293" t="str">
        <f t="shared" si="1279"/>
        <v>19:00 001/p1</v>
      </c>
      <c r="H611" s="293" t="str">
        <f t="shared" ref="H611:I611" si="1280">TEXT(IF($B611=0," ",$B611+H$6),"hh:mm am/pm")</f>
        <v>02:00 001/p1</v>
      </c>
      <c r="I611" s="293" t="str">
        <f t="shared" si="1280"/>
        <v>07:00 001/p1</v>
      </c>
      <c r="J611" s="294" t="s">
        <v>403</v>
      </c>
      <c r="K611" s="295"/>
      <c r="L611" s="319" t="s">
        <v>167</v>
      </c>
      <c r="M611" s="320" t="s">
        <v>71</v>
      </c>
      <c r="N611" s="321" t="s">
        <v>57</v>
      </c>
      <c r="O611" s="322" t="s">
        <v>74</v>
      </c>
      <c r="P611" s="323" t="s">
        <v>75</v>
      </c>
      <c r="Q611" s="324">
        <v>600</v>
      </c>
      <c r="R611" s="375" t="s">
        <v>60</v>
      </c>
      <c r="S611" s="326"/>
      <c r="T611" s="327" t="s">
        <v>77</v>
      </c>
      <c r="U611" s="321" t="s">
        <v>78</v>
      </c>
      <c r="V611" s="321">
        <v>0.2</v>
      </c>
      <c r="W611" s="321">
        <v>1</v>
      </c>
      <c r="X611" s="328"/>
      <c r="Y611" s="539" t="s">
        <v>79</v>
      </c>
      <c r="Z611" s="321">
        <v>1</v>
      </c>
      <c r="AA611" s="330">
        <v>150000</v>
      </c>
      <c r="AB611" s="330" t="s">
        <v>65</v>
      </c>
      <c r="AC611" s="331">
        <v>0.1</v>
      </c>
      <c r="AD611" s="331">
        <v>0.02</v>
      </c>
      <c r="AE611" s="330" t="s">
        <v>88</v>
      </c>
      <c r="AF611" s="332">
        <v>50000</v>
      </c>
      <c r="AG611" s="333">
        <v>8</v>
      </c>
      <c r="AH611" s="333">
        <v>6</v>
      </c>
      <c r="AI611" s="333">
        <v>6</v>
      </c>
      <c r="AJ611" s="327">
        <v>14</v>
      </c>
      <c r="AK611" s="335" t="s">
        <v>67</v>
      </c>
      <c r="AL611" s="335" t="s">
        <v>68</v>
      </c>
      <c r="AM611" s="336" t="s">
        <v>69</v>
      </c>
      <c r="AN611" s="336" t="s">
        <v>70</v>
      </c>
      <c r="AO611" s="314">
        <f t="shared" si="1140"/>
        <v>0.914594907407407</v>
      </c>
      <c r="AP611" s="315">
        <f t="shared" si="1141"/>
        <v>3410</v>
      </c>
      <c r="AQ611" s="316" t="str">
        <f t="shared" si="1142"/>
        <v>MICRO</v>
      </c>
    </row>
    <row r="612" ht="29.25" customHeight="1" outlineLevel="1" spans="1:43">
      <c r="B612" s="317">
        <v>0.833344907407407</v>
      </c>
      <c r="C612" s="293" t="str">
        <f t="shared" ref="C612:G612" si="1281">TEXT(IF($B612=0," ",$B612-C$6),"hh:mm am/pm")</f>
        <v>18:00 001/p1</v>
      </c>
      <c r="D612" s="293" t="str">
        <f t="shared" si="1281"/>
        <v>16:00 001/p1</v>
      </c>
      <c r="E612" s="293" t="str">
        <f t="shared" si="1281"/>
        <v>17:00 001/p1</v>
      </c>
      <c r="F612" s="293" t="str">
        <f t="shared" si="1281"/>
        <v>18:00 001/p1</v>
      </c>
      <c r="G612" s="293" t="str">
        <f t="shared" si="1281"/>
        <v>19:00 001/p1</v>
      </c>
      <c r="H612" s="293" t="str">
        <f t="shared" ref="H612:I612" si="1282">TEXT(IF($B612=0," ",$B612+H$6),"hh:mm am/pm")</f>
        <v>02:00 001/p1</v>
      </c>
      <c r="I612" s="293" t="str">
        <f t="shared" si="1282"/>
        <v>07:00 001/p1</v>
      </c>
      <c r="J612" s="537" t="s">
        <v>404</v>
      </c>
      <c r="K612" s="295"/>
      <c r="L612" s="337" t="s">
        <v>405</v>
      </c>
      <c r="M612" s="338" t="s">
        <v>71</v>
      </c>
      <c r="N612" s="339" t="s">
        <v>122</v>
      </c>
      <c r="O612" s="340" t="s">
        <v>104</v>
      </c>
      <c r="P612" s="341" t="s">
        <v>101</v>
      </c>
      <c r="Q612" s="342">
        <v>600</v>
      </c>
      <c r="R612" s="343" t="s">
        <v>60</v>
      </c>
      <c r="S612" s="344"/>
      <c r="T612" s="345" t="s">
        <v>61</v>
      </c>
      <c r="U612" s="339" t="s">
        <v>62</v>
      </c>
      <c r="V612" s="339">
        <v>6</v>
      </c>
      <c r="W612" s="339">
        <v>6</v>
      </c>
      <c r="X612" s="354"/>
      <c r="Y612" s="347" t="s">
        <v>63</v>
      </c>
      <c r="Z612" s="344"/>
      <c r="AA612" s="348" t="s">
        <v>64</v>
      </c>
      <c r="AB612" s="348" t="s">
        <v>65</v>
      </c>
      <c r="AC612" s="349">
        <v>0.1</v>
      </c>
      <c r="AD612" s="349">
        <v>0.02</v>
      </c>
      <c r="AE612" s="348" t="s">
        <v>66</v>
      </c>
      <c r="AF612" s="346">
        <v>50000</v>
      </c>
      <c r="AG612" s="350">
        <v>10</v>
      </c>
      <c r="AH612" s="350">
        <v>8</v>
      </c>
      <c r="AI612" s="350">
        <v>8</v>
      </c>
      <c r="AJ612" s="345">
        <v>15</v>
      </c>
      <c r="AK612" s="352" t="s">
        <v>67</v>
      </c>
      <c r="AL612" s="352" t="s">
        <v>68</v>
      </c>
      <c r="AM612" s="353" t="s">
        <v>69</v>
      </c>
      <c r="AN612" s="353" t="s">
        <v>70</v>
      </c>
      <c r="AO612" s="314">
        <f t="shared" si="1140"/>
        <v>0.944456018518518</v>
      </c>
      <c r="AP612" s="315">
        <f t="shared" si="1141"/>
        <v>114</v>
      </c>
      <c r="AQ612" s="316" t="str">
        <f t="shared" si="1142"/>
        <v>LOW</v>
      </c>
    </row>
    <row r="613" ht="29.25" customHeight="1" outlineLevel="1" spans="1:43">
      <c r="A613" s="363" t="s">
        <v>385</v>
      </c>
      <c r="B613" s="317">
        <v>0.854178240740741</v>
      </c>
      <c r="C613" s="293" t="str">
        <f t="shared" ref="C613:G613" si="1283">TEXT(IF($B613=0," ",$B613-C$6),"hh:mm am/pm")</f>
        <v>18:30 001/p1</v>
      </c>
      <c r="D613" s="293" t="str">
        <f t="shared" si="1283"/>
        <v>16:30 001/p1</v>
      </c>
      <c r="E613" s="293" t="str">
        <f t="shared" si="1283"/>
        <v>17:30 001/p1</v>
      </c>
      <c r="F613" s="293" t="str">
        <f t="shared" si="1283"/>
        <v>18:30 001/p1</v>
      </c>
      <c r="G613" s="293" t="str">
        <f t="shared" si="1283"/>
        <v>19:30 001/p1</v>
      </c>
      <c r="H613" s="293" t="str">
        <f t="shared" ref="H613:I613" si="1284">TEXT(IF($B613=0," ",$B613+H$6),"hh:mm am/pm")</f>
        <v>02:30 001/p1</v>
      </c>
      <c r="I613" s="293" t="str">
        <f t="shared" si="1284"/>
        <v>07:30 001/p1</v>
      </c>
      <c r="J613" s="537" t="s">
        <v>406</v>
      </c>
      <c r="K613" s="295"/>
      <c r="L613" s="319" t="s">
        <v>179</v>
      </c>
      <c r="M613" s="320" t="s">
        <v>71</v>
      </c>
      <c r="N613" s="321" t="s">
        <v>57</v>
      </c>
      <c r="O613" s="322" t="s">
        <v>104</v>
      </c>
      <c r="P613" s="323" t="s">
        <v>59</v>
      </c>
      <c r="Q613" s="324">
        <v>800</v>
      </c>
      <c r="R613" s="375" t="s">
        <v>60</v>
      </c>
      <c r="S613" s="326"/>
      <c r="T613" s="327" t="s">
        <v>61</v>
      </c>
      <c r="U613" s="321" t="s">
        <v>62</v>
      </c>
      <c r="V613" s="321">
        <v>2.4</v>
      </c>
      <c r="W613" s="321">
        <v>2.4</v>
      </c>
      <c r="X613" s="328"/>
      <c r="Y613" s="329" t="s">
        <v>63</v>
      </c>
      <c r="Z613" s="321">
        <v>1.6</v>
      </c>
      <c r="AA613" s="330">
        <v>50000</v>
      </c>
      <c r="AB613" s="330" t="s">
        <v>65</v>
      </c>
      <c r="AC613" s="331">
        <v>0.1</v>
      </c>
      <c r="AD613" s="331">
        <v>0.02</v>
      </c>
      <c r="AE613" s="330" t="s">
        <v>66</v>
      </c>
      <c r="AF613" s="332">
        <v>50000</v>
      </c>
      <c r="AG613" s="333">
        <v>7</v>
      </c>
      <c r="AH613" s="333">
        <v>7</v>
      </c>
      <c r="AI613" s="333">
        <v>7</v>
      </c>
      <c r="AJ613" s="327">
        <v>15</v>
      </c>
      <c r="AK613" s="335" t="s">
        <v>67</v>
      </c>
      <c r="AL613" s="335" t="s">
        <v>68</v>
      </c>
      <c r="AM613" s="336" t="s">
        <v>69</v>
      </c>
      <c r="AN613" s="336" t="s">
        <v>70</v>
      </c>
      <c r="AO613" s="314">
        <f t="shared" si="1140"/>
        <v>0.93056712962963</v>
      </c>
      <c r="AP613" s="315">
        <f t="shared" si="1141"/>
        <v>379</v>
      </c>
      <c r="AQ613" s="316" t="str">
        <f t="shared" si="1142"/>
        <v>MICRO</v>
      </c>
    </row>
    <row r="614" ht="29.25" customHeight="1" outlineLevel="1" spans="1:43">
      <c r="B614" s="317">
        <v>0.875011574074074</v>
      </c>
      <c r="C614" s="293" t="str">
        <f t="shared" ref="C614:G614" si="1285">TEXT(IF($B614=0," ",$B614-C$6),"hh:mm am/pm")</f>
        <v>19:00 001/p1</v>
      </c>
      <c r="D614" s="293" t="str">
        <f t="shared" si="1285"/>
        <v>17:00 001/p1</v>
      </c>
      <c r="E614" s="293" t="str">
        <f t="shared" si="1285"/>
        <v>18:00 001/p1</v>
      </c>
      <c r="F614" s="293" t="str">
        <f t="shared" si="1285"/>
        <v>19:00 001/p1</v>
      </c>
      <c r="G614" s="293" t="str">
        <f t="shared" si="1285"/>
        <v>20:00 001/p1</v>
      </c>
      <c r="H614" s="293" t="str">
        <f t="shared" ref="H614:I614" si="1286">TEXT(IF($B614=0," ",$B614+H$6),"hh:mm am/pm")</f>
        <v>03:00 001/p1</v>
      </c>
      <c r="I614" s="293" t="str">
        <f t="shared" si="1286"/>
        <v>08:00 001/p1</v>
      </c>
      <c r="J614" s="294" t="s">
        <v>116</v>
      </c>
      <c r="K614" s="295"/>
      <c r="L614" s="337" t="s">
        <v>117</v>
      </c>
      <c r="M614" s="338" t="s">
        <v>71</v>
      </c>
      <c r="N614" s="339" t="s">
        <v>100</v>
      </c>
      <c r="O614" s="340" t="s">
        <v>74</v>
      </c>
      <c r="P614" s="341" t="s">
        <v>101</v>
      </c>
      <c r="Q614" s="342">
        <v>240</v>
      </c>
      <c r="R614" s="343" t="s">
        <v>60</v>
      </c>
      <c r="S614" s="344"/>
      <c r="T614" s="345" t="s">
        <v>61</v>
      </c>
      <c r="U614" s="339" t="s">
        <v>62</v>
      </c>
      <c r="V614" s="339">
        <v>1</v>
      </c>
      <c r="W614" s="339">
        <v>1</v>
      </c>
      <c r="X614" s="354"/>
      <c r="Y614" s="347" t="s">
        <v>79</v>
      </c>
      <c r="Z614" s="339">
        <v>1</v>
      </c>
      <c r="AA614" s="348">
        <v>80000</v>
      </c>
      <c r="AB614" s="348" t="s">
        <v>65</v>
      </c>
      <c r="AC614" s="349">
        <v>0.1</v>
      </c>
      <c r="AD614" s="349">
        <v>0.02</v>
      </c>
      <c r="AE614" s="348" t="s">
        <v>88</v>
      </c>
      <c r="AF614" s="346">
        <v>40000</v>
      </c>
      <c r="AG614" s="350">
        <v>8</v>
      </c>
      <c r="AH614" s="350">
        <v>7</v>
      </c>
      <c r="AI614" s="350">
        <v>7</v>
      </c>
      <c r="AJ614" s="345">
        <v>12</v>
      </c>
      <c r="AK614" s="352" t="s">
        <v>67</v>
      </c>
      <c r="AL614" s="352" t="s">
        <v>68</v>
      </c>
      <c r="AM614" s="353" t="s">
        <v>69</v>
      </c>
      <c r="AN614" s="353" t="s">
        <v>70</v>
      </c>
      <c r="AO614" s="314">
        <f t="shared" si="1140"/>
        <v>0.945150462962963</v>
      </c>
      <c r="AP614" s="315">
        <f t="shared" si="1141"/>
        <v>273</v>
      </c>
      <c r="AQ614" s="316" t="str">
        <f t="shared" si="1142"/>
        <v>MICRO</v>
      </c>
    </row>
    <row r="615" ht="29.25" customHeight="1" outlineLevel="1" spans="1:43">
      <c r="B615" s="317">
        <v>0.875011574074074</v>
      </c>
      <c r="C615" s="293" t="str">
        <f t="shared" ref="C615:G615" si="1287">TEXT(IF($B615=0," ",$B615-C$6),"hh:mm am/pm")</f>
        <v>19:00 001/p1</v>
      </c>
      <c r="D615" s="293" t="str">
        <f t="shared" si="1287"/>
        <v>17:00 001/p1</v>
      </c>
      <c r="E615" s="293" t="str">
        <f t="shared" si="1287"/>
        <v>18:00 001/p1</v>
      </c>
      <c r="F615" s="293" t="str">
        <f t="shared" si="1287"/>
        <v>19:00 001/p1</v>
      </c>
      <c r="G615" s="293" t="str">
        <f t="shared" si="1287"/>
        <v>20:00 001/p1</v>
      </c>
      <c r="H615" s="293" t="str">
        <f t="shared" ref="H615:I615" si="1288">TEXT(IF($B615=0," ",$B615+H$6),"hh:mm am/pm")</f>
        <v>03:00 001/p1</v>
      </c>
      <c r="I615" s="293" t="str">
        <f t="shared" si="1288"/>
        <v>08:00 001/p1</v>
      </c>
      <c r="J615" s="294" t="s">
        <v>175</v>
      </c>
      <c r="K615" s="295"/>
      <c r="L615" s="319" t="s">
        <v>124</v>
      </c>
      <c r="M615" s="320" t="s">
        <v>71</v>
      </c>
      <c r="N615" s="321" t="s">
        <v>122</v>
      </c>
      <c r="O615" s="322" t="s">
        <v>82</v>
      </c>
      <c r="P615" s="323" t="s">
        <v>59</v>
      </c>
      <c r="Q615" s="324">
        <v>150</v>
      </c>
      <c r="R615" s="375" t="s">
        <v>60</v>
      </c>
      <c r="S615" s="326"/>
      <c r="T615" s="327" t="s">
        <v>61</v>
      </c>
      <c r="U615" s="321" t="s">
        <v>62</v>
      </c>
      <c r="V615" s="321">
        <v>0.6</v>
      </c>
      <c r="W615" s="321">
        <v>0.6</v>
      </c>
      <c r="X615" s="328"/>
      <c r="Y615" s="329" t="s">
        <v>63</v>
      </c>
      <c r="Z615" s="326"/>
      <c r="AA615" s="330" t="s">
        <v>64</v>
      </c>
      <c r="AB615" s="330" t="s">
        <v>65</v>
      </c>
      <c r="AC615" s="331">
        <v>0.1</v>
      </c>
      <c r="AD615" s="331">
        <v>0</v>
      </c>
      <c r="AE615" s="330" t="s">
        <v>66</v>
      </c>
      <c r="AF615" s="332">
        <v>50000</v>
      </c>
      <c r="AG615" s="333">
        <v>7</v>
      </c>
      <c r="AH615" s="333">
        <v>6</v>
      </c>
      <c r="AI615" s="333">
        <v>6</v>
      </c>
      <c r="AJ615" s="327">
        <v>15</v>
      </c>
      <c r="AK615" s="335" t="s">
        <v>67</v>
      </c>
      <c r="AL615" s="335" t="s">
        <v>68</v>
      </c>
      <c r="AM615" s="336" t="s">
        <v>69</v>
      </c>
      <c r="AN615" s="336" t="s">
        <v>70</v>
      </c>
      <c r="AO615" s="314">
        <f t="shared" si="1140"/>
        <v>0.951400462962963</v>
      </c>
      <c r="AP615" s="315">
        <f t="shared" si="1141"/>
        <v>278</v>
      </c>
      <c r="AQ615" s="316" t="str">
        <f t="shared" si="1142"/>
        <v>MICRO</v>
      </c>
    </row>
    <row r="616" ht="29.25" customHeight="1" outlineLevel="1" spans="1:43">
      <c r="A616" s="363" t="s">
        <v>385</v>
      </c>
      <c r="B616" s="317">
        <v>0.875011574074074</v>
      </c>
      <c r="C616" s="293" t="str">
        <f t="shared" ref="C616:G616" si="1289">TEXT(IF($B616=0," ",$B616-C$6),"hh:mm am/pm")</f>
        <v>19:00 001/p1</v>
      </c>
      <c r="D616" s="293" t="str">
        <f t="shared" si="1289"/>
        <v>17:00 001/p1</v>
      </c>
      <c r="E616" s="293" t="str">
        <f t="shared" si="1289"/>
        <v>18:00 001/p1</v>
      </c>
      <c r="F616" s="293" t="str">
        <f t="shared" si="1289"/>
        <v>19:00 001/p1</v>
      </c>
      <c r="G616" s="293" t="str">
        <f t="shared" si="1289"/>
        <v>20:00 001/p1</v>
      </c>
      <c r="H616" s="293" t="str">
        <f t="shared" ref="H616:I616" si="1290">TEXT(IF($B616=0," ",$B616+H$6),"hh:mm am/pm")</f>
        <v>03:00 001/p1</v>
      </c>
      <c r="I616" s="293" t="str">
        <f t="shared" si="1290"/>
        <v>08:00 001/p1</v>
      </c>
      <c r="J616" s="294" t="s">
        <v>262</v>
      </c>
      <c r="K616" s="295"/>
      <c r="L616" s="337" t="s">
        <v>119</v>
      </c>
      <c r="M616" s="338" t="s">
        <v>71</v>
      </c>
      <c r="N616" s="339" t="s">
        <v>57</v>
      </c>
      <c r="O616" s="340" t="s">
        <v>74</v>
      </c>
      <c r="P616" s="341" t="s">
        <v>75</v>
      </c>
      <c r="Q616" s="342">
        <v>1500</v>
      </c>
      <c r="R616" s="343" t="s">
        <v>60</v>
      </c>
      <c r="S616" s="344"/>
      <c r="T616" s="345" t="s">
        <v>77</v>
      </c>
      <c r="U616" s="339" t="s">
        <v>78</v>
      </c>
      <c r="V616" s="339">
        <v>1</v>
      </c>
      <c r="W616" s="339">
        <v>1</v>
      </c>
      <c r="X616" s="354"/>
      <c r="Y616" s="538" t="s">
        <v>79</v>
      </c>
      <c r="Z616" s="339">
        <v>1</v>
      </c>
      <c r="AA616" s="348">
        <v>250000</v>
      </c>
      <c r="AB616" s="348" t="s">
        <v>65</v>
      </c>
      <c r="AC616" s="349">
        <v>0.1</v>
      </c>
      <c r="AD616" s="349">
        <v>0.02</v>
      </c>
      <c r="AE616" s="535" t="s">
        <v>88</v>
      </c>
      <c r="AF616" s="346">
        <v>50000</v>
      </c>
      <c r="AG616" s="350">
        <v>8</v>
      </c>
      <c r="AH616" s="350">
        <v>7</v>
      </c>
      <c r="AI616" s="350">
        <v>7</v>
      </c>
      <c r="AJ616" s="345">
        <v>15</v>
      </c>
      <c r="AK616" s="352" t="s">
        <v>67</v>
      </c>
      <c r="AL616" s="352" t="s">
        <v>68</v>
      </c>
      <c r="AM616" s="353" t="s">
        <v>69</v>
      </c>
      <c r="AN616" s="353" t="s">
        <v>70</v>
      </c>
      <c r="AO616" s="314">
        <f t="shared" si="1140"/>
        <v>0.965289351851852</v>
      </c>
      <c r="AP616" s="315">
        <f t="shared" si="1141"/>
        <v>1705</v>
      </c>
      <c r="AQ616" s="316" t="str">
        <f t="shared" si="1142"/>
        <v>MICRO</v>
      </c>
    </row>
    <row r="617" ht="29.25" customHeight="1" outlineLevel="1" spans="1:43">
      <c r="B617" s="317">
        <v>0.916678240740741</v>
      </c>
      <c r="C617" s="293" t="str">
        <f t="shared" ref="C617:G617" si="1291">TEXT(IF($B617=0," ",$B617-C$6),"hh:mm am/pm")</f>
        <v>20:00 001/p1</v>
      </c>
      <c r="D617" s="293" t="str">
        <f t="shared" si="1291"/>
        <v>18:00 001/p1</v>
      </c>
      <c r="E617" s="293" t="str">
        <f t="shared" si="1291"/>
        <v>19:00 001/p1</v>
      </c>
      <c r="F617" s="293" t="str">
        <f t="shared" si="1291"/>
        <v>20:00 001/p1</v>
      </c>
      <c r="G617" s="293" t="str">
        <f t="shared" si="1291"/>
        <v>21:00 001/p1</v>
      </c>
      <c r="H617" s="293" t="str">
        <f t="shared" ref="H617:I617" si="1292">TEXT(IF($B617=0," ",$B617+H$6),"hh:mm am/pm")</f>
        <v>04:00 001/p1</v>
      </c>
      <c r="I617" s="293" t="str">
        <f t="shared" si="1292"/>
        <v>09:00 001/p1</v>
      </c>
      <c r="J617" s="540" t="s">
        <v>147</v>
      </c>
      <c r="K617" s="295"/>
      <c r="L617" s="319" t="s">
        <v>73</v>
      </c>
      <c r="M617" s="320" t="s">
        <v>71</v>
      </c>
      <c r="N617" s="321" t="s">
        <v>57</v>
      </c>
      <c r="O617" s="322" t="s">
        <v>74</v>
      </c>
      <c r="P617" s="323" t="s">
        <v>256</v>
      </c>
      <c r="Q617" s="324">
        <v>3200</v>
      </c>
      <c r="R617" s="325" t="s">
        <v>76</v>
      </c>
      <c r="S617" s="326"/>
      <c r="T617" s="327" t="s">
        <v>115</v>
      </c>
      <c r="U617" s="321" t="s">
        <v>62</v>
      </c>
      <c r="V617" s="321">
        <v>3</v>
      </c>
      <c r="W617" s="321">
        <v>3</v>
      </c>
      <c r="X617" s="328"/>
      <c r="Y617" s="539" t="s">
        <v>79</v>
      </c>
      <c r="Z617" s="321">
        <v>3</v>
      </c>
      <c r="AA617" s="330">
        <v>160000</v>
      </c>
      <c r="AB617" s="330" t="s">
        <v>65</v>
      </c>
      <c r="AC617" s="331">
        <v>0.1</v>
      </c>
      <c r="AD617" s="331">
        <v>0.02</v>
      </c>
      <c r="AE617" s="534" t="s">
        <v>88</v>
      </c>
      <c r="AF617" s="332">
        <v>40000</v>
      </c>
      <c r="AG617" s="333">
        <v>8</v>
      </c>
      <c r="AH617" s="333">
        <v>7</v>
      </c>
      <c r="AI617" s="333">
        <v>7</v>
      </c>
      <c r="AJ617" s="327">
        <v>13</v>
      </c>
      <c r="AK617" s="335" t="s">
        <v>67</v>
      </c>
      <c r="AL617" s="335" t="s">
        <v>68</v>
      </c>
      <c r="AM617" s="336" t="s">
        <v>69</v>
      </c>
      <c r="AN617" s="336" t="s">
        <v>70</v>
      </c>
      <c r="AO617" s="314">
        <f t="shared" si="1140"/>
        <v>0.992372685185185</v>
      </c>
      <c r="AP617" s="315">
        <f t="shared" si="1141"/>
        <v>1213</v>
      </c>
      <c r="AQ617" s="316" t="str">
        <f t="shared" si="1142"/>
        <v>MICRO</v>
      </c>
    </row>
    <row r="618" ht="29.25" customHeight="1" outlineLevel="1" spans="1:43">
      <c r="B618" s="317">
        <v>0.916678240740741</v>
      </c>
      <c r="C618" s="293" t="str">
        <f t="shared" ref="C618:G618" si="1293">TEXT(IF($B618=0," ",$B618-C$6),"hh:mm am/pm")</f>
        <v>20:00 001/p1</v>
      </c>
      <c r="D618" s="293" t="str">
        <f t="shared" si="1293"/>
        <v>18:00 001/p1</v>
      </c>
      <c r="E618" s="293" t="str">
        <f t="shared" si="1293"/>
        <v>19:00 001/p1</v>
      </c>
      <c r="F618" s="293" t="str">
        <f t="shared" si="1293"/>
        <v>20:00 001/p1</v>
      </c>
      <c r="G618" s="293" t="str">
        <f t="shared" si="1293"/>
        <v>21:00 001/p1</v>
      </c>
      <c r="H618" s="293" t="str">
        <f t="shared" ref="H618:I618" si="1294">TEXT(IF($B618=0," ",$B618+H$6),"hh:mm am/pm")</f>
        <v>04:00 001/p1</v>
      </c>
      <c r="I618" s="293" t="str">
        <f t="shared" si="1294"/>
        <v>09:00 001/p1</v>
      </c>
      <c r="J618" s="294" t="s">
        <v>340</v>
      </c>
      <c r="K618" s="295"/>
      <c r="L618" s="337" t="s">
        <v>174</v>
      </c>
      <c r="M618" s="338" t="s">
        <v>71</v>
      </c>
      <c r="N618" s="339" t="s">
        <v>57</v>
      </c>
      <c r="O618" s="340" t="s">
        <v>82</v>
      </c>
      <c r="P618" s="341" t="s">
        <v>59</v>
      </c>
      <c r="Q618" s="342">
        <v>2000</v>
      </c>
      <c r="R618" s="343" t="s">
        <v>60</v>
      </c>
      <c r="S618" s="344"/>
      <c r="T618" s="345" t="s">
        <v>92</v>
      </c>
      <c r="U618" s="339" t="s">
        <v>62</v>
      </c>
      <c r="V618" s="339">
        <v>22</v>
      </c>
      <c r="W618" s="339">
        <v>22</v>
      </c>
      <c r="X618" s="354"/>
      <c r="Y618" s="538" t="s">
        <v>63</v>
      </c>
      <c r="Z618" s="344"/>
      <c r="AA618" s="348" t="s">
        <v>64</v>
      </c>
      <c r="AB618" s="348" t="s">
        <v>65</v>
      </c>
      <c r="AC618" s="349">
        <v>0.1</v>
      </c>
      <c r="AD618" s="349">
        <v>0.02</v>
      </c>
      <c r="AE618" s="345" t="s">
        <v>66</v>
      </c>
      <c r="AF618" s="346">
        <v>50000</v>
      </c>
      <c r="AG618" s="350">
        <v>8</v>
      </c>
      <c r="AH618" s="350">
        <v>8</v>
      </c>
      <c r="AI618" s="350">
        <v>8</v>
      </c>
      <c r="AJ618" s="345">
        <v>15</v>
      </c>
      <c r="AK618" s="352" t="s">
        <v>67</v>
      </c>
      <c r="AL618" s="352" t="s">
        <v>68</v>
      </c>
      <c r="AM618" s="353" t="s">
        <v>69</v>
      </c>
      <c r="AN618" s="353" t="s">
        <v>70</v>
      </c>
      <c r="AO618" s="314">
        <f t="shared" si="1140"/>
        <v>1.00695601851852</v>
      </c>
      <c r="AP618" s="315">
        <f t="shared" si="1141"/>
        <v>104</v>
      </c>
      <c r="AQ618" s="316" t="str">
        <f t="shared" si="1142"/>
        <v>MEDIUM</v>
      </c>
    </row>
    <row r="619" ht="29.25" customHeight="1" outlineLevel="1" spans="1:43">
      <c r="A619" s="363" t="s">
        <v>385</v>
      </c>
      <c r="B619" s="317">
        <v>0.916678240740741</v>
      </c>
      <c r="C619" s="293" t="str">
        <f t="shared" ref="C619:G619" si="1295">TEXT(IF($B619=0," ",$B619-C$6),"hh:mm am/pm")</f>
        <v>20:00 001/p1</v>
      </c>
      <c r="D619" s="293" t="str">
        <f t="shared" si="1295"/>
        <v>18:00 001/p1</v>
      </c>
      <c r="E619" s="293" t="str">
        <f t="shared" si="1295"/>
        <v>19:00 001/p1</v>
      </c>
      <c r="F619" s="293" t="str">
        <f t="shared" si="1295"/>
        <v>20:00 001/p1</v>
      </c>
      <c r="G619" s="293" t="str">
        <f t="shared" si="1295"/>
        <v>21:00 001/p1</v>
      </c>
      <c r="H619" s="293" t="str">
        <f t="shared" ref="H619:I619" si="1296">TEXT(IF($B619=0," ",$B619+H$6),"hh:mm am/pm")</f>
        <v>04:00 001/p1</v>
      </c>
      <c r="I619" s="293" t="str">
        <f t="shared" si="1296"/>
        <v>09:00 001/p1</v>
      </c>
      <c r="J619" s="294" t="s">
        <v>265</v>
      </c>
      <c r="K619" s="295"/>
      <c r="L619" s="319" t="s">
        <v>266</v>
      </c>
      <c r="M619" s="320" t="s">
        <v>71</v>
      </c>
      <c r="N619" s="321" t="s">
        <v>100</v>
      </c>
      <c r="O619" s="322" t="s">
        <v>82</v>
      </c>
      <c r="P619" s="323" t="s">
        <v>101</v>
      </c>
      <c r="Q619" s="324">
        <v>2000</v>
      </c>
      <c r="R619" s="375" t="s">
        <v>60</v>
      </c>
      <c r="S619" s="326"/>
      <c r="T619" s="327" t="s">
        <v>92</v>
      </c>
      <c r="U619" s="321" t="s">
        <v>62</v>
      </c>
      <c r="V619" s="321">
        <v>11</v>
      </c>
      <c r="W619" s="321">
        <v>11</v>
      </c>
      <c r="X619" s="328"/>
      <c r="Y619" s="329" t="s">
        <v>63</v>
      </c>
      <c r="Z619" s="326"/>
      <c r="AA619" s="330" t="s">
        <v>64</v>
      </c>
      <c r="AB619" s="330" t="s">
        <v>65</v>
      </c>
      <c r="AC619" s="331">
        <v>0.1</v>
      </c>
      <c r="AD619" s="331">
        <v>0.02</v>
      </c>
      <c r="AE619" s="534" t="s">
        <v>66</v>
      </c>
      <c r="AF619" s="332">
        <v>40000</v>
      </c>
      <c r="AG619" s="333">
        <v>7</v>
      </c>
      <c r="AH619" s="333">
        <v>7</v>
      </c>
      <c r="AI619" s="333">
        <v>7</v>
      </c>
      <c r="AJ619" s="327">
        <v>14</v>
      </c>
      <c r="AK619" s="335" t="s">
        <v>67</v>
      </c>
      <c r="AL619" s="335" t="s">
        <v>68</v>
      </c>
      <c r="AM619" s="336" t="s">
        <v>69</v>
      </c>
      <c r="AN619" s="336" t="s">
        <v>70</v>
      </c>
      <c r="AO619" s="314">
        <f t="shared" si="1140"/>
        <v>0.988206018518519</v>
      </c>
      <c r="AP619" s="315">
        <f t="shared" si="1141"/>
        <v>207</v>
      </c>
      <c r="AQ619" s="316" t="str">
        <f t="shared" si="1142"/>
        <v>LOW</v>
      </c>
    </row>
    <row r="620" ht="29.25" customHeight="1" outlineLevel="1" spans="1:43">
      <c r="B620" s="317">
        <v>0.927094907407407</v>
      </c>
      <c r="C620" s="293" t="str">
        <f t="shared" ref="C620:G620" si="1297">TEXT(IF($B620=0," ",$B620-C$6),"hh:mm am/pm")</f>
        <v>20:15 001/p1</v>
      </c>
      <c r="D620" s="293" t="str">
        <f t="shared" si="1297"/>
        <v>18:15 001/p1</v>
      </c>
      <c r="E620" s="293" t="str">
        <f t="shared" si="1297"/>
        <v>19:15 001/p1</v>
      </c>
      <c r="F620" s="293" t="str">
        <f t="shared" si="1297"/>
        <v>20:15 001/p1</v>
      </c>
      <c r="G620" s="293" t="str">
        <f t="shared" si="1297"/>
        <v>21:15 001/p1</v>
      </c>
      <c r="H620" s="293" t="str">
        <f t="shared" ref="H620:I620" si="1298">TEXT(IF($B620=0," ",$B620+H$6),"hh:mm am/pm")</f>
        <v>04:15 001/p1</v>
      </c>
      <c r="I620" s="293" t="str">
        <f t="shared" si="1298"/>
        <v>09:15 001/p1</v>
      </c>
      <c r="J620" s="294" t="s">
        <v>149</v>
      </c>
      <c r="K620" s="295"/>
      <c r="L620" s="337" t="s">
        <v>149</v>
      </c>
      <c r="M620" s="338" t="s">
        <v>71</v>
      </c>
      <c r="N620" s="339" t="s">
        <v>57</v>
      </c>
      <c r="O620" s="340" t="s">
        <v>74</v>
      </c>
      <c r="P620" s="341" t="s">
        <v>75</v>
      </c>
      <c r="Q620" s="342">
        <v>60</v>
      </c>
      <c r="R620" s="343" t="s">
        <v>60</v>
      </c>
      <c r="S620" s="344"/>
      <c r="T620" s="345" t="s">
        <v>61</v>
      </c>
      <c r="U620" s="339" t="s">
        <v>62</v>
      </c>
      <c r="V620" s="339">
        <v>0.6</v>
      </c>
      <c r="W620" s="339">
        <v>0.6</v>
      </c>
      <c r="X620" s="354"/>
      <c r="Y620" s="347" t="s">
        <v>63</v>
      </c>
      <c r="Z620" s="339">
        <v>0.6</v>
      </c>
      <c r="AA620" s="348">
        <v>30000</v>
      </c>
      <c r="AB620" s="348" t="s">
        <v>65</v>
      </c>
      <c r="AC620" s="349">
        <v>0.1</v>
      </c>
      <c r="AD620" s="349">
        <v>0</v>
      </c>
      <c r="AE620" s="345" t="s">
        <v>112</v>
      </c>
      <c r="AF620" s="346">
        <v>20000</v>
      </c>
      <c r="AG620" s="350">
        <v>5</v>
      </c>
      <c r="AH620" s="350">
        <v>5</v>
      </c>
      <c r="AI620" s="350">
        <v>5</v>
      </c>
      <c r="AJ620" s="345">
        <v>15</v>
      </c>
      <c r="AK620" s="352" t="s">
        <v>150</v>
      </c>
      <c r="AL620" s="352" t="s">
        <v>68</v>
      </c>
      <c r="AM620" s="353" t="s">
        <v>69</v>
      </c>
      <c r="AN620" s="353" t="s">
        <v>70</v>
      </c>
      <c r="AO620" s="314">
        <f t="shared" si="1140"/>
        <v>0.982650462962963</v>
      </c>
      <c r="AP620" s="315">
        <f t="shared" si="1141"/>
        <v>112</v>
      </c>
      <c r="AQ620" s="316" t="str">
        <f t="shared" si="1142"/>
        <v>MICRO</v>
      </c>
    </row>
    <row r="621" ht="29.25" customHeight="1" outlineLevel="1" spans="1:43">
      <c r="B621" s="317">
        <v>0.958344907407407</v>
      </c>
      <c r="C621" s="293" t="str">
        <f t="shared" ref="C621:G621" si="1299">TEXT(IF($B621=0," ",$B621-C$6),"hh:mm am/pm")</f>
        <v>21:00 001/p1</v>
      </c>
      <c r="D621" s="293" t="str">
        <f t="shared" si="1299"/>
        <v>19:00 001/p1</v>
      </c>
      <c r="E621" s="293" t="str">
        <f t="shared" si="1299"/>
        <v>20:00 001/p1</v>
      </c>
      <c r="F621" s="293" t="str">
        <f t="shared" si="1299"/>
        <v>21:00 001/p1</v>
      </c>
      <c r="G621" s="293" t="str">
        <f t="shared" si="1299"/>
        <v>22:00 001/p1</v>
      </c>
      <c r="H621" s="293" t="str">
        <f t="shared" ref="H621:I621" si="1300">TEXT(IF($B621=0," ",$B621+H$6),"hh:mm am/pm")</f>
        <v>05:00 001/p1</v>
      </c>
      <c r="I621" s="293" t="str">
        <f t="shared" si="1300"/>
        <v>10:00 001/p1</v>
      </c>
      <c r="J621" s="294" t="s">
        <v>269</v>
      </c>
      <c r="K621" s="295"/>
      <c r="L621" s="319" t="s">
        <v>126</v>
      </c>
      <c r="M621" s="320" t="s">
        <v>71</v>
      </c>
      <c r="N621" s="321" t="s">
        <v>57</v>
      </c>
      <c r="O621" s="322" t="s">
        <v>144</v>
      </c>
      <c r="P621" s="323" t="s">
        <v>59</v>
      </c>
      <c r="Q621" s="324">
        <v>240</v>
      </c>
      <c r="R621" s="375" t="s">
        <v>60</v>
      </c>
      <c r="S621" s="326"/>
      <c r="T621" s="327" t="s">
        <v>61</v>
      </c>
      <c r="U621" s="321" t="s">
        <v>62</v>
      </c>
      <c r="V621" s="321">
        <v>4</v>
      </c>
      <c r="W621" s="321">
        <v>4</v>
      </c>
      <c r="X621" s="328"/>
      <c r="Y621" s="329" t="s">
        <v>63</v>
      </c>
      <c r="Z621" s="326"/>
      <c r="AA621" s="330" t="s">
        <v>64</v>
      </c>
      <c r="AB621" s="330" t="s">
        <v>65</v>
      </c>
      <c r="AC621" s="331">
        <v>0.1</v>
      </c>
      <c r="AD621" s="331">
        <v>0.02</v>
      </c>
      <c r="AE621" s="541" t="s">
        <v>66</v>
      </c>
      <c r="AF621" s="332">
        <v>30000</v>
      </c>
      <c r="AG621" s="333">
        <v>7</v>
      </c>
      <c r="AH621" s="333">
        <v>6</v>
      </c>
      <c r="AI621" s="333">
        <v>6</v>
      </c>
      <c r="AJ621" s="327">
        <v>13</v>
      </c>
      <c r="AK621" s="335" t="s">
        <v>67</v>
      </c>
      <c r="AL621" s="335" t="s">
        <v>68</v>
      </c>
      <c r="AM621" s="336" t="s">
        <v>69</v>
      </c>
      <c r="AN621" s="336" t="s">
        <v>70</v>
      </c>
      <c r="AO621" s="314">
        <f t="shared" si="1140"/>
        <v>1.02501157407407</v>
      </c>
      <c r="AP621" s="315">
        <f t="shared" si="1141"/>
        <v>69</v>
      </c>
      <c r="AQ621" s="316" t="str">
        <f t="shared" si="1142"/>
        <v>MICRO</v>
      </c>
    </row>
    <row r="622" ht="29.25" customHeight="1" outlineLevel="1" spans="1:43">
      <c r="A622" s="363" t="s">
        <v>385</v>
      </c>
      <c r="B622" s="317">
        <v>0.958344907407407</v>
      </c>
      <c r="C622" s="293" t="str">
        <f t="shared" ref="C622:G622" si="1301">TEXT(IF($B622=0," ",$B622-C$6),"hh:mm am/pm")</f>
        <v>21:00 001/p1</v>
      </c>
      <c r="D622" s="293" t="str">
        <f t="shared" si="1301"/>
        <v>19:00 001/p1</v>
      </c>
      <c r="E622" s="293" t="str">
        <f t="shared" si="1301"/>
        <v>20:00 001/p1</v>
      </c>
      <c r="F622" s="293" t="str">
        <f t="shared" si="1301"/>
        <v>21:00 001/p1</v>
      </c>
      <c r="G622" s="293" t="str">
        <f t="shared" si="1301"/>
        <v>22:00 001/p1</v>
      </c>
      <c r="H622" s="293" t="str">
        <f t="shared" ref="H622:I622" si="1302">TEXT(IF($B622=0," ",$B622+H$6),"hh:mm am/pm")</f>
        <v>05:00 001/p1</v>
      </c>
      <c r="I622" s="293" t="str">
        <f t="shared" si="1302"/>
        <v>10:00 001/p1</v>
      </c>
      <c r="J622" s="294" t="s">
        <v>163</v>
      </c>
      <c r="K622" s="295"/>
      <c r="L622" s="337" t="s">
        <v>119</v>
      </c>
      <c r="M622" s="338" t="s">
        <v>71</v>
      </c>
      <c r="N622" s="339" t="s">
        <v>57</v>
      </c>
      <c r="O622" s="340" t="s">
        <v>74</v>
      </c>
      <c r="P622" s="341" t="s">
        <v>75</v>
      </c>
      <c r="Q622" s="342">
        <v>800</v>
      </c>
      <c r="R622" s="343" t="s">
        <v>60</v>
      </c>
      <c r="S622" s="344"/>
      <c r="T622" s="345" t="s">
        <v>77</v>
      </c>
      <c r="U622" s="339" t="s">
        <v>78</v>
      </c>
      <c r="V622" s="339">
        <v>0.8</v>
      </c>
      <c r="W622" s="339">
        <v>0.8</v>
      </c>
      <c r="X622" s="354"/>
      <c r="Y622" s="347" t="s">
        <v>79</v>
      </c>
      <c r="Z622" s="339">
        <v>0.8</v>
      </c>
      <c r="AA622" s="348">
        <v>50000</v>
      </c>
      <c r="AB622" s="348" t="s">
        <v>65</v>
      </c>
      <c r="AC622" s="349">
        <v>0.1</v>
      </c>
      <c r="AD622" s="349">
        <v>0.02</v>
      </c>
      <c r="AE622" s="542" t="s">
        <v>66</v>
      </c>
      <c r="AF622" s="346">
        <v>20000</v>
      </c>
      <c r="AG622" s="350">
        <v>6</v>
      </c>
      <c r="AH622" s="350">
        <v>5</v>
      </c>
      <c r="AI622" s="350">
        <v>5</v>
      </c>
      <c r="AJ622" s="345">
        <v>12</v>
      </c>
      <c r="AK622" s="352" t="s">
        <v>67</v>
      </c>
      <c r="AL622" s="352" t="s">
        <v>68</v>
      </c>
      <c r="AM622" s="353" t="s">
        <v>69</v>
      </c>
      <c r="AN622" s="353" t="s">
        <v>70</v>
      </c>
      <c r="AO622" s="314">
        <f t="shared" si="1140"/>
        <v>1.01181712962963</v>
      </c>
      <c r="AP622" s="315">
        <f t="shared" si="1141"/>
        <v>1137</v>
      </c>
      <c r="AQ622" s="316" t="str">
        <f t="shared" si="1142"/>
        <v>MICRO</v>
      </c>
    </row>
    <row r="623" ht="29.25" customHeight="1" outlineLevel="1" spans="1:43">
      <c r="B623" s="317">
        <v>0.958344907407407</v>
      </c>
      <c r="C623" s="293" t="str">
        <f t="shared" ref="C623:G623" si="1303">TEXT(IF($B623=0," ",$B623-C$6),"hh:mm am/pm")</f>
        <v>21:00 001/p1</v>
      </c>
      <c r="D623" s="293" t="str">
        <f t="shared" si="1303"/>
        <v>19:00 001/p1</v>
      </c>
      <c r="E623" s="293" t="str">
        <f t="shared" si="1303"/>
        <v>20:00 001/p1</v>
      </c>
      <c r="F623" s="293" t="str">
        <f t="shared" si="1303"/>
        <v>21:00 001/p1</v>
      </c>
      <c r="G623" s="293" t="str">
        <f t="shared" si="1303"/>
        <v>22:00 001/p1</v>
      </c>
      <c r="H623" s="293" t="str">
        <f t="shared" ref="H623:I623" si="1304">TEXT(IF($B623=0," ",$B623+H$6),"hh:mm am/pm")</f>
        <v>05:00 001/p1</v>
      </c>
      <c r="I623" s="293" t="str">
        <f t="shared" si="1304"/>
        <v>10:00 001/p1</v>
      </c>
      <c r="J623" s="294" t="s">
        <v>270</v>
      </c>
      <c r="K623" s="295"/>
      <c r="L623" s="319" t="s">
        <v>114</v>
      </c>
      <c r="M623" s="320" t="s">
        <v>71</v>
      </c>
      <c r="N623" s="321" t="s">
        <v>57</v>
      </c>
      <c r="O623" s="322" t="s">
        <v>74</v>
      </c>
      <c r="P623" s="323" t="s">
        <v>75</v>
      </c>
      <c r="Q623" s="324">
        <v>80</v>
      </c>
      <c r="R623" s="375" t="s">
        <v>60</v>
      </c>
      <c r="S623" s="326"/>
      <c r="T623" s="327" t="s">
        <v>77</v>
      </c>
      <c r="U623" s="321" t="s">
        <v>62</v>
      </c>
      <c r="V623" s="321">
        <v>0.2</v>
      </c>
      <c r="W623" s="321">
        <v>0.2</v>
      </c>
      <c r="X623" s="328"/>
      <c r="Y623" s="329" t="s">
        <v>79</v>
      </c>
      <c r="Z623" s="321">
        <v>0.2</v>
      </c>
      <c r="AA623" s="330">
        <v>40000</v>
      </c>
      <c r="AB623" s="330" t="s">
        <v>65</v>
      </c>
      <c r="AC623" s="331">
        <v>0.1</v>
      </c>
      <c r="AD623" s="331">
        <v>0</v>
      </c>
      <c r="AE623" s="541" t="s">
        <v>66</v>
      </c>
      <c r="AF623" s="332">
        <v>20000</v>
      </c>
      <c r="AG623" s="333">
        <v>5</v>
      </c>
      <c r="AH623" s="333">
        <v>5</v>
      </c>
      <c r="AI623" s="333">
        <v>5</v>
      </c>
      <c r="AJ623" s="327">
        <v>12</v>
      </c>
      <c r="AK623" s="335" t="s">
        <v>67</v>
      </c>
      <c r="AL623" s="335" t="s">
        <v>68</v>
      </c>
      <c r="AM623" s="336" t="s">
        <v>69</v>
      </c>
      <c r="AN623" s="336" t="s">
        <v>70</v>
      </c>
      <c r="AO623" s="314">
        <f t="shared" si="1140"/>
        <v>1.0034837962963</v>
      </c>
      <c r="AP623" s="315">
        <f t="shared" si="1141"/>
        <v>445</v>
      </c>
      <c r="AQ623" s="316" t="str">
        <f t="shared" si="1142"/>
        <v>MICRO</v>
      </c>
    </row>
    <row r="624" ht="29.25" customHeight="1" outlineLevel="1" spans="1:43">
      <c r="B624" s="317">
        <v>0.965289351851852</v>
      </c>
      <c r="C624" s="293" t="str">
        <f t="shared" ref="C624:G624" si="1305">TEXT(IF($B624=0," ",$B624-C$6),"hh:mm am/pm")</f>
        <v>21:10 001/p1</v>
      </c>
      <c r="D624" s="293" t="str">
        <f t="shared" si="1305"/>
        <v>19:10 001/p1</v>
      </c>
      <c r="E624" s="293" t="str">
        <f t="shared" si="1305"/>
        <v>20:10 001/p1</v>
      </c>
      <c r="F624" s="293" t="str">
        <f t="shared" si="1305"/>
        <v>21:10 001/p1</v>
      </c>
      <c r="G624" s="293" t="str">
        <f t="shared" si="1305"/>
        <v>22:10 001/p1</v>
      </c>
      <c r="H624" s="293" t="str">
        <f t="shared" ref="H624:I624" si="1306">TEXT(IF($B624=0," ",$B624+H$6),"hh:mm am/pm")</f>
        <v>05:10 001/p1</v>
      </c>
      <c r="I624" s="293" t="str">
        <f t="shared" si="1306"/>
        <v>10:10 001/p1</v>
      </c>
      <c r="J624" s="294" t="s">
        <v>273</v>
      </c>
      <c r="K624" s="295"/>
      <c r="L624" s="337" t="s">
        <v>129</v>
      </c>
      <c r="M624" s="338" t="s">
        <v>71</v>
      </c>
      <c r="N624" s="339" t="s">
        <v>122</v>
      </c>
      <c r="O624" s="340" t="s">
        <v>74</v>
      </c>
      <c r="P624" s="341" t="s">
        <v>101</v>
      </c>
      <c r="Q624" s="342">
        <v>80</v>
      </c>
      <c r="R624" s="343" t="s">
        <v>60</v>
      </c>
      <c r="S624" s="344"/>
      <c r="T624" s="345" t="s">
        <v>61</v>
      </c>
      <c r="U624" s="339" t="s">
        <v>62</v>
      </c>
      <c r="V624" s="339">
        <v>0.6</v>
      </c>
      <c r="W624" s="339">
        <v>0.6</v>
      </c>
      <c r="X624" s="354"/>
      <c r="Y624" s="347" t="s">
        <v>79</v>
      </c>
      <c r="Z624" s="339">
        <v>0.6</v>
      </c>
      <c r="AA624" s="348">
        <v>80000</v>
      </c>
      <c r="AB624" s="348" t="s">
        <v>65</v>
      </c>
      <c r="AC624" s="349">
        <v>0.1</v>
      </c>
      <c r="AD624" s="349">
        <v>0</v>
      </c>
      <c r="AE624" s="542" t="s">
        <v>88</v>
      </c>
      <c r="AF624" s="346">
        <v>40000</v>
      </c>
      <c r="AG624" s="350">
        <v>6</v>
      </c>
      <c r="AH624" s="350">
        <v>5</v>
      </c>
      <c r="AI624" s="350">
        <v>5</v>
      </c>
      <c r="AJ624" s="345">
        <v>12</v>
      </c>
      <c r="AK624" s="352" t="s">
        <v>67</v>
      </c>
      <c r="AL624" s="352" t="s">
        <v>68</v>
      </c>
      <c r="AM624" s="353" t="s">
        <v>69</v>
      </c>
      <c r="AN624" s="353" t="s">
        <v>70</v>
      </c>
      <c r="AO624" s="314">
        <f t="shared" si="1140"/>
        <v>1.01876157407407</v>
      </c>
      <c r="AP624" s="315">
        <f t="shared" si="1141"/>
        <v>149</v>
      </c>
      <c r="AQ624" s="316" t="str">
        <f t="shared" si="1142"/>
        <v>MICRO</v>
      </c>
    </row>
    <row r="625" ht="29.25" customHeight="1" outlineLevel="1" spans="1:43">
      <c r="A625" s="363" t="s">
        <v>385</v>
      </c>
      <c r="B625" s="317">
        <v>0.979178240740741</v>
      </c>
      <c r="C625" s="293" t="str">
        <f t="shared" ref="C625:G625" si="1307">TEXT(IF($B625=0," ",$B625-C$6),"hh:mm am/pm")</f>
        <v>21:30 001/p1</v>
      </c>
      <c r="D625" s="293" t="str">
        <f t="shared" si="1307"/>
        <v>19:30 001/p1</v>
      </c>
      <c r="E625" s="293" t="str">
        <f t="shared" si="1307"/>
        <v>20:30 001/p1</v>
      </c>
      <c r="F625" s="293" t="str">
        <f t="shared" si="1307"/>
        <v>21:30 001/p1</v>
      </c>
      <c r="G625" s="293" t="str">
        <f t="shared" si="1307"/>
        <v>22:30 001/p1</v>
      </c>
      <c r="H625" s="293" t="str">
        <f t="shared" ref="H625:I625" si="1308">TEXT(IF($B625=0," ",$B625+H$6),"hh:mm am/pm")</f>
        <v>05:30 001/p1</v>
      </c>
      <c r="I625" s="293" t="str">
        <f t="shared" si="1308"/>
        <v>10:30 001/p1</v>
      </c>
      <c r="J625" s="294" t="s">
        <v>151</v>
      </c>
      <c r="K625" s="295"/>
      <c r="L625" s="319" t="s">
        <v>152</v>
      </c>
      <c r="M625" s="320" t="s">
        <v>71</v>
      </c>
      <c r="N625" s="321" t="s">
        <v>57</v>
      </c>
      <c r="O625" s="322" t="s">
        <v>104</v>
      </c>
      <c r="P625" s="323" t="s">
        <v>59</v>
      </c>
      <c r="Q625" s="324">
        <v>600</v>
      </c>
      <c r="R625" s="375" t="s">
        <v>60</v>
      </c>
      <c r="S625" s="326"/>
      <c r="T625" s="327" t="s">
        <v>61</v>
      </c>
      <c r="U625" s="321" t="s">
        <v>62</v>
      </c>
      <c r="V625" s="321">
        <v>2</v>
      </c>
      <c r="W625" s="321">
        <v>2</v>
      </c>
      <c r="X625" s="328"/>
      <c r="Y625" s="329" t="s">
        <v>63</v>
      </c>
      <c r="Z625" s="326"/>
      <c r="AA625" s="330" t="s">
        <v>64</v>
      </c>
      <c r="AB625" s="330" t="s">
        <v>65</v>
      </c>
      <c r="AC625" s="331">
        <v>0.1</v>
      </c>
      <c r="AD625" s="331">
        <v>0.02</v>
      </c>
      <c r="AE625" s="541" t="s">
        <v>66</v>
      </c>
      <c r="AF625" s="332">
        <v>50000</v>
      </c>
      <c r="AG625" s="333">
        <v>6</v>
      </c>
      <c r="AH625" s="333">
        <v>5</v>
      </c>
      <c r="AI625" s="333">
        <v>5</v>
      </c>
      <c r="AJ625" s="327">
        <v>15</v>
      </c>
      <c r="AK625" s="335" t="s">
        <v>67</v>
      </c>
      <c r="AL625" s="335" t="s">
        <v>68</v>
      </c>
      <c r="AM625" s="336" t="s">
        <v>69</v>
      </c>
      <c r="AN625" s="336" t="s">
        <v>70</v>
      </c>
      <c r="AO625" s="314">
        <f t="shared" si="1140"/>
        <v>1.04515046296296</v>
      </c>
      <c r="AP625" s="315">
        <f t="shared" si="1141"/>
        <v>341</v>
      </c>
      <c r="AQ625" s="316" t="str">
        <f t="shared" si="1142"/>
        <v>MICRO</v>
      </c>
    </row>
    <row r="626" ht="29.25" customHeight="1" outlineLevel="1" spans="1:43">
      <c r="B626" s="317">
        <v>0.979178240740741</v>
      </c>
      <c r="C626" s="293" t="str">
        <f t="shared" ref="C626:G626" si="1309">TEXT(IF($B626=0," ",$B626-C$6),"hh:mm am/pm")</f>
        <v>21:30 001/p1</v>
      </c>
      <c r="D626" s="293" t="str">
        <f t="shared" si="1309"/>
        <v>19:30 001/p1</v>
      </c>
      <c r="E626" s="293" t="str">
        <f t="shared" si="1309"/>
        <v>20:30 001/p1</v>
      </c>
      <c r="F626" s="293" t="str">
        <f t="shared" si="1309"/>
        <v>21:30 001/p1</v>
      </c>
      <c r="G626" s="293" t="str">
        <f t="shared" si="1309"/>
        <v>22:30 001/p1</v>
      </c>
      <c r="H626" s="293" t="str">
        <f t="shared" ref="H626:I626" si="1310">TEXT(IF($B626=0," ",$B626+H$6),"hh:mm am/pm")</f>
        <v>05:30 001/p1</v>
      </c>
      <c r="I626" s="293" t="str">
        <f t="shared" si="1310"/>
        <v>10:30 001/p1</v>
      </c>
      <c r="J626" s="294" t="s">
        <v>377</v>
      </c>
      <c r="K626" s="295"/>
      <c r="L626" s="337" t="s">
        <v>272</v>
      </c>
      <c r="M626" s="338" t="s">
        <v>71</v>
      </c>
      <c r="N626" s="339" t="s">
        <v>57</v>
      </c>
      <c r="O626" s="340" t="s">
        <v>82</v>
      </c>
      <c r="P626" s="341" t="s">
        <v>75</v>
      </c>
      <c r="Q626" s="342">
        <v>2000</v>
      </c>
      <c r="R626" s="343" t="s">
        <v>60</v>
      </c>
      <c r="S626" s="344"/>
      <c r="T626" s="345" t="s">
        <v>92</v>
      </c>
      <c r="U626" s="339" t="s">
        <v>62</v>
      </c>
      <c r="V626" s="339">
        <v>11</v>
      </c>
      <c r="W626" s="339">
        <v>11</v>
      </c>
      <c r="X626" s="354"/>
      <c r="Y626" s="347" t="s">
        <v>63</v>
      </c>
      <c r="Z626" s="344"/>
      <c r="AA626" s="348" t="s">
        <v>64</v>
      </c>
      <c r="AB626" s="348" t="s">
        <v>65</v>
      </c>
      <c r="AC626" s="349">
        <v>0.1</v>
      </c>
      <c r="AD626" s="349">
        <v>0.02</v>
      </c>
      <c r="AE626" s="542" t="s">
        <v>88</v>
      </c>
      <c r="AF626" s="346">
        <v>50000</v>
      </c>
      <c r="AG626" s="350">
        <v>7</v>
      </c>
      <c r="AH626" s="350">
        <v>6</v>
      </c>
      <c r="AI626" s="350">
        <v>6</v>
      </c>
      <c r="AJ626" s="345">
        <v>13</v>
      </c>
      <c r="AK626" s="352" t="s">
        <v>67</v>
      </c>
      <c r="AL626" s="352" t="s">
        <v>68</v>
      </c>
      <c r="AM626" s="353" t="s">
        <v>69</v>
      </c>
      <c r="AN626" s="353" t="s">
        <v>70</v>
      </c>
      <c r="AO626" s="314">
        <f t="shared" si="1140"/>
        <v>1.04584490740741</v>
      </c>
      <c r="AP626" s="315">
        <f t="shared" si="1141"/>
        <v>207</v>
      </c>
      <c r="AQ626" s="316" t="str">
        <f t="shared" si="1142"/>
        <v>LOW</v>
      </c>
    </row>
    <row r="627" ht="29.25" customHeight="1" outlineLevel="1" spans="1:43">
      <c r="B627" s="317">
        <v>0.979178240740741</v>
      </c>
      <c r="C627" s="293" t="str">
        <f t="shared" ref="C627:G627" si="1311">TEXT(IF($B627=0," ",$B627-C$6),"hh:mm am/pm")</f>
        <v>21:30 001/p1</v>
      </c>
      <c r="D627" s="293" t="str">
        <f t="shared" si="1311"/>
        <v>19:30 001/p1</v>
      </c>
      <c r="E627" s="293" t="str">
        <f t="shared" si="1311"/>
        <v>20:30 001/p1</v>
      </c>
      <c r="F627" s="293" t="str">
        <f t="shared" si="1311"/>
        <v>21:30 001/p1</v>
      </c>
      <c r="G627" s="293" t="str">
        <f t="shared" si="1311"/>
        <v>22:30 001/p1</v>
      </c>
      <c r="H627" s="293" t="str">
        <f t="shared" ref="H627:I627" si="1312">TEXT(IF($B627=0," ",$B627+H$6),"hh:mm am/pm")</f>
        <v>05:30 001/p1</v>
      </c>
      <c r="I627" s="293" t="str">
        <f t="shared" si="1312"/>
        <v>10:30 001/p1</v>
      </c>
      <c r="J627" s="294" t="s">
        <v>407</v>
      </c>
      <c r="K627" s="295"/>
      <c r="L627" s="319" t="s">
        <v>346</v>
      </c>
      <c r="M627" s="320" t="s">
        <v>71</v>
      </c>
      <c r="N627" s="321" t="s">
        <v>57</v>
      </c>
      <c r="O627" s="322" t="s">
        <v>74</v>
      </c>
      <c r="P627" s="323" t="s">
        <v>59</v>
      </c>
      <c r="Q627" s="324">
        <v>2000</v>
      </c>
      <c r="R627" s="375" t="s">
        <v>60</v>
      </c>
      <c r="S627" s="326"/>
      <c r="T627" s="327" t="s">
        <v>61</v>
      </c>
      <c r="U627" s="321" t="s">
        <v>78</v>
      </c>
      <c r="V627" s="321">
        <v>30</v>
      </c>
      <c r="W627" s="321">
        <v>30</v>
      </c>
      <c r="X627" s="328"/>
      <c r="Y627" s="329" t="s">
        <v>63</v>
      </c>
      <c r="Z627" s="326"/>
      <c r="AA627" s="330" t="s">
        <v>64</v>
      </c>
      <c r="AB627" s="330" t="s">
        <v>65</v>
      </c>
      <c r="AC627" s="331">
        <v>0.1</v>
      </c>
      <c r="AD627" s="331">
        <v>0.02</v>
      </c>
      <c r="AE627" s="541" t="s">
        <v>88</v>
      </c>
      <c r="AF627" s="332">
        <v>50000</v>
      </c>
      <c r="AG627" s="333">
        <v>5</v>
      </c>
      <c r="AH627" s="333">
        <v>5</v>
      </c>
      <c r="AI627" s="333">
        <v>5</v>
      </c>
      <c r="AJ627" s="327">
        <v>13</v>
      </c>
      <c r="AK627" s="335" t="s">
        <v>67</v>
      </c>
      <c r="AL627" s="335" t="s">
        <v>68</v>
      </c>
      <c r="AM627" s="336" t="s">
        <v>69</v>
      </c>
      <c r="AN627" s="336" t="s">
        <v>70</v>
      </c>
      <c r="AO627" s="314">
        <f t="shared" si="1140"/>
        <v>1.02778935185185</v>
      </c>
      <c r="AP627" s="315">
        <f t="shared" si="1141"/>
        <v>76</v>
      </c>
      <c r="AQ627" s="316" t="str">
        <f t="shared" si="1142"/>
        <v>MEDIUM</v>
      </c>
    </row>
    <row r="628" ht="29.25" customHeight="1" outlineLevel="1" spans="1:43">
      <c r="A628" s="363" t="s">
        <v>385</v>
      </c>
      <c r="B628" s="379"/>
      <c r="C628" s="293" t="str">
        <f t="shared" ref="C628:G628" si="1313">TEXT(IF($B628=0," ",$B628-C$6),"hh:mm am/pm")</f>
        <v> </v>
      </c>
      <c r="D628" s="293" t="str">
        <f t="shared" si="1313"/>
        <v> </v>
      </c>
      <c r="E628" s="293" t="str">
        <f t="shared" si="1313"/>
        <v> </v>
      </c>
      <c r="F628" s="293" t="str">
        <f t="shared" si="1313"/>
        <v> </v>
      </c>
      <c r="G628" s="293" t="str">
        <f t="shared" si="1313"/>
        <v> </v>
      </c>
      <c r="H628" s="293" t="str">
        <f t="shared" ref="H628:I628" si="1314">TEXT(IF($B628=0," ",$B628+H$6),"hh:mm am/pm")</f>
        <v> </v>
      </c>
      <c r="I628" s="293" t="str">
        <f t="shared" si="1314"/>
        <v> </v>
      </c>
      <c r="J628" s="380" t="s">
        <v>193</v>
      </c>
      <c r="K628" s="381"/>
      <c r="L628" s="380" t="s">
        <v>194</v>
      </c>
      <c r="M628" s="382"/>
      <c r="N628" s="382"/>
      <c r="O628" s="382"/>
      <c r="P628" s="382"/>
      <c r="Q628" s="382"/>
      <c r="R628" s="382"/>
      <c r="S628" s="382"/>
      <c r="T628" s="382"/>
      <c r="U628" s="382"/>
      <c r="V628" s="382"/>
      <c r="W628" s="382"/>
      <c r="X628" s="382"/>
      <c r="Y628" s="382"/>
      <c r="Z628" s="382"/>
      <c r="AA628" s="382"/>
      <c r="AB628" s="382"/>
      <c r="AC628" s="382"/>
      <c r="AD628" s="543"/>
      <c r="AE628" s="543"/>
      <c r="AF628" s="543"/>
      <c r="AG628" s="543"/>
      <c r="AH628" s="383"/>
      <c r="AI628" s="374"/>
      <c r="AJ628" s="383"/>
      <c r="AK628" s="382"/>
      <c r="AL628" s="382"/>
      <c r="AM628" s="383"/>
      <c r="AN628" s="374"/>
      <c r="AO628" s="383"/>
      <c r="AP628" s="374"/>
      <c r="AQ628" s="383"/>
    </row>
    <row r="629" ht="29.25" customHeight="1" outlineLevel="1" spans="1:43">
      <c r="B629" s="292">
        <v>0.416678240740741</v>
      </c>
      <c r="C629" s="293" t="str">
        <f t="shared" ref="C629:G629" si="1315">TEXT(IF($B629=0," ",$B629-C$6),"hh:mm am/pm")</f>
        <v>08:00 001/p1</v>
      </c>
      <c r="D629" s="293" t="str">
        <f t="shared" si="1315"/>
        <v>06:00 001/p1</v>
      </c>
      <c r="E629" s="293" t="str">
        <f t="shared" si="1315"/>
        <v>07:00 001/p1</v>
      </c>
      <c r="F629" s="293" t="str">
        <f t="shared" si="1315"/>
        <v>08:00 001/p1</v>
      </c>
      <c r="G629" s="293" t="str">
        <f t="shared" si="1315"/>
        <v>09:00 001/p1</v>
      </c>
      <c r="H629" s="293" t="str">
        <f t="shared" ref="H629:I629" si="1316">TEXT(IF($B629=0," ",$B629+H$6),"hh:mm am/pm")</f>
        <v>16:00 001/p1</v>
      </c>
      <c r="I629" s="293" t="str">
        <f t="shared" si="1316"/>
        <v>21:00 001/p1</v>
      </c>
      <c r="J629" s="384" t="str">
        <f>L583</f>
        <v>#AS Reentry</v>
      </c>
      <c r="K629" s="385"/>
      <c r="L629" s="386" t="s">
        <v>195</v>
      </c>
      <c r="M629" s="387" t="s">
        <v>196</v>
      </c>
      <c r="N629" s="388" t="s">
        <v>57</v>
      </c>
      <c r="O629" s="389" t="s">
        <v>74</v>
      </c>
      <c r="P629" s="390" t="s">
        <v>75</v>
      </c>
      <c r="Q629" s="391">
        <f>15*4</f>
        <v>60</v>
      </c>
      <c r="R629" s="388" t="s">
        <v>60</v>
      </c>
      <c r="S629" s="530"/>
      <c r="T629" s="394">
        <v>0.1</v>
      </c>
      <c r="U629" s="388" t="s">
        <v>62</v>
      </c>
      <c r="V629" s="388">
        <v>0.8</v>
      </c>
      <c r="W629" s="388">
        <v>0.8</v>
      </c>
      <c r="X629" s="395"/>
      <c r="Y629" s="396" t="s">
        <v>79</v>
      </c>
      <c r="Z629" s="388">
        <v>0.8</v>
      </c>
      <c r="AA629" s="397">
        <v>20000</v>
      </c>
      <c r="AB629" s="397" t="s">
        <v>65</v>
      </c>
      <c r="AC629" s="394">
        <v>0.05</v>
      </c>
      <c r="AD629" s="394">
        <v>0</v>
      </c>
      <c r="AE629" s="392" t="s">
        <v>88</v>
      </c>
      <c r="AF629" s="399">
        <v>10000</v>
      </c>
      <c r="AG629" s="400">
        <v>4</v>
      </c>
      <c r="AH629" s="400">
        <v>4</v>
      </c>
      <c r="AI629" s="400">
        <v>4</v>
      </c>
      <c r="AJ629" s="392">
        <v>9</v>
      </c>
      <c r="AK629" s="402" t="s">
        <v>67</v>
      </c>
      <c r="AL629" s="402" t="s">
        <v>68</v>
      </c>
      <c r="AM629" s="403" t="s">
        <v>197</v>
      </c>
      <c r="AN629" s="403" t="s">
        <v>198</v>
      </c>
      <c r="AO629" s="314">
        <f>IF(B629=0," ",TIME(,ROUNDDOWN(AG629*AJ629/60,0)*5+(AG629*AJ629),)+B629)</f>
        <v>0.441678240740741</v>
      </c>
      <c r="AP629" s="315">
        <f>IF(Q629=0,,ROUNDUP(Q629/(V629*(1-AC629-AD629)),0))</f>
        <v>79</v>
      </c>
      <c r="AQ629" s="316" t="str">
        <f>IFERROR(IF(V629=0," ",IF(V629&lt;=5,"MICRO",IF(V629&lt;=19.8,"LOW",IF(V629&lt;=99.8,"MEDIUM",IF(V629&lt;=500,"HIGH",IF(V629&gt;500,"SUPER HIGH",)))))),"")</f>
        <v>MICRO</v>
      </c>
    </row>
    <row r="630" ht="29.25" customHeight="1" outlineLevel="1" spans="1:43">
      <c r="B630" s="479"/>
      <c r="C630" s="293" t="str">
        <f t="shared" ref="C630:G630" si="1317">TEXT(IF($B630=0," ",$B630-C$6),"hh:mm am/pm")</f>
        <v> </v>
      </c>
      <c r="D630" s="293" t="str">
        <f t="shared" si="1317"/>
        <v> </v>
      </c>
      <c r="E630" s="293" t="str">
        <f t="shared" si="1317"/>
        <v> </v>
      </c>
      <c r="F630" s="293" t="str">
        <f t="shared" si="1317"/>
        <v> </v>
      </c>
      <c r="G630" s="293" t="str">
        <f t="shared" si="1317"/>
        <v> </v>
      </c>
      <c r="H630" s="293" t="str">
        <f t="shared" ref="H630:I630" si="1318">TEXT(IF($B630=0," ",$B630+H$6),"hh:mm am/pm")</f>
        <v> </v>
      </c>
      <c r="I630" s="293" t="str">
        <f t="shared" si="1318"/>
        <v> </v>
      </c>
      <c r="J630" s="344"/>
      <c r="K630" s="367"/>
      <c r="L630" s="367"/>
      <c r="M630" s="368"/>
      <c r="N630" s="369"/>
      <c r="O630" s="370"/>
      <c r="P630" s="370"/>
      <c r="Q630" s="369"/>
      <c r="R630" s="369"/>
      <c r="S630" s="369"/>
      <c r="T630" s="371"/>
      <c r="U630" s="369"/>
      <c r="V630" s="369"/>
      <c r="W630" s="369"/>
      <c r="X630" s="372"/>
      <c r="Y630" s="367"/>
      <c r="Z630" s="369"/>
      <c r="AA630" s="372"/>
      <c r="AB630" s="372"/>
      <c r="AC630" s="371"/>
      <c r="AD630" s="367"/>
      <c r="AE630" s="367"/>
      <c r="AF630" s="372"/>
      <c r="AG630" s="367"/>
      <c r="AH630" s="367"/>
      <c r="AI630" s="367"/>
      <c r="AJ630" s="367"/>
      <c r="AK630" s="373"/>
      <c r="AL630" s="373"/>
      <c r="AM630" s="373"/>
      <c r="AN630" s="373"/>
      <c r="AO630" s="383"/>
      <c r="AP630" s="374"/>
      <c r="AQ630" s="383"/>
    </row>
    <row r="631" ht="29.25" customHeight="1" outlineLevel="1" spans="1:43">
      <c r="A631" s="363" t="s">
        <v>385</v>
      </c>
      <c r="B631" s="317">
        <v>0.437511574074074</v>
      </c>
      <c r="C631" s="293" t="str">
        <f t="shared" ref="C631:G631" si="1319">TEXT(IF($B631=0," ",$B631-C$6),"hh:mm am/pm")</f>
        <v>08:30 001/p1</v>
      </c>
      <c r="D631" s="293" t="str">
        <f t="shared" si="1319"/>
        <v>06:30 001/p1</v>
      </c>
      <c r="E631" s="293" t="str">
        <f t="shared" si="1319"/>
        <v>07:30 001/p1</v>
      </c>
      <c r="F631" s="293" t="str">
        <f t="shared" si="1319"/>
        <v>08:30 001/p1</v>
      </c>
      <c r="G631" s="293" t="str">
        <f t="shared" si="1319"/>
        <v>09:30 001/p1</v>
      </c>
      <c r="H631" s="293" t="str">
        <f t="shared" ref="H631:I631" si="1320">TEXT(IF($B631=0," ",$B631+H$6),"hh:mm am/pm")</f>
        <v>16:30 001/p1</v>
      </c>
      <c r="I631" s="293" t="str">
        <f t="shared" si="1320"/>
        <v>21:30 001/p1</v>
      </c>
      <c r="J631" s="405" t="str">
        <f>L585</f>
        <v>#AS OmaX PKO</v>
      </c>
      <c r="K631" s="406"/>
      <c r="L631" s="407" t="s">
        <v>199</v>
      </c>
      <c r="M631" s="408" t="s">
        <v>196</v>
      </c>
      <c r="N631" s="409" t="s">
        <v>100</v>
      </c>
      <c r="O631" s="410" t="s">
        <v>74</v>
      </c>
      <c r="P631" s="411" t="s">
        <v>101</v>
      </c>
      <c r="Q631" s="412">
        <f>12*5</f>
        <v>60</v>
      </c>
      <c r="R631" s="409" t="s">
        <v>60</v>
      </c>
      <c r="S631" s="413"/>
      <c r="T631" s="414">
        <v>0.1</v>
      </c>
      <c r="U631" s="409" t="s">
        <v>62</v>
      </c>
      <c r="V631" s="409">
        <v>0.6</v>
      </c>
      <c r="W631" s="409">
        <v>0.6</v>
      </c>
      <c r="X631" s="415"/>
      <c r="Y631" s="416" t="s">
        <v>79</v>
      </c>
      <c r="Z631" s="409">
        <v>0.8</v>
      </c>
      <c r="AA631" s="417">
        <v>20000</v>
      </c>
      <c r="AB631" s="417" t="s">
        <v>65</v>
      </c>
      <c r="AC631" s="414">
        <v>0.05</v>
      </c>
      <c r="AD631" s="414">
        <v>0</v>
      </c>
      <c r="AE631" s="418" t="s">
        <v>88</v>
      </c>
      <c r="AF631" s="419">
        <v>10000</v>
      </c>
      <c r="AG631" s="420">
        <v>4</v>
      </c>
      <c r="AH631" s="420">
        <v>4</v>
      </c>
      <c r="AI631" s="420">
        <v>4</v>
      </c>
      <c r="AJ631" s="418">
        <v>9</v>
      </c>
      <c r="AK631" s="421" t="s">
        <v>67</v>
      </c>
      <c r="AL631" s="421" t="s">
        <v>68</v>
      </c>
      <c r="AM631" s="422" t="s">
        <v>197</v>
      </c>
      <c r="AN631" s="403" t="s">
        <v>198</v>
      </c>
      <c r="AO631" s="314">
        <f t="shared" ref="AO631:AO654" si="1321">IF(B631=0," ",TIME(,ROUNDDOWN(AG631*AJ631/60,0)*5+(AG631*AJ631),)+B631)</f>
        <v>0.462511574074074</v>
      </c>
      <c r="AP631" s="315">
        <f t="shared" ref="AP631:AP654" si="1322">IF(Q631=0,,ROUNDUP(Q631/(V631*(1-AC631-AD631)),0))</f>
        <v>106</v>
      </c>
      <c r="AQ631" s="316" t="str">
        <f t="shared" ref="AQ631:AQ654" si="1323">IFERROR(IF(V631=0," ",IF(V631&lt;=5,"MICRO",IF(V631&lt;=19.8,"LOW",IF(V631&lt;=99.8,"MEDIUM",IF(V631&lt;=500,"HIGH",IF(V631&gt;500,"SUPER HIGH",)))))),"")</f>
        <v>MICRO</v>
      </c>
    </row>
    <row r="632" ht="29.25" customHeight="1" outlineLevel="1" spans="1:43">
      <c r="B632" s="479"/>
      <c r="C632" s="293" t="str">
        <f t="shared" ref="C632:G632" si="1324">TEXT(IF($B632=0," ",$B632-C$6),"hh:mm am/pm")</f>
        <v> </v>
      </c>
      <c r="D632" s="293" t="str">
        <f t="shared" si="1324"/>
        <v> </v>
      </c>
      <c r="E632" s="293" t="str">
        <f t="shared" si="1324"/>
        <v> </v>
      </c>
      <c r="F632" s="293" t="str">
        <f t="shared" si="1324"/>
        <v> </v>
      </c>
      <c r="G632" s="293" t="str">
        <f t="shared" si="1324"/>
        <v> </v>
      </c>
      <c r="H632" s="293" t="str">
        <f t="shared" ref="H632:I632" si="1325">TEXT(IF($B632=0," ",$B632+H$6),"hh:mm am/pm")</f>
        <v> </v>
      </c>
      <c r="I632" s="293" t="str">
        <f t="shared" si="1325"/>
        <v> </v>
      </c>
      <c r="J632" s="344"/>
      <c r="K632" s="367"/>
      <c r="L632" s="367"/>
      <c r="M632" s="368"/>
      <c r="N632" s="369"/>
      <c r="O632" s="370"/>
      <c r="P632" s="370"/>
      <c r="Q632" s="369"/>
      <c r="R632" s="369"/>
      <c r="S632" s="369"/>
      <c r="T632" s="371"/>
      <c r="U632" s="369"/>
      <c r="V632" s="369"/>
      <c r="W632" s="369"/>
      <c r="X632" s="372"/>
      <c r="Y632" s="367"/>
      <c r="Z632" s="369"/>
      <c r="AA632" s="372"/>
      <c r="AB632" s="372"/>
      <c r="AC632" s="371"/>
      <c r="AD632" s="367"/>
      <c r="AE632" s="367"/>
      <c r="AF632" s="372"/>
      <c r="AG632" s="367"/>
      <c r="AH632" s="367"/>
      <c r="AI632" s="367"/>
      <c r="AJ632" s="367"/>
      <c r="AK632" s="373"/>
      <c r="AL632" s="373"/>
      <c r="AM632" s="373"/>
      <c r="AN632" s="373"/>
      <c r="AO632" s="314" t="str">
        <f t="shared" si="1321"/>
        <v> </v>
      </c>
      <c r="AP632" s="374">
        <f t="shared" si="1322"/>
        <v>0</v>
      </c>
      <c r="AQ632" s="316" t="str">
        <f t="shared" si="1323"/>
        <v> </v>
      </c>
    </row>
    <row r="633" ht="29.25" customHeight="1" outlineLevel="1" spans="1:43">
      <c r="B633" s="317">
        <v>0.437511574074074</v>
      </c>
      <c r="C633" s="293" t="str">
        <f t="shared" ref="C633:G633" si="1326">TEXT(IF($B633=0," ",$B633-C$6),"hh:mm am/pm")</f>
        <v>08:30 001/p1</v>
      </c>
      <c r="D633" s="293" t="str">
        <f t="shared" si="1326"/>
        <v>06:30 001/p1</v>
      </c>
      <c r="E633" s="293" t="str">
        <f t="shared" si="1326"/>
        <v>07:30 001/p1</v>
      </c>
      <c r="F633" s="293" t="str">
        <f t="shared" si="1326"/>
        <v>08:30 001/p1</v>
      </c>
      <c r="G633" s="293" t="str">
        <f t="shared" si="1326"/>
        <v>09:30 001/p1</v>
      </c>
      <c r="H633" s="293" t="str">
        <f t="shared" ref="H633:I633" si="1327">TEXT(IF($B633=0," ",$B633+H$6),"hh:mm am/pm")</f>
        <v>16:30 001/p1</v>
      </c>
      <c r="I633" s="293" t="str">
        <f t="shared" si="1327"/>
        <v>21:30 001/p1</v>
      </c>
      <c r="J633" s="423" t="str">
        <f>L542</f>
        <v>#AS WarmUp</v>
      </c>
      <c r="K633" s="424"/>
      <c r="L633" s="425" t="s">
        <v>200</v>
      </c>
      <c r="M633" s="408" t="s">
        <v>196</v>
      </c>
      <c r="N633" s="409" t="s">
        <v>57</v>
      </c>
      <c r="O633" s="410" t="s">
        <v>74</v>
      </c>
      <c r="P633" s="411" t="s">
        <v>75</v>
      </c>
      <c r="Q633" s="412">
        <f t="shared" ref="Q633:Q634" si="1328">22*5</f>
        <v>110</v>
      </c>
      <c r="R633" s="409" t="s">
        <v>60</v>
      </c>
      <c r="S633" s="426"/>
      <c r="T633" s="414">
        <v>0.1</v>
      </c>
      <c r="U633" s="409" t="s">
        <v>62</v>
      </c>
      <c r="V633" s="409">
        <v>1.2</v>
      </c>
      <c r="W633" s="409">
        <v>1.2</v>
      </c>
      <c r="X633" s="415"/>
      <c r="Y633" s="416" t="s">
        <v>79</v>
      </c>
      <c r="Z633" s="409">
        <v>1.2</v>
      </c>
      <c r="AA633" s="417">
        <v>20000</v>
      </c>
      <c r="AB633" s="417" t="s">
        <v>65</v>
      </c>
      <c r="AC633" s="414">
        <v>0.05</v>
      </c>
      <c r="AD633" s="414">
        <v>0</v>
      </c>
      <c r="AE633" s="418" t="s">
        <v>88</v>
      </c>
      <c r="AF633" s="419">
        <v>10000</v>
      </c>
      <c r="AG633" s="420">
        <v>5</v>
      </c>
      <c r="AH633" s="420">
        <v>5</v>
      </c>
      <c r="AI633" s="420">
        <v>4</v>
      </c>
      <c r="AJ633" s="418">
        <v>9</v>
      </c>
      <c r="AK633" s="421" t="s">
        <v>67</v>
      </c>
      <c r="AL633" s="428" t="s">
        <v>68</v>
      </c>
      <c r="AM633" s="422" t="s">
        <v>197</v>
      </c>
      <c r="AN633" s="403" t="s">
        <v>198</v>
      </c>
      <c r="AO633" s="314">
        <f t="shared" si="1321"/>
        <v>0.468761574074074</v>
      </c>
      <c r="AP633" s="315">
        <f t="shared" si="1322"/>
        <v>97</v>
      </c>
      <c r="AQ633" s="316" t="str">
        <f t="shared" si="1323"/>
        <v>MICRO</v>
      </c>
    </row>
    <row r="634" ht="29.25" customHeight="1" outlineLevel="1" spans="1:43">
      <c r="A634" s="363" t="s">
        <v>385</v>
      </c>
      <c r="B634" s="317">
        <v>0.479178240740741</v>
      </c>
      <c r="C634" s="293" t="str">
        <f t="shared" ref="C634:G634" si="1329">TEXT(IF($B634=0," ",$B634-C$6),"hh:mm am/pm")</f>
        <v>09:30 001/p1</v>
      </c>
      <c r="D634" s="293" t="str">
        <f t="shared" si="1329"/>
        <v>07:30 001/p1</v>
      </c>
      <c r="E634" s="293" t="str">
        <f t="shared" si="1329"/>
        <v>08:30 001/p1</v>
      </c>
      <c r="F634" s="293" t="str">
        <f t="shared" si="1329"/>
        <v>09:30 001/p1</v>
      </c>
      <c r="G634" s="293" t="str">
        <f t="shared" si="1329"/>
        <v>10:30 001/p1</v>
      </c>
      <c r="H634" s="293" t="str">
        <f t="shared" ref="H634:I634" si="1330">TEXT(IF($B634=0," ",$B634+H$6),"hh:mm am/pm")</f>
        <v>17:30 001/p1</v>
      </c>
      <c r="I634" s="293" t="str">
        <f t="shared" si="1330"/>
        <v>22:30 001/p1</v>
      </c>
      <c r="J634" s="124"/>
      <c r="K634" s="406"/>
      <c r="L634" s="407" t="s">
        <v>200</v>
      </c>
      <c r="M634" s="408" t="s">
        <v>196</v>
      </c>
      <c r="N634" s="409" t="s">
        <v>57</v>
      </c>
      <c r="O634" s="410" t="s">
        <v>74</v>
      </c>
      <c r="P634" s="411" t="s">
        <v>75</v>
      </c>
      <c r="Q634" s="412">
        <f t="shared" si="1328"/>
        <v>110</v>
      </c>
      <c r="R634" s="409" t="s">
        <v>60</v>
      </c>
      <c r="S634" s="426"/>
      <c r="T634" s="414">
        <v>0.1</v>
      </c>
      <c r="U634" s="409" t="s">
        <v>62</v>
      </c>
      <c r="V634" s="409">
        <v>1.2</v>
      </c>
      <c r="W634" s="409">
        <v>1.2</v>
      </c>
      <c r="X634" s="415"/>
      <c r="Y634" s="416" t="s">
        <v>79</v>
      </c>
      <c r="Z634" s="409">
        <v>1.2</v>
      </c>
      <c r="AA634" s="417">
        <v>20000</v>
      </c>
      <c r="AB634" s="417" t="s">
        <v>65</v>
      </c>
      <c r="AC634" s="414">
        <v>0.05</v>
      </c>
      <c r="AD634" s="414">
        <v>0</v>
      </c>
      <c r="AE634" s="418" t="s">
        <v>88</v>
      </c>
      <c r="AF634" s="419">
        <v>10000</v>
      </c>
      <c r="AG634" s="420">
        <v>4</v>
      </c>
      <c r="AH634" s="420">
        <v>4</v>
      </c>
      <c r="AI634" s="420">
        <v>4</v>
      </c>
      <c r="AJ634" s="418">
        <v>9</v>
      </c>
      <c r="AK634" s="428" t="s">
        <v>67</v>
      </c>
      <c r="AL634" s="428" t="s">
        <v>68</v>
      </c>
      <c r="AM634" s="422" t="s">
        <v>197</v>
      </c>
      <c r="AN634" s="403" t="s">
        <v>198</v>
      </c>
      <c r="AO634" s="314">
        <f t="shared" si="1321"/>
        <v>0.504178240740741</v>
      </c>
      <c r="AP634" s="315">
        <f t="shared" si="1322"/>
        <v>97</v>
      </c>
      <c r="AQ634" s="316" t="str">
        <f t="shared" si="1323"/>
        <v>MICRO</v>
      </c>
    </row>
    <row r="635" ht="29.25" customHeight="1" outlineLevel="1" spans="1:43">
      <c r="B635" s="479"/>
      <c r="C635" s="293" t="str">
        <f t="shared" ref="C635:G635" si="1331">TEXT(IF($B635=0," ",$B635-C$6),"hh:mm am/pm")</f>
        <v> </v>
      </c>
      <c r="D635" s="293" t="str">
        <f t="shared" si="1331"/>
        <v> </v>
      </c>
      <c r="E635" s="293" t="str">
        <f t="shared" si="1331"/>
        <v> </v>
      </c>
      <c r="F635" s="293" t="str">
        <f t="shared" si="1331"/>
        <v> </v>
      </c>
      <c r="G635" s="293" t="str">
        <f t="shared" si="1331"/>
        <v> </v>
      </c>
      <c r="H635" s="293" t="str">
        <f t="shared" ref="H635:I635" si="1332">TEXT(IF($B635=0," ",$B635+H$6),"hh:mm am/pm")</f>
        <v> </v>
      </c>
      <c r="I635" s="293" t="str">
        <f t="shared" si="1332"/>
        <v> </v>
      </c>
      <c r="J635" s="344"/>
      <c r="K635" s="367"/>
      <c r="L635" s="367"/>
      <c r="M635" s="368"/>
      <c r="N635" s="369"/>
      <c r="O635" s="370"/>
      <c r="P635" s="370"/>
      <c r="Q635" s="369"/>
      <c r="R635" s="369"/>
      <c r="S635" s="369"/>
      <c r="T635" s="371"/>
      <c r="U635" s="369"/>
      <c r="V635" s="369"/>
      <c r="W635" s="369"/>
      <c r="X635" s="372"/>
      <c r="Y635" s="367"/>
      <c r="Z635" s="369"/>
      <c r="AA635" s="372"/>
      <c r="AB635" s="372"/>
      <c r="AC635" s="371"/>
      <c r="AD635" s="371"/>
      <c r="AE635" s="367"/>
      <c r="AF635" s="372"/>
      <c r="AG635" s="367"/>
      <c r="AH635" s="367"/>
      <c r="AI635" s="367"/>
      <c r="AJ635" s="367"/>
      <c r="AK635" s="373"/>
      <c r="AL635" s="373"/>
      <c r="AM635" s="373"/>
      <c r="AN635" s="373"/>
      <c r="AO635" s="314" t="str">
        <f t="shared" si="1321"/>
        <v> </v>
      </c>
      <c r="AP635" s="374">
        <f t="shared" si="1322"/>
        <v>0</v>
      </c>
      <c r="AQ635" s="316" t="str">
        <f t="shared" si="1323"/>
        <v> </v>
      </c>
    </row>
    <row r="636" ht="29.25" customHeight="1" outlineLevel="1" spans="1:43">
      <c r="A636" s="363" t="s">
        <v>385</v>
      </c>
      <c r="B636" s="317">
        <v>0.562511574074074</v>
      </c>
      <c r="C636" s="293" t="str">
        <f t="shared" ref="C636:G636" si="1333">TEXT(IF($B636=0," ",$B636-C$6),"hh:mm am/pm")</f>
        <v>11:30 001/p1</v>
      </c>
      <c r="D636" s="293" t="str">
        <f t="shared" si="1333"/>
        <v>09:30 001/p1</v>
      </c>
      <c r="E636" s="293" t="str">
        <f t="shared" si="1333"/>
        <v>10:30 001/p1</v>
      </c>
      <c r="F636" s="293" t="str">
        <f t="shared" si="1333"/>
        <v>11:30 001/p1</v>
      </c>
      <c r="G636" s="293" t="str">
        <f t="shared" si="1333"/>
        <v>12:30 001/p1</v>
      </c>
      <c r="H636" s="293" t="str">
        <f t="shared" ref="H636:I636" si="1334">TEXT(IF($B636=0," ",$B636+H$6),"hh:mm am/pm")</f>
        <v>19:30 001/p1</v>
      </c>
      <c r="I636" s="293" t="str">
        <f t="shared" si="1334"/>
        <v>00:30 001/p1</v>
      </c>
      <c r="J636" s="544" t="str">
        <f>L593</f>
        <v>#AS OmaX PKO</v>
      </c>
      <c r="K636" s="406"/>
      <c r="L636" s="407" t="s">
        <v>207</v>
      </c>
      <c r="M636" s="408" t="s">
        <v>196</v>
      </c>
      <c r="N636" s="409" t="s">
        <v>165</v>
      </c>
      <c r="O636" s="410" t="s">
        <v>74</v>
      </c>
      <c r="P636" s="411" t="s">
        <v>101</v>
      </c>
      <c r="Q636" s="412">
        <f>30*4</f>
        <v>120</v>
      </c>
      <c r="R636" s="414" t="s">
        <v>60</v>
      </c>
      <c r="S636" s="413"/>
      <c r="T636" s="414">
        <v>0.1</v>
      </c>
      <c r="U636" s="409" t="s">
        <v>62</v>
      </c>
      <c r="V636" s="409">
        <v>1.6</v>
      </c>
      <c r="W636" s="409">
        <v>1.6</v>
      </c>
      <c r="X636" s="415"/>
      <c r="Y636" s="416" t="s">
        <v>79</v>
      </c>
      <c r="Z636" s="409">
        <v>1.6</v>
      </c>
      <c r="AA636" s="417">
        <v>20000</v>
      </c>
      <c r="AB636" s="417" t="s">
        <v>65</v>
      </c>
      <c r="AC636" s="414">
        <v>0.05</v>
      </c>
      <c r="AD636" s="414">
        <v>0</v>
      </c>
      <c r="AE636" s="418" t="s">
        <v>66</v>
      </c>
      <c r="AF636" s="419">
        <v>10000</v>
      </c>
      <c r="AG636" s="420">
        <v>4</v>
      </c>
      <c r="AH636" s="420">
        <v>4</v>
      </c>
      <c r="AI636" s="420">
        <v>4</v>
      </c>
      <c r="AJ636" s="418">
        <v>9</v>
      </c>
      <c r="AK636" s="428" t="s">
        <v>67</v>
      </c>
      <c r="AL636" s="428" t="s">
        <v>68</v>
      </c>
      <c r="AM636" s="422" t="s">
        <v>197</v>
      </c>
      <c r="AN636" s="403" t="s">
        <v>198</v>
      </c>
      <c r="AO636" s="314">
        <f t="shared" si="1321"/>
        <v>0.587511574074074</v>
      </c>
      <c r="AP636" s="315">
        <f t="shared" si="1322"/>
        <v>79</v>
      </c>
      <c r="AQ636" s="316" t="str">
        <f t="shared" si="1323"/>
        <v>MICRO</v>
      </c>
    </row>
    <row r="637" ht="29.25" customHeight="1" outlineLevel="1" spans="1:43">
      <c r="B637" s="365"/>
      <c r="C637" s="293" t="str">
        <f t="shared" ref="C637:G637" si="1335">TEXT(IF($B637=0," ",$B637-C$6),"hh:mm am/pm")</f>
        <v> </v>
      </c>
      <c r="D637" s="293" t="str">
        <f t="shared" si="1335"/>
        <v> </v>
      </c>
      <c r="E637" s="293" t="str">
        <f t="shared" si="1335"/>
        <v> </v>
      </c>
      <c r="F637" s="293" t="str">
        <f t="shared" si="1335"/>
        <v> </v>
      </c>
      <c r="G637" s="293" t="str">
        <f t="shared" si="1335"/>
        <v> </v>
      </c>
      <c r="H637" s="293" t="str">
        <f t="shared" ref="H637:I637" si="1336">TEXT(IF($B637=0," ",$B637+H$6),"hh:mm am/pm")</f>
        <v> </v>
      </c>
      <c r="I637" s="293" t="str">
        <f t="shared" si="1336"/>
        <v> </v>
      </c>
      <c r="J637" s="344"/>
      <c r="K637" s="367"/>
      <c r="L637" s="367"/>
      <c r="M637" s="368"/>
      <c r="N637" s="369"/>
      <c r="O637" s="370"/>
      <c r="P637" s="370"/>
      <c r="Q637" s="369"/>
      <c r="R637" s="369"/>
      <c r="S637" s="369"/>
      <c r="T637" s="371"/>
      <c r="U637" s="369"/>
      <c r="V637" s="369"/>
      <c r="W637" s="369"/>
      <c r="X637" s="372"/>
      <c r="Y637" s="367"/>
      <c r="Z637" s="369"/>
      <c r="AA637" s="372"/>
      <c r="AB637" s="372"/>
      <c r="AC637" s="371"/>
      <c r="AD637" s="371"/>
      <c r="AE637" s="484"/>
      <c r="AF637" s="372"/>
      <c r="AG637" s="373"/>
      <c r="AH637" s="404"/>
      <c r="AI637" s="372"/>
      <c r="AJ637" s="404"/>
      <c r="AK637" s="373"/>
      <c r="AL637" s="373"/>
      <c r="AM637" s="373"/>
      <c r="AN637" s="373"/>
      <c r="AO637" s="314" t="str">
        <f t="shared" si="1321"/>
        <v> </v>
      </c>
      <c r="AP637" s="374">
        <f t="shared" si="1322"/>
        <v>0</v>
      </c>
      <c r="AQ637" s="316" t="str">
        <f t="shared" si="1323"/>
        <v> </v>
      </c>
    </row>
    <row r="638" ht="29.25" customHeight="1" outlineLevel="1" spans="1:43">
      <c r="B638" s="317">
        <v>0.541678240740741</v>
      </c>
      <c r="C638" s="293" t="str">
        <f t="shared" ref="C638:G638" si="1337">TEXT(IF($B638=0," ",$B638-C$6),"hh:mm am/pm")</f>
        <v>11:00 001/p1</v>
      </c>
      <c r="D638" s="293" t="str">
        <f t="shared" si="1337"/>
        <v>09:00 001/p1</v>
      </c>
      <c r="E638" s="293" t="str">
        <f t="shared" si="1337"/>
        <v>10:00 001/p1</v>
      </c>
      <c r="F638" s="293" t="str">
        <f t="shared" si="1337"/>
        <v>11:00 001/p1</v>
      </c>
      <c r="G638" s="293" t="str">
        <f t="shared" si="1337"/>
        <v>12:00 001/p1</v>
      </c>
      <c r="H638" s="293" t="str">
        <f t="shared" ref="H638:I638" si="1338">TEXT(IF($B638=0," ",$B638+H$6),"hh:mm am/pm")</f>
        <v>19:00 001/p1</v>
      </c>
      <c r="I638" s="293" t="str">
        <f t="shared" si="1338"/>
        <v>00:00 001/p1</v>
      </c>
      <c r="J638" s="430" t="str">
        <f>L546</f>
        <v>#AS Battle HR+SPS</v>
      </c>
      <c r="K638" s="431"/>
      <c r="L638" s="432" t="s">
        <v>201</v>
      </c>
      <c r="M638" s="408" t="s">
        <v>196</v>
      </c>
      <c r="N638" s="409" t="s">
        <v>57</v>
      </c>
      <c r="O638" s="410" t="s">
        <v>74</v>
      </c>
      <c r="P638" s="411" t="s">
        <v>59</v>
      </c>
      <c r="Q638" s="412">
        <f>30*4</f>
        <v>120</v>
      </c>
      <c r="R638" s="414" t="s">
        <v>60</v>
      </c>
      <c r="S638" s="413"/>
      <c r="T638" s="414">
        <v>0.1</v>
      </c>
      <c r="U638" s="409" t="s">
        <v>62</v>
      </c>
      <c r="V638" s="409">
        <v>1.8</v>
      </c>
      <c r="W638" s="409">
        <v>1.8</v>
      </c>
      <c r="X638" s="415"/>
      <c r="Y638" s="416" t="s">
        <v>79</v>
      </c>
      <c r="Z638" s="409">
        <v>1.8</v>
      </c>
      <c r="AA638" s="417">
        <v>20000</v>
      </c>
      <c r="AB638" s="417" t="s">
        <v>65</v>
      </c>
      <c r="AC638" s="414">
        <v>0.05</v>
      </c>
      <c r="AD638" s="414">
        <v>0</v>
      </c>
      <c r="AE638" s="418" t="s">
        <v>88</v>
      </c>
      <c r="AF638" s="419">
        <v>10000</v>
      </c>
      <c r="AG638" s="420">
        <v>5</v>
      </c>
      <c r="AH638" s="420">
        <v>5</v>
      </c>
      <c r="AI638" s="420">
        <v>4</v>
      </c>
      <c r="AJ638" s="418">
        <v>9</v>
      </c>
      <c r="AK638" s="428" t="s">
        <v>67</v>
      </c>
      <c r="AL638" s="428" t="s">
        <v>68</v>
      </c>
      <c r="AM638" s="422" t="s">
        <v>197</v>
      </c>
      <c r="AN638" s="403" t="s">
        <v>198</v>
      </c>
      <c r="AO638" s="314">
        <f t="shared" si="1321"/>
        <v>0.572928240740741</v>
      </c>
      <c r="AP638" s="315">
        <f t="shared" si="1322"/>
        <v>71</v>
      </c>
      <c r="AQ638" s="316" t="str">
        <f t="shared" si="1323"/>
        <v>MICRO</v>
      </c>
    </row>
    <row r="639" ht="29.25" customHeight="1" outlineLevel="1" spans="1:43">
      <c r="A639" s="363" t="s">
        <v>385</v>
      </c>
      <c r="B639" s="317">
        <v>0.583344907407407</v>
      </c>
      <c r="C639" s="293" t="str">
        <f t="shared" ref="C639:G639" si="1339">TEXT(IF($B639=0," ",$B639-C$6),"hh:mm am/pm")</f>
        <v>12:00 001/p1</v>
      </c>
      <c r="D639" s="293" t="str">
        <f t="shared" si="1339"/>
        <v>10:00 001/p1</v>
      </c>
      <c r="E639" s="293" t="str">
        <f t="shared" si="1339"/>
        <v>11:00 001/p1</v>
      </c>
      <c r="F639" s="293" t="str">
        <f t="shared" si="1339"/>
        <v>12:00 001/p1</v>
      </c>
      <c r="G639" s="293" t="str">
        <f t="shared" si="1339"/>
        <v>13:00 001/p1</v>
      </c>
      <c r="H639" s="293" t="str">
        <f t="shared" ref="H639:I639" si="1340">TEXT(IF($B639=0," ",$B639+H$6),"hh:mm am/pm")</f>
        <v>20:00 001/p1</v>
      </c>
      <c r="I639" s="293" t="str">
        <f t="shared" si="1340"/>
        <v>01:00 001/p1</v>
      </c>
      <c r="J639" s="29"/>
      <c r="K639" s="431"/>
      <c r="L639" s="432" t="s">
        <v>202</v>
      </c>
      <c r="M639" s="408" t="s">
        <v>196</v>
      </c>
      <c r="N639" s="409" t="s">
        <v>57</v>
      </c>
      <c r="O639" s="410" t="s">
        <v>74</v>
      </c>
      <c r="P639" s="411" t="s">
        <v>59</v>
      </c>
      <c r="Q639" s="412">
        <f>30*6</f>
        <v>180</v>
      </c>
      <c r="R639" s="414" t="s">
        <v>60</v>
      </c>
      <c r="S639" s="413"/>
      <c r="T639" s="414">
        <v>0.1</v>
      </c>
      <c r="U639" s="409" t="s">
        <v>62</v>
      </c>
      <c r="V639" s="409">
        <v>2</v>
      </c>
      <c r="W639" s="409">
        <v>2</v>
      </c>
      <c r="X639" s="415"/>
      <c r="Y639" s="416" t="s">
        <v>79</v>
      </c>
      <c r="Z639" s="409">
        <v>2</v>
      </c>
      <c r="AA639" s="417">
        <v>20000</v>
      </c>
      <c r="AB639" s="417" t="s">
        <v>65</v>
      </c>
      <c r="AC639" s="414">
        <v>0.05</v>
      </c>
      <c r="AD639" s="414">
        <v>0</v>
      </c>
      <c r="AE639" s="418" t="s">
        <v>88</v>
      </c>
      <c r="AF639" s="419">
        <v>10000</v>
      </c>
      <c r="AG639" s="420">
        <v>5</v>
      </c>
      <c r="AH639" s="420">
        <v>5</v>
      </c>
      <c r="AI639" s="420">
        <v>4</v>
      </c>
      <c r="AJ639" s="418">
        <v>9</v>
      </c>
      <c r="AK639" s="428" t="s">
        <v>67</v>
      </c>
      <c r="AL639" s="428" t="s">
        <v>68</v>
      </c>
      <c r="AM639" s="422" t="s">
        <v>197</v>
      </c>
      <c r="AN639" s="403" t="s">
        <v>198</v>
      </c>
      <c r="AO639" s="314">
        <f t="shared" si="1321"/>
        <v>0.614594907407407</v>
      </c>
      <c r="AP639" s="315">
        <f t="shared" si="1322"/>
        <v>95</v>
      </c>
      <c r="AQ639" s="316" t="str">
        <f t="shared" si="1323"/>
        <v>MICRO</v>
      </c>
    </row>
    <row r="640" ht="29.25" customHeight="1" outlineLevel="1" spans="1:43">
      <c r="B640" s="317">
        <v>0.625011574074074</v>
      </c>
      <c r="C640" s="293" t="str">
        <f t="shared" ref="C640:G640" si="1341">TEXT(IF($B640=0," ",$B640-C$6),"hh:mm am/pm")</f>
        <v>13:00 001/p1</v>
      </c>
      <c r="D640" s="293" t="str">
        <f t="shared" si="1341"/>
        <v>11:00 001/p1</v>
      </c>
      <c r="E640" s="293" t="str">
        <f t="shared" si="1341"/>
        <v>12:00 001/p1</v>
      </c>
      <c r="F640" s="293" t="str">
        <f t="shared" si="1341"/>
        <v>13:00 001/p1</v>
      </c>
      <c r="G640" s="293" t="str">
        <f t="shared" si="1341"/>
        <v>14:00 001/p1</v>
      </c>
      <c r="H640" s="293" t="str">
        <f t="shared" ref="H640:I640" si="1342">TEXT(IF($B640=0," ",$B640+H$6),"hh:mm am/pm")</f>
        <v>21:00 001/p1</v>
      </c>
      <c r="I640" s="293" t="str">
        <f t="shared" si="1342"/>
        <v>02:00 001/p1</v>
      </c>
      <c r="J640" s="29"/>
      <c r="K640" s="431"/>
      <c r="L640" s="432" t="s">
        <v>203</v>
      </c>
      <c r="M640" s="408" t="s">
        <v>196</v>
      </c>
      <c r="N640" s="409" t="s">
        <v>57</v>
      </c>
      <c r="O640" s="410" t="s">
        <v>74</v>
      </c>
      <c r="P640" s="411" t="s">
        <v>59</v>
      </c>
      <c r="Q640" s="412">
        <f>30*7</f>
        <v>210</v>
      </c>
      <c r="R640" s="414" t="s">
        <v>60</v>
      </c>
      <c r="S640" s="413"/>
      <c r="T640" s="414">
        <v>0.1</v>
      </c>
      <c r="U640" s="409" t="s">
        <v>62</v>
      </c>
      <c r="V640" s="409">
        <v>2</v>
      </c>
      <c r="W640" s="409">
        <v>2</v>
      </c>
      <c r="X640" s="415"/>
      <c r="Y640" s="416" t="s">
        <v>79</v>
      </c>
      <c r="Z640" s="409">
        <v>2</v>
      </c>
      <c r="AA640" s="417">
        <v>20000</v>
      </c>
      <c r="AB640" s="417" t="s">
        <v>65</v>
      </c>
      <c r="AC640" s="414">
        <v>0.05</v>
      </c>
      <c r="AD640" s="414">
        <v>0</v>
      </c>
      <c r="AE640" s="418" t="s">
        <v>88</v>
      </c>
      <c r="AF640" s="419">
        <v>10000</v>
      </c>
      <c r="AG640" s="420">
        <v>5</v>
      </c>
      <c r="AH640" s="420">
        <v>5</v>
      </c>
      <c r="AI640" s="420">
        <v>4</v>
      </c>
      <c r="AJ640" s="418">
        <v>9</v>
      </c>
      <c r="AK640" s="428" t="s">
        <v>67</v>
      </c>
      <c r="AL640" s="428" t="s">
        <v>68</v>
      </c>
      <c r="AM640" s="422" t="s">
        <v>197</v>
      </c>
      <c r="AN640" s="403" t="s">
        <v>198</v>
      </c>
      <c r="AO640" s="314">
        <f t="shared" si="1321"/>
        <v>0.656261574074074</v>
      </c>
      <c r="AP640" s="315">
        <f t="shared" si="1322"/>
        <v>111</v>
      </c>
      <c r="AQ640" s="316" t="str">
        <f t="shared" si="1323"/>
        <v>MICRO</v>
      </c>
    </row>
    <row r="641" ht="29.25" customHeight="1" outlineLevel="1" spans="1:43">
      <c r="B641" s="317">
        <v>0.666678240740741</v>
      </c>
      <c r="C641" s="293" t="str">
        <f t="shared" ref="C641:G641" si="1343">TEXT(IF($B641=0," ",$B641-C$6),"hh:mm am/pm")</f>
        <v>14:00 001/p1</v>
      </c>
      <c r="D641" s="293" t="str">
        <f t="shared" si="1343"/>
        <v>12:00 001/p1</v>
      </c>
      <c r="E641" s="293" t="str">
        <f t="shared" si="1343"/>
        <v>13:00 001/p1</v>
      </c>
      <c r="F641" s="293" t="str">
        <f t="shared" si="1343"/>
        <v>14:00 001/p1</v>
      </c>
      <c r="G641" s="293" t="str">
        <f t="shared" si="1343"/>
        <v>15:00 001/p1</v>
      </c>
      <c r="H641" s="293" t="str">
        <f t="shared" ref="H641:I641" si="1344">TEXT(IF($B641=0," ",$B641+H$6),"hh:mm am/pm")</f>
        <v>22:00 001/p1</v>
      </c>
      <c r="I641" s="293" t="str">
        <f t="shared" si="1344"/>
        <v>03:00 001/p1</v>
      </c>
      <c r="J641" s="29"/>
      <c r="K641" s="431"/>
      <c r="L641" s="432" t="s">
        <v>204</v>
      </c>
      <c r="M641" s="408" t="s">
        <v>196</v>
      </c>
      <c r="N641" s="409" t="s">
        <v>57</v>
      </c>
      <c r="O641" s="410" t="s">
        <v>74</v>
      </c>
      <c r="P641" s="411" t="s">
        <v>59</v>
      </c>
      <c r="Q641" s="412">
        <f>30*8</f>
        <v>240</v>
      </c>
      <c r="R641" s="414" t="s">
        <v>60</v>
      </c>
      <c r="S641" s="413"/>
      <c r="T641" s="414">
        <v>0.1</v>
      </c>
      <c r="U641" s="409" t="s">
        <v>62</v>
      </c>
      <c r="V641" s="409">
        <v>2</v>
      </c>
      <c r="W641" s="409">
        <v>2</v>
      </c>
      <c r="X641" s="415"/>
      <c r="Y641" s="416" t="s">
        <v>79</v>
      </c>
      <c r="Z641" s="409">
        <v>2</v>
      </c>
      <c r="AA641" s="417">
        <v>20000</v>
      </c>
      <c r="AB641" s="417" t="s">
        <v>65</v>
      </c>
      <c r="AC641" s="414">
        <v>0.05</v>
      </c>
      <c r="AD641" s="414">
        <v>0</v>
      </c>
      <c r="AE641" s="418" t="s">
        <v>88</v>
      </c>
      <c r="AF641" s="419">
        <v>10000</v>
      </c>
      <c r="AG641" s="420">
        <v>5</v>
      </c>
      <c r="AH641" s="420">
        <v>5</v>
      </c>
      <c r="AI641" s="420">
        <v>4</v>
      </c>
      <c r="AJ641" s="418">
        <v>9</v>
      </c>
      <c r="AK641" s="428" t="s">
        <v>67</v>
      </c>
      <c r="AL641" s="428" t="s">
        <v>68</v>
      </c>
      <c r="AM641" s="422" t="s">
        <v>197</v>
      </c>
      <c r="AN641" s="403" t="s">
        <v>198</v>
      </c>
      <c r="AO641" s="314">
        <f t="shared" si="1321"/>
        <v>0.697928240740741</v>
      </c>
      <c r="AP641" s="315">
        <f t="shared" si="1322"/>
        <v>127</v>
      </c>
      <c r="AQ641" s="316" t="str">
        <f t="shared" si="1323"/>
        <v>MICRO</v>
      </c>
    </row>
    <row r="642" ht="29.25" customHeight="1" outlineLevel="1" spans="1:43">
      <c r="A642" s="363" t="s">
        <v>385</v>
      </c>
      <c r="B642" s="317">
        <v>0.729178240740741</v>
      </c>
      <c r="C642" s="293" t="str">
        <f t="shared" ref="C642:G642" si="1345">TEXT(IF($B642=0," ",$B642-C$6),"hh:mm am/pm")</f>
        <v>15:30 001/p1</v>
      </c>
      <c r="D642" s="293" t="str">
        <f t="shared" si="1345"/>
        <v>13:30 001/p1</v>
      </c>
      <c r="E642" s="293" t="str">
        <f t="shared" si="1345"/>
        <v>14:30 001/p1</v>
      </c>
      <c r="F642" s="293" t="str">
        <f t="shared" si="1345"/>
        <v>15:30 001/p1</v>
      </c>
      <c r="G642" s="293" t="str">
        <f t="shared" si="1345"/>
        <v>16:30 001/p1</v>
      </c>
      <c r="H642" s="293" t="str">
        <f t="shared" ref="H642:I642" si="1346">TEXT(IF($B642=0," ",$B642+H$6),"hh:mm am/pm")</f>
        <v>23:30 001/p1</v>
      </c>
      <c r="I642" s="293" t="str">
        <f t="shared" si="1346"/>
        <v>04:30 001/p1</v>
      </c>
      <c r="J642" s="124"/>
      <c r="K642" s="406"/>
      <c r="L642" s="407" t="s">
        <v>205</v>
      </c>
      <c r="M642" s="408" t="s">
        <v>196</v>
      </c>
      <c r="N642" s="409" t="s">
        <v>57</v>
      </c>
      <c r="O642" s="410" t="s">
        <v>74</v>
      </c>
      <c r="P642" s="411" t="s">
        <v>59</v>
      </c>
      <c r="Q642" s="412">
        <f>30*10</f>
        <v>300</v>
      </c>
      <c r="R642" s="414" t="s">
        <v>60</v>
      </c>
      <c r="S642" s="413"/>
      <c r="T642" s="414">
        <v>0.1</v>
      </c>
      <c r="U642" s="409" t="s">
        <v>62</v>
      </c>
      <c r="V642" s="409">
        <v>2</v>
      </c>
      <c r="W642" s="409">
        <v>2</v>
      </c>
      <c r="X642" s="415"/>
      <c r="Y642" s="416" t="s">
        <v>79</v>
      </c>
      <c r="Z642" s="409">
        <v>2</v>
      </c>
      <c r="AA642" s="417">
        <v>20000</v>
      </c>
      <c r="AB642" s="417" t="s">
        <v>65</v>
      </c>
      <c r="AC642" s="414">
        <v>0.05</v>
      </c>
      <c r="AD642" s="414">
        <v>0</v>
      </c>
      <c r="AE642" s="418" t="s">
        <v>88</v>
      </c>
      <c r="AF642" s="419">
        <v>10000</v>
      </c>
      <c r="AG642" s="420">
        <v>4</v>
      </c>
      <c r="AH642" s="420">
        <v>4</v>
      </c>
      <c r="AI642" s="420">
        <v>3</v>
      </c>
      <c r="AJ642" s="418">
        <v>9</v>
      </c>
      <c r="AK642" s="428" t="s">
        <v>67</v>
      </c>
      <c r="AL642" s="428" t="s">
        <v>68</v>
      </c>
      <c r="AM642" s="422" t="s">
        <v>197</v>
      </c>
      <c r="AN642" s="403" t="s">
        <v>198</v>
      </c>
      <c r="AO642" s="314">
        <f t="shared" si="1321"/>
        <v>0.754178240740741</v>
      </c>
      <c r="AP642" s="315">
        <f t="shared" si="1322"/>
        <v>158</v>
      </c>
      <c r="AQ642" s="316" t="str">
        <f t="shared" si="1323"/>
        <v>MICRO</v>
      </c>
    </row>
    <row r="643" ht="29.25" customHeight="1" outlineLevel="1" spans="1:43">
      <c r="B643" s="479"/>
      <c r="C643" s="293" t="str">
        <f t="shared" ref="C643:G643" si="1347">TEXT(IF($B643=0," ",$B643-C$6),"hh:mm am/pm")</f>
        <v> </v>
      </c>
      <c r="D643" s="293" t="str">
        <f t="shared" si="1347"/>
        <v> </v>
      </c>
      <c r="E643" s="293" t="str">
        <f t="shared" si="1347"/>
        <v> </v>
      </c>
      <c r="F643" s="293" t="str">
        <f t="shared" si="1347"/>
        <v> </v>
      </c>
      <c r="G643" s="293" t="str">
        <f t="shared" si="1347"/>
        <v> </v>
      </c>
      <c r="H643" s="293" t="str">
        <f t="shared" ref="H643:I643" si="1348">TEXT(IF($B643=0," ",$B643+H$6),"hh:mm am/pm")</f>
        <v> </v>
      </c>
      <c r="I643" s="293" t="str">
        <f t="shared" si="1348"/>
        <v> </v>
      </c>
      <c r="J643" s="344"/>
      <c r="K643" s="367"/>
      <c r="L643" s="367"/>
      <c r="M643" s="368"/>
      <c r="N643" s="369"/>
      <c r="O643" s="370"/>
      <c r="P643" s="370"/>
      <c r="Q643" s="369"/>
      <c r="R643" s="369"/>
      <c r="S643" s="369"/>
      <c r="T643" s="371"/>
      <c r="U643" s="369"/>
      <c r="V643" s="369"/>
      <c r="W643" s="369"/>
      <c r="X643" s="372"/>
      <c r="Y643" s="367"/>
      <c r="Z643" s="369"/>
      <c r="AA643" s="372"/>
      <c r="AB643" s="372"/>
      <c r="AC643" s="371"/>
      <c r="AD643" s="371"/>
      <c r="AE643" s="367"/>
      <c r="AF643" s="372"/>
      <c r="AG643" s="367"/>
      <c r="AH643" s="367"/>
      <c r="AI643" s="367"/>
      <c r="AJ643" s="367"/>
      <c r="AK643" s="373"/>
      <c r="AL643" s="373"/>
      <c r="AM643" s="373"/>
      <c r="AN643" s="373"/>
      <c r="AO643" s="314" t="str">
        <f t="shared" si="1321"/>
        <v> </v>
      </c>
      <c r="AP643" s="374">
        <f t="shared" si="1322"/>
        <v>0</v>
      </c>
      <c r="AQ643" s="316" t="str">
        <f t="shared" si="1323"/>
        <v> </v>
      </c>
    </row>
    <row r="644" ht="29.25" customHeight="1" outlineLevel="1" spans="1:43">
      <c r="B644" s="317">
        <v>0.645844907407407</v>
      </c>
      <c r="C644" s="293" t="str">
        <f t="shared" ref="C644:G644" si="1349">TEXT(IF($B644=0," ",$B644-C$6),"hh:mm am/pm")</f>
        <v>13:30 001/p1</v>
      </c>
      <c r="D644" s="293" t="str">
        <f t="shared" si="1349"/>
        <v>11:30 001/p1</v>
      </c>
      <c r="E644" s="293" t="str">
        <f t="shared" si="1349"/>
        <v>12:30 001/p1</v>
      </c>
      <c r="F644" s="293" t="str">
        <f t="shared" si="1349"/>
        <v>13:30 001/p1</v>
      </c>
      <c r="G644" s="293" t="str">
        <f t="shared" si="1349"/>
        <v>14:30 001/p1</v>
      </c>
      <c r="H644" s="293" t="str">
        <f t="shared" ref="H644:I644" si="1350">TEXT(IF($B644=0," ",$B644+H$6),"hh:mm am/pm")</f>
        <v>21:30 001/p1</v>
      </c>
      <c r="I644" s="293" t="str">
        <f t="shared" si="1350"/>
        <v>02:30 001/p1</v>
      </c>
      <c r="J644" s="433" t="str">
        <f>L601</f>
        <v>#AS Bounty</v>
      </c>
      <c r="K644" s="385"/>
      <c r="L644" s="386" t="s">
        <v>281</v>
      </c>
      <c r="M644" s="408" t="s">
        <v>196</v>
      </c>
      <c r="N644" s="409" t="s">
        <v>57</v>
      </c>
      <c r="O644" s="410" t="s">
        <v>74</v>
      </c>
      <c r="P644" s="411" t="s">
        <v>59</v>
      </c>
      <c r="Q644" s="412">
        <f>22*4</f>
        <v>88</v>
      </c>
      <c r="R644" s="414" t="s">
        <v>60</v>
      </c>
      <c r="S644" s="413"/>
      <c r="T644" s="414">
        <v>0.1</v>
      </c>
      <c r="U644" s="409" t="s">
        <v>62</v>
      </c>
      <c r="V644" s="409">
        <v>1.2</v>
      </c>
      <c r="W644" s="409">
        <v>1.2</v>
      </c>
      <c r="X644" s="415"/>
      <c r="Y644" s="416" t="s">
        <v>79</v>
      </c>
      <c r="Z644" s="409">
        <v>1.2</v>
      </c>
      <c r="AA644" s="417">
        <v>20000</v>
      </c>
      <c r="AB644" s="417" t="s">
        <v>65</v>
      </c>
      <c r="AC644" s="414">
        <v>0.05</v>
      </c>
      <c r="AD644" s="414">
        <v>0</v>
      </c>
      <c r="AE644" s="418" t="s">
        <v>88</v>
      </c>
      <c r="AF644" s="419">
        <v>10000</v>
      </c>
      <c r="AG644" s="420">
        <v>5</v>
      </c>
      <c r="AH644" s="420">
        <v>5</v>
      </c>
      <c r="AI644" s="420">
        <v>4</v>
      </c>
      <c r="AJ644" s="418">
        <v>9</v>
      </c>
      <c r="AK644" s="428" t="s">
        <v>67</v>
      </c>
      <c r="AL644" s="428" t="s">
        <v>68</v>
      </c>
      <c r="AM644" s="422" t="s">
        <v>197</v>
      </c>
      <c r="AN644" s="403" t="s">
        <v>198</v>
      </c>
      <c r="AO644" s="314">
        <f t="shared" si="1321"/>
        <v>0.677094907407407</v>
      </c>
      <c r="AP644" s="315">
        <f t="shared" si="1322"/>
        <v>78</v>
      </c>
      <c r="AQ644" s="316" t="str">
        <f t="shared" si="1323"/>
        <v>MICRO</v>
      </c>
    </row>
    <row r="645" ht="29.25" customHeight="1" outlineLevel="1" spans="1:43">
      <c r="A645" s="363" t="s">
        <v>385</v>
      </c>
      <c r="B645" s="479"/>
      <c r="C645" s="293" t="str">
        <f t="shared" ref="C645:G645" si="1351">TEXT(IF($B645=0," ",$B645-C$6),"hh:mm am/pm")</f>
        <v> </v>
      </c>
      <c r="D645" s="293" t="str">
        <f t="shared" si="1351"/>
        <v> </v>
      </c>
      <c r="E645" s="293" t="str">
        <f t="shared" si="1351"/>
        <v> </v>
      </c>
      <c r="F645" s="293" t="str">
        <f t="shared" si="1351"/>
        <v> </v>
      </c>
      <c r="G645" s="293" t="str">
        <f t="shared" si="1351"/>
        <v> </v>
      </c>
      <c r="H645" s="293" t="str">
        <f t="shared" ref="H645:I645" si="1352">TEXT(IF($B645=0," ",$B645+H$6),"hh:mm am/pm")</f>
        <v> </v>
      </c>
      <c r="I645" s="293" t="str">
        <f t="shared" si="1352"/>
        <v> </v>
      </c>
      <c r="J645" s="344"/>
      <c r="K645" s="367"/>
      <c r="L645" s="367"/>
      <c r="M645" s="368"/>
      <c r="N645" s="369"/>
      <c r="O645" s="370"/>
      <c r="P645" s="370"/>
      <c r="Q645" s="369"/>
      <c r="R645" s="369"/>
      <c r="S645" s="369"/>
      <c r="T645" s="371"/>
      <c r="U645" s="369"/>
      <c r="V645" s="369"/>
      <c r="W645" s="369"/>
      <c r="X645" s="372"/>
      <c r="Y645" s="367"/>
      <c r="Z645" s="369"/>
      <c r="AA645" s="372"/>
      <c r="AB645" s="372"/>
      <c r="AC645" s="371"/>
      <c r="AD645" s="371"/>
      <c r="AE645" s="367"/>
      <c r="AF645" s="372"/>
      <c r="AG645" s="367"/>
      <c r="AH645" s="367"/>
      <c r="AI645" s="367"/>
      <c r="AJ645" s="367"/>
      <c r="AK645" s="373"/>
      <c r="AL645" s="373"/>
      <c r="AM645" s="373"/>
      <c r="AN645" s="373"/>
      <c r="AO645" s="314" t="str">
        <f t="shared" si="1321"/>
        <v> </v>
      </c>
      <c r="AP645" s="374">
        <f t="shared" si="1322"/>
        <v>0</v>
      </c>
      <c r="AQ645" s="316" t="str">
        <f t="shared" si="1323"/>
        <v> </v>
      </c>
    </row>
    <row r="646" ht="29.25" customHeight="1" outlineLevel="1" spans="1:43">
      <c r="B646" s="317">
        <v>0.666678240740741</v>
      </c>
      <c r="C646" s="293" t="str">
        <f t="shared" ref="C646:G646" si="1353">TEXT(IF($B646=0," ",$B646-C$6),"hh:mm am/pm")</f>
        <v>14:00 001/p1</v>
      </c>
      <c r="D646" s="293" t="str">
        <f t="shared" si="1353"/>
        <v>12:00 001/p1</v>
      </c>
      <c r="E646" s="293" t="str">
        <f t="shared" si="1353"/>
        <v>13:00 001/p1</v>
      </c>
      <c r="F646" s="293" t="str">
        <f t="shared" si="1353"/>
        <v>14:00 001/p1</v>
      </c>
      <c r="G646" s="293" t="str">
        <f t="shared" si="1353"/>
        <v>15:00 001/p1</v>
      </c>
      <c r="H646" s="293" t="str">
        <f t="shared" ref="H646:I646" si="1354">TEXT(IF($B646=0," ",$B646+H$6),"hh:mm am/pm")</f>
        <v>22:00 001/p1</v>
      </c>
      <c r="I646" s="293" t="str">
        <f t="shared" si="1354"/>
        <v>03:00 001/p1</v>
      </c>
      <c r="J646" s="405" t="str">
        <f>L544</f>
        <v>#AS Big Plus+SPT</v>
      </c>
      <c r="K646" s="406"/>
      <c r="L646" s="407" t="s">
        <v>408</v>
      </c>
      <c r="M646" s="408" t="s">
        <v>196</v>
      </c>
      <c r="N646" s="409" t="s">
        <v>57</v>
      </c>
      <c r="O646" s="410" t="s">
        <v>74</v>
      </c>
      <c r="P646" s="411" t="s">
        <v>59</v>
      </c>
      <c r="Q646" s="412">
        <f>8*5</f>
        <v>40</v>
      </c>
      <c r="R646" s="414" t="s">
        <v>60</v>
      </c>
      <c r="S646" s="413"/>
      <c r="T646" s="414">
        <v>0.1</v>
      </c>
      <c r="U646" s="409" t="s">
        <v>62</v>
      </c>
      <c r="V646" s="409">
        <v>0</v>
      </c>
      <c r="W646" s="409">
        <v>0.2</v>
      </c>
      <c r="X646" s="419">
        <v>10000</v>
      </c>
      <c r="Y646" s="416" t="s">
        <v>79</v>
      </c>
      <c r="Z646" s="409">
        <v>0.4</v>
      </c>
      <c r="AA646" s="417">
        <v>15000</v>
      </c>
      <c r="AB646" s="417" t="s">
        <v>65</v>
      </c>
      <c r="AC646" s="414">
        <v>0.05</v>
      </c>
      <c r="AD646" s="414">
        <v>0</v>
      </c>
      <c r="AE646" s="418" t="s">
        <v>88</v>
      </c>
      <c r="AF646" s="419">
        <v>7500</v>
      </c>
      <c r="AG646" s="420">
        <v>4</v>
      </c>
      <c r="AH646" s="420">
        <v>3</v>
      </c>
      <c r="AI646" s="420">
        <v>3</v>
      </c>
      <c r="AJ646" s="418">
        <v>9</v>
      </c>
      <c r="AK646" s="421" t="s">
        <v>67</v>
      </c>
      <c r="AL646" s="428" t="s">
        <v>68</v>
      </c>
      <c r="AM646" s="422" t="s">
        <v>197</v>
      </c>
      <c r="AN646" s="403" t="s">
        <v>198</v>
      </c>
      <c r="AO646" s="314">
        <f t="shared" si="1321"/>
        <v>0.691678240740741</v>
      </c>
      <c r="AP646" s="315" t="e">
        <f t="shared" si="1322"/>
        <v>#DIV/0!</v>
      </c>
      <c r="AQ646" s="316" t="str">
        <f t="shared" si="1323"/>
        <v> </v>
      </c>
    </row>
    <row r="647" ht="29.25" customHeight="1" outlineLevel="1" spans="1:43">
      <c r="B647" s="479"/>
      <c r="C647" s="293" t="str">
        <f t="shared" ref="C647:G647" si="1355">TEXT(IF($B647=0," ",$B647-C$6),"hh:mm am/pm")</f>
        <v> </v>
      </c>
      <c r="D647" s="293" t="str">
        <f t="shared" si="1355"/>
        <v> </v>
      </c>
      <c r="E647" s="293" t="str">
        <f t="shared" si="1355"/>
        <v> </v>
      </c>
      <c r="F647" s="293" t="str">
        <f t="shared" si="1355"/>
        <v> </v>
      </c>
      <c r="G647" s="293" t="str">
        <f t="shared" si="1355"/>
        <v> </v>
      </c>
      <c r="H647" s="293" t="str">
        <f t="shared" ref="H647:I647" si="1356">TEXT(IF($B647=0," ",$B647+H$6),"hh:mm am/pm")</f>
        <v> </v>
      </c>
      <c r="I647" s="293" t="str">
        <f t="shared" si="1356"/>
        <v> </v>
      </c>
      <c r="J647" s="344"/>
      <c r="K647" s="367"/>
      <c r="L647" s="367"/>
      <c r="M647" s="368"/>
      <c r="N647" s="369"/>
      <c r="O647" s="370"/>
      <c r="P647" s="370"/>
      <c r="Q647" s="369"/>
      <c r="R647" s="369"/>
      <c r="S647" s="369"/>
      <c r="T647" s="371"/>
      <c r="U647" s="369"/>
      <c r="V647" s="369"/>
      <c r="W647" s="369"/>
      <c r="X647" s="372"/>
      <c r="Y647" s="367"/>
      <c r="Z647" s="369"/>
      <c r="AA647" s="372"/>
      <c r="AB647" s="372"/>
      <c r="AC647" s="371"/>
      <c r="AD647" s="371"/>
      <c r="AE647" s="367"/>
      <c r="AF647" s="372"/>
      <c r="AG647" s="367"/>
      <c r="AH647" s="367"/>
      <c r="AI647" s="367"/>
      <c r="AJ647" s="367"/>
      <c r="AK647" s="373"/>
      <c r="AL647" s="373"/>
      <c r="AM647" s="373"/>
      <c r="AN647" s="373"/>
      <c r="AO647" s="314" t="str">
        <f t="shared" si="1321"/>
        <v> </v>
      </c>
      <c r="AP647" s="374">
        <f t="shared" si="1322"/>
        <v>0</v>
      </c>
      <c r="AQ647" s="316" t="str">
        <f t="shared" si="1323"/>
        <v> </v>
      </c>
    </row>
    <row r="648" ht="29.25" customHeight="1" outlineLevel="1" spans="1:43">
      <c r="A648" s="363" t="s">
        <v>385</v>
      </c>
      <c r="B648" s="317">
        <v>0.708344907407407</v>
      </c>
      <c r="C648" s="293" t="str">
        <f t="shared" ref="C648:G648" si="1357">TEXT(IF($B648=0," ",$B648-C$6),"hh:mm am/pm")</f>
        <v>15:00 001/p1</v>
      </c>
      <c r="D648" s="293" t="str">
        <f t="shared" si="1357"/>
        <v>13:00 001/p1</v>
      </c>
      <c r="E648" s="293" t="str">
        <f t="shared" si="1357"/>
        <v>14:00 001/p1</v>
      </c>
      <c r="F648" s="293" t="str">
        <f t="shared" si="1357"/>
        <v>15:00 001/p1</v>
      </c>
      <c r="G648" s="293" t="str">
        <f t="shared" si="1357"/>
        <v>16:00 001/p1</v>
      </c>
      <c r="H648" s="293" t="str">
        <f t="shared" ref="H648:I648" si="1358">TEXT(IF($B648=0," ",$B648+H$6),"hh:mm am/pm")</f>
        <v>23:00 001/p1</v>
      </c>
      <c r="I648" s="293" t="str">
        <f t="shared" si="1358"/>
        <v>04:00 001/p1</v>
      </c>
      <c r="J648" s="433" t="str">
        <f>L545</f>
        <v>#AS Friday HR</v>
      </c>
      <c r="K648" s="385"/>
      <c r="L648" s="386" t="s">
        <v>409</v>
      </c>
      <c r="M648" s="408" t="s">
        <v>196</v>
      </c>
      <c r="N648" s="409" t="s">
        <v>57</v>
      </c>
      <c r="O648" s="410" t="s">
        <v>74</v>
      </c>
      <c r="P648" s="411" t="s">
        <v>59</v>
      </c>
      <c r="Q648" s="412">
        <f>110*4</f>
        <v>440</v>
      </c>
      <c r="R648" s="414" t="s">
        <v>60</v>
      </c>
      <c r="S648" s="413"/>
      <c r="T648" s="414">
        <v>0.1</v>
      </c>
      <c r="U648" s="409" t="s">
        <v>62</v>
      </c>
      <c r="V648" s="409">
        <v>16</v>
      </c>
      <c r="W648" s="409">
        <v>16</v>
      </c>
      <c r="X648" s="415"/>
      <c r="Y648" s="545" t="s">
        <v>79</v>
      </c>
      <c r="Z648" s="426"/>
      <c r="AA648" s="409" t="s">
        <v>64</v>
      </c>
      <c r="AB648" s="417" t="s">
        <v>65</v>
      </c>
      <c r="AC648" s="414">
        <v>0.05</v>
      </c>
      <c r="AD648" s="414">
        <v>0</v>
      </c>
      <c r="AE648" s="418" t="s">
        <v>88</v>
      </c>
      <c r="AF648" s="419">
        <v>10000</v>
      </c>
      <c r="AG648" s="420">
        <v>4</v>
      </c>
      <c r="AH648" s="420">
        <v>4</v>
      </c>
      <c r="AI648" s="420">
        <v>4</v>
      </c>
      <c r="AJ648" s="418">
        <v>9</v>
      </c>
      <c r="AK648" s="428" t="s">
        <v>67</v>
      </c>
      <c r="AL648" s="428" t="s">
        <v>68</v>
      </c>
      <c r="AM648" s="422" t="s">
        <v>197</v>
      </c>
      <c r="AN648" s="403" t="s">
        <v>198</v>
      </c>
      <c r="AO648" s="314">
        <f t="shared" si="1321"/>
        <v>0.733344907407407</v>
      </c>
      <c r="AP648" s="315">
        <f t="shared" si="1322"/>
        <v>29</v>
      </c>
      <c r="AQ648" s="316" t="str">
        <f t="shared" si="1323"/>
        <v>LOW</v>
      </c>
    </row>
    <row r="649" ht="29.25" customHeight="1" outlineLevel="1" spans="1:43">
      <c r="B649" s="479"/>
      <c r="C649" s="293" t="str">
        <f t="shared" ref="C649:G649" si="1359">TEXT(IF($B649=0," ",$B649-C$6),"hh:mm am/pm")</f>
        <v> </v>
      </c>
      <c r="D649" s="293" t="str">
        <f t="shared" si="1359"/>
        <v> </v>
      </c>
      <c r="E649" s="293" t="str">
        <f t="shared" si="1359"/>
        <v> </v>
      </c>
      <c r="F649" s="293" t="str">
        <f t="shared" si="1359"/>
        <v> </v>
      </c>
      <c r="G649" s="293" t="str">
        <f t="shared" si="1359"/>
        <v> </v>
      </c>
      <c r="H649" s="293" t="str">
        <f t="shared" ref="H649:I649" si="1360">TEXT(IF($B649=0," ",$B649+H$6),"hh:mm am/pm")</f>
        <v> </v>
      </c>
      <c r="I649" s="293" t="str">
        <f t="shared" si="1360"/>
        <v> </v>
      </c>
      <c r="J649" s="344"/>
      <c r="K649" s="367"/>
      <c r="L649" s="367"/>
      <c r="M649" s="368"/>
      <c r="N649" s="369"/>
      <c r="O649" s="370"/>
      <c r="P649" s="370"/>
      <c r="Q649" s="369"/>
      <c r="R649" s="369"/>
      <c r="S649" s="369"/>
      <c r="T649" s="371"/>
      <c r="U649" s="369"/>
      <c r="V649" s="369"/>
      <c r="W649" s="369"/>
      <c r="X649" s="372"/>
      <c r="Y649" s="367"/>
      <c r="Z649" s="369"/>
      <c r="AA649" s="372"/>
      <c r="AB649" s="372"/>
      <c r="AC649" s="371"/>
      <c r="AD649" s="371"/>
      <c r="AE649" s="367"/>
      <c r="AF649" s="372"/>
      <c r="AG649" s="367"/>
      <c r="AH649" s="367"/>
      <c r="AI649" s="367"/>
      <c r="AJ649" s="367"/>
      <c r="AK649" s="373"/>
      <c r="AL649" s="373"/>
      <c r="AM649" s="373"/>
      <c r="AN649" s="373"/>
      <c r="AO649" s="314" t="str">
        <f t="shared" si="1321"/>
        <v> </v>
      </c>
      <c r="AP649" s="374">
        <f t="shared" si="1322"/>
        <v>0</v>
      </c>
      <c r="AQ649" s="316" t="str">
        <f t="shared" si="1323"/>
        <v> </v>
      </c>
    </row>
    <row r="650" ht="29.25" customHeight="1" outlineLevel="1" spans="1:43">
      <c r="B650" s="317">
        <v>0.708344907407407</v>
      </c>
      <c r="C650" s="293" t="str">
        <f t="shared" ref="C650:G650" si="1361">TEXT(IF($B650=0," ",$B650-C$6),"hh:mm am/pm")</f>
        <v>15:00 001/p1</v>
      </c>
      <c r="D650" s="293" t="str">
        <f t="shared" si="1361"/>
        <v>13:00 001/p1</v>
      </c>
      <c r="E650" s="293" t="str">
        <f t="shared" si="1361"/>
        <v>14:00 001/p1</v>
      </c>
      <c r="F650" s="293" t="str">
        <f t="shared" si="1361"/>
        <v>15:00 001/p1</v>
      </c>
      <c r="G650" s="293" t="str">
        <f t="shared" si="1361"/>
        <v>16:00 001/p1</v>
      </c>
      <c r="H650" s="293" t="str">
        <f t="shared" ref="H650:I650" si="1362">TEXT(IF($B650=0," ",$B650+H$6),"hh:mm am/pm")</f>
        <v>23:00 001/p1</v>
      </c>
      <c r="I650" s="293" t="str">
        <f t="shared" si="1362"/>
        <v>04:00 001/p1</v>
      </c>
      <c r="J650" s="544" t="str">
        <f>L604</f>
        <v>#AS OmaX PKO</v>
      </c>
      <c r="K650" s="406"/>
      <c r="L650" s="407" t="s">
        <v>284</v>
      </c>
      <c r="M650" s="408" t="s">
        <v>196</v>
      </c>
      <c r="N650" s="409" t="s">
        <v>100</v>
      </c>
      <c r="O650" s="410" t="s">
        <v>74</v>
      </c>
      <c r="P650" s="411" t="s">
        <v>101</v>
      </c>
      <c r="Q650" s="412">
        <f>15*6</f>
        <v>90</v>
      </c>
      <c r="R650" s="414" t="s">
        <v>60</v>
      </c>
      <c r="S650" s="413"/>
      <c r="T650" s="414">
        <v>0.1</v>
      </c>
      <c r="U650" s="409" t="s">
        <v>62</v>
      </c>
      <c r="V650" s="409">
        <v>0.8</v>
      </c>
      <c r="W650" s="409">
        <v>0.8</v>
      </c>
      <c r="X650" s="415"/>
      <c r="Y650" s="416" t="s">
        <v>79</v>
      </c>
      <c r="Z650" s="409">
        <v>0.8</v>
      </c>
      <c r="AA650" s="417">
        <v>20000</v>
      </c>
      <c r="AB650" s="417" t="s">
        <v>65</v>
      </c>
      <c r="AC650" s="414">
        <v>0.05</v>
      </c>
      <c r="AD650" s="414">
        <v>0</v>
      </c>
      <c r="AE650" s="418" t="s">
        <v>88</v>
      </c>
      <c r="AF650" s="419">
        <v>10000</v>
      </c>
      <c r="AG650" s="420">
        <v>4</v>
      </c>
      <c r="AH650" s="420">
        <v>4</v>
      </c>
      <c r="AI650" s="420">
        <v>4</v>
      </c>
      <c r="AJ650" s="418">
        <v>9</v>
      </c>
      <c r="AK650" s="428" t="s">
        <v>67</v>
      </c>
      <c r="AL650" s="428" t="s">
        <v>68</v>
      </c>
      <c r="AM650" s="422" t="s">
        <v>197</v>
      </c>
      <c r="AN650" s="403" t="s">
        <v>198</v>
      </c>
      <c r="AO650" s="314">
        <f t="shared" si="1321"/>
        <v>0.733344907407407</v>
      </c>
      <c r="AP650" s="315">
        <f t="shared" si="1322"/>
        <v>119</v>
      </c>
      <c r="AQ650" s="316" t="str">
        <f t="shared" si="1323"/>
        <v>MICRO</v>
      </c>
    </row>
    <row r="651" ht="29.25" customHeight="1" outlineLevel="1" spans="1:43">
      <c r="A651" s="363" t="s">
        <v>385</v>
      </c>
      <c r="B651" s="479"/>
      <c r="C651" s="293" t="str">
        <f t="shared" ref="C651:G651" si="1363">TEXT(IF($B651=0," ",$B651-C$6),"hh:mm am/pm")</f>
        <v> </v>
      </c>
      <c r="D651" s="293" t="str">
        <f t="shared" si="1363"/>
        <v> </v>
      </c>
      <c r="E651" s="293" t="str">
        <f t="shared" si="1363"/>
        <v> </v>
      </c>
      <c r="F651" s="293" t="str">
        <f t="shared" si="1363"/>
        <v> </v>
      </c>
      <c r="G651" s="293" t="str">
        <f t="shared" si="1363"/>
        <v> </v>
      </c>
      <c r="H651" s="293" t="str">
        <f t="shared" ref="H651:I651" si="1364">TEXT(IF($B651=0," ",$B651+H$6),"hh:mm am/pm")</f>
        <v> </v>
      </c>
      <c r="I651" s="293" t="str">
        <f t="shared" si="1364"/>
        <v> </v>
      </c>
      <c r="J651" s="344"/>
      <c r="K651" s="367"/>
      <c r="L651" s="367"/>
      <c r="M651" s="368"/>
      <c r="N651" s="369"/>
      <c r="O651" s="370"/>
      <c r="P651" s="370"/>
      <c r="Q651" s="369"/>
      <c r="R651" s="369"/>
      <c r="S651" s="369"/>
      <c r="T651" s="371"/>
      <c r="U651" s="369"/>
      <c r="V651" s="369"/>
      <c r="W651" s="369"/>
      <c r="X651" s="372"/>
      <c r="Y651" s="367"/>
      <c r="Z651" s="369"/>
      <c r="AA651" s="372"/>
      <c r="AB651" s="372"/>
      <c r="AC651" s="371"/>
      <c r="AD651" s="371"/>
      <c r="AE651" s="367"/>
      <c r="AF651" s="372"/>
      <c r="AG651" s="367"/>
      <c r="AH651" s="367"/>
      <c r="AI651" s="367"/>
      <c r="AJ651" s="367"/>
      <c r="AK651" s="373"/>
      <c r="AL651" s="373"/>
      <c r="AM651" s="373"/>
      <c r="AN651" s="373"/>
      <c r="AO651" s="314" t="str">
        <f t="shared" si="1321"/>
        <v> </v>
      </c>
      <c r="AP651" s="374">
        <f t="shared" si="1322"/>
        <v>0</v>
      </c>
      <c r="AQ651" s="316" t="str">
        <f t="shared" si="1323"/>
        <v> </v>
      </c>
    </row>
    <row r="652" ht="29.25" customHeight="1" outlineLevel="1" spans="1:43">
      <c r="B652" s="317">
        <v>0.750011574074074</v>
      </c>
      <c r="C652" s="293" t="str">
        <f t="shared" ref="C652:G652" si="1365">TEXT(IF($B652=0," ",$B652-C$6),"hh:mm am/pm")</f>
        <v>16:00 001/p1</v>
      </c>
      <c r="D652" s="293" t="str">
        <f t="shared" si="1365"/>
        <v>14:00 001/p1</v>
      </c>
      <c r="E652" s="293" t="str">
        <f t="shared" si="1365"/>
        <v>15:00 001/p1</v>
      </c>
      <c r="F652" s="293" t="str">
        <f t="shared" si="1365"/>
        <v>16:00 001/p1</v>
      </c>
      <c r="G652" s="293" t="str">
        <f t="shared" si="1365"/>
        <v>17:00 001/p1</v>
      </c>
      <c r="H652" s="293" t="str">
        <f t="shared" ref="H652:I652" si="1366">TEXT(IF($B652=0," ",$B652+H$6),"hh:mm am/pm")</f>
        <v>00:00 001/p1</v>
      </c>
      <c r="I652" s="293" t="str">
        <f t="shared" si="1366"/>
        <v>05:00 001/p1</v>
      </c>
      <c r="J652" s="544" t="str">
        <f>L548</f>
        <v>#AS OmaX HR</v>
      </c>
      <c r="K652" s="406"/>
      <c r="L652" s="407" t="s">
        <v>380</v>
      </c>
      <c r="M652" s="408" t="s">
        <v>196</v>
      </c>
      <c r="N652" s="409" t="s">
        <v>100</v>
      </c>
      <c r="O652" s="410" t="s">
        <v>74</v>
      </c>
      <c r="P652" s="411" t="s">
        <v>101</v>
      </c>
      <c r="Q652" s="412">
        <f>70*5</f>
        <v>350</v>
      </c>
      <c r="R652" s="414" t="s">
        <v>60</v>
      </c>
      <c r="S652" s="413"/>
      <c r="T652" s="414">
        <v>0.1</v>
      </c>
      <c r="U652" s="409" t="s">
        <v>62</v>
      </c>
      <c r="V652" s="409">
        <v>4</v>
      </c>
      <c r="W652" s="409">
        <v>4</v>
      </c>
      <c r="X652" s="415"/>
      <c r="Y652" s="416" t="s">
        <v>79</v>
      </c>
      <c r="Z652" s="409">
        <v>4</v>
      </c>
      <c r="AA652" s="417">
        <v>20000</v>
      </c>
      <c r="AB652" s="417" t="s">
        <v>65</v>
      </c>
      <c r="AC652" s="414">
        <v>0.05</v>
      </c>
      <c r="AD652" s="414">
        <v>0</v>
      </c>
      <c r="AE652" s="418" t="s">
        <v>88</v>
      </c>
      <c r="AF652" s="419">
        <v>10000</v>
      </c>
      <c r="AG652" s="420">
        <v>4</v>
      </c>
      <c r="AH652" s="420">
        <v>4</v>
      </c>
      <c r="AI652" s="420">
        <v>4</v>
      </c>
      <c r="AJ652" s="418">
        <v>9</v>
      </c>
      <c r="AK652" s="428" t="s">
        <v>67</v>
      </c>
      <c r="AL652" s="428" t="s">
        <v>68</v>
      </c>
      <c r="AM652" s="422" t="s">
        <v>197</v>
      </c>
      <c r="AN652" s="403" t="s">
        <v>198</v>
      </c>
      <c r="AO652" s="314">
        <f t="shared" si="1321"/>
        <v>0.775011574074074</v>
      </c>
      <c r="AP652" s="315">
        <f t="shared" si="1322"/>
        <v>93</v>
      </c>
      <c r="AQ652" s="316" t="str">
        <f t="shared" si="1323"/>
        <v>MICRO</v>
      </c>
    </row>
    <row r="653" ht="29.25" customHeight="1" outlineLevel="1" spans="1:43">
      <c r="B653" s="479"/>
      <c r="C653" s="293" t="str">
        <f t="shared" ref="C653:G653" si="1367">TEXT(IF($B653=0," ",$B653-C$6),"hh:mm am/pm")</f>
        <v> </v>
      </c>
      <c r="D653" s="293" t="str">
        <f t="shared" si="1367"/>
        <v> </v>
      </c>
      <c r="E653" s="293" t="str">
        <f t="shared" si="1367"/>
        <v> </v>
      </c>
      <c r="F653" s="293" t="str">
        <f t="shared" si="1367"/>
        <v> </v>
      </c>
      <c r="G653" s="293" t="str">
        <f t="shared" si="1367"/>
        <v> </v>
      </c>
      <c r="H653" s="293" t="str">
        <f t="shared" ref="H653:I653" si="1368">TEXT(IF($B653=0," ",$B653+H$6),"hh:mm am/pm")</f>
        <v> </v>
      </c>
      <c r="I653" s="293" t="str">
        <f t="shared" si="1368"/>
        <v> </v>
      </c>
      <c r="J653" s="344"/>
      <c r="K653" s="367"/>
      <c r="L653" s="367"/>
      <c r="M653" s="368"/>
      <c r="N653" s="369"/>
      <c r="O653" s="370"/>
      <c r="P653" s="370"/>
      <c r="Q653" s="369"/>
      <c r="R653" s="369"/>
      <c r="S653" s="369"/>
      <c r="T653" s="371"/>
      <c r="U653" s="369"/>
      <c r="V653" s="369"/>
      <c r="W653" s="369"/>
      <c r="X653" s="372"/>
      <c r="Y653" s="367"/>
      <c r="Z653" s="369"/>
      <c r="AA653" s="372"/>
      <c r="AB653" s="372"/>
      <c r="AC653" s="371"/>
      <c r="AD653" s="371"/>
      <c r="AE653" s="367"/>
      <c r="AF653" s="372"/>
      <c r="AG653" s="367"/>
      <c r="AH653" s="367"/>
      <c r="AI653" s="367"/>
      <c r="AJ653" s="367"/>
      <c r="AK653" s="373"/>
      <c r="AL653" s="373"/>
      <c r="AM653" s="373"/>
      <c r="AN653" s="373"/>
      <c r="AO653" s="314" t="str">
        <f t="shared" si="1321"/>
        <v> </v>
      </c>
      <c r="AP653" s="374">
        <f t="shared" si="1322"/>
        <v>0</v>
      </c>
      <c r="AQ653" s="316" t="str">
        <f t="shared" si="1323"/>
        <v> </v>
      </c>
    </row>
    <row r="654" ht="29.25" customHeight="1" outlineLevel="1" spans="1:43">
      <c r="A654" s="363" t="s">
        <v>385</v>
      </c>
      <c r="B654" s="317">
        <v>0.750011574074074</v>
      </c>
      <c r="C654" s="293" t="str">
        <f t="shared" ref="C654:G654" si="1369">TEXT(IF($B654=0," ",$B654-C$6),"hh:mm am/pm")</f>
        <v>16:00 001/p1</v>
      </c>
      <c r="D654" s="293" t="str">
        <f t="shared" si="1369"/>
        <v>14:00 001/p1</v>
      </c>
      <c r="E654" s="293" t="str">
        <f t="shared" si="1369"/>
        <v>15:00 001/p1</v>
      </c>
      <c r="F654" s="293" t="str">
        <f t="shared" si="1369"/>
        <v>16:00 001/p1</v>
      </c>
      <c r="G654" s="293" t="str">
        <f t="shared" si="1369"/>
        <v>17:00 001/p1</v>
      </c>
      <c r="H654" s="293" t="str">
        <f t="shared" ref="H654:I654" si="1370">TEXT(IF($B654=0," ",$B654+H$6),"hh:mm am/pm")</f>
        <v>00:00 001/p1</v>
      </c>
      <c r="I654" s="293" t="str">
        <f t="shared" si="1370"/>
        <v>05:00 001/p1</v>
      </c>
      <c r="J654" s="433" t="str">
        <f>L549</f>
        <v>#AS Big Mystery+SPS</v>
      </c>
      <c r="K654" s="385"/>
      <c r="L654" s="386" t="s">
        <v>213</v>
      </c>
      <c r="M654" s="408" t="s">
        <v>196</v>
      </c>
      <c r="N654" s="409" t="s">
        <v>57</v>
      </c>
      <c r="O654" s="410" t="s">
        <v>74</v>
      </c>
      <c r="P654" s="411" t="s">
        <v>59</v>
      </c>
      <c r="Q654" s="412">
        <f>15*6</f>
        <v>90</v>
      </c>
      <c r="R654" s="414" t="s">
        <v>60</v>
      </c>
      <c r="S654" s="413"/>
      <c r="T654" s="414">
        <v>0.1</v>
      </c>
      <c r="U654" s="409" t="s">
        <v>62</v>
      </c>
      <c r="V654" s="409">
        <v>0.8</v>
      </c>
      <c r="W654" s="409">
        <v>0.8</v>
      </c>
      <c r="X654" s="415"/>
      <c r="Y654" s="416" t="s">
        <v>79</v>
      </c>
      <c r="Z654" s="409">
        <v>0.8</v>
      </c>
      <c r="AA654" s="417">
        <v>20000</v>
      </c>
      <c r="AB654" s="417" t="s">
        <v>65</v>
      </c>
      <c r="AC654" s="414">
        <v>0.05</v>
      </c>
      <c r="AD654" s="414">
        <v>0</v>
      </c>
      <c r="AE654" s="418" t="s">
        <v>88</v>
      </c>
      <c r="AF654" s="419">
        <v>10000</v>
      </c>
      <c r="AG654" s="420">
        <v>5</v>
      </c>
      <c r="AH654" s="420">
        <v>5</v>
      </c>
      <c r="AI654" s="420">
        <v>4</v>
      </c>
      <c r="AJ654" s="418">
        <v>9</v>
      </c>
      <c r="AK654" s="421" t="s">
        <v>67</v>
      </c>
      <c r="AL654" s="428" t="s">
        <v>68</v>
      </c>
      <c r="AM654" s="422" t="s">
        <v>197</v>
      </c>
      <c r="AN654" s="403" t="s">
        <v>198</v>
      </c>
      <c r="AO654" s="314">
        <f t="shared" si="1321"/>
        <v>0.781261574074074</v>
      </c>
      <c r="AP654" s="315">
        <f t="shared" si="1322"/>
        <v>119</v>
      </c>
      <c r="AQ654" s="316" t="str">
        <f t="shared" si="1323"/>
        <v>MICRO</v>
      </c>
    </row>
    <row r="655" ht="29.25" customHeight="1" outlineLevel="1" spans="1:43">
      <c r="B655" s="479"/>
      <c r="C655" s="293" t="str">
        <f t="shared" ref="C655:G655" si="1371">TEXT(IF($B655=0," ",$B655-C$6),"hh:mm am/pm")</f>
        <v> </v>
      </c>
      <c r="D655" s="293" t="str">
        <f t="shared" si="1371"/>
        <v> </v>
      </c>
      <c r="E655" s="293" t="str">
        <f t="shared" si="1371"/>
        <v> </v>
      </c>
      <c r="F655" s="293" t="str">
        <f t="shared" si="1371"/>
        <v> </v>
      </c>
      <c r="G655" s="293" t="str">
        <f t="shared" si="1371"/>
        <v> </v>
      </c>
      <c r="H655" s="293" t="str">
        <f t="shared" ref="H655:I655" si="1372">TEXT(IF($B655=0," ",$B655+H$6),"hh:mm am/pm")</f>
        <v> </v>
      </c>
      <c r="I655" s="293" t="str">
        <f t="shared" si="1372"/>
        <v> </v>
      </c>
      <c r="J655" s="344"/>
      <c r="K655" s="367"/>
      <c r="L655" s="367"/>
      <c r="M655" s="368"/>
      <c r="N655" s="369"/>
      <c r="O655" s="370"/>
      <c r="P655" s="370"/>
      <c r="Q655" s="369"/>
      <c r="R655" s="369"/>
      <c r="S655" s="369"/>
      <c r="T655" s="371"/>
      <c r="U655" s="369"/>
      <c r="V655" s="369"/>
      <c r="W655" s="369"/>
      <c r="X655" s="372"/>
      <c r="Y655" s="367"/>
      <c r="Z655" s="369"/>
      <c r="AA655" s="372"/>
      <c r="AB655" s="372"/>
      <c r="AC655" s="371"/>
      <c r="AD655" s="371"/>
      <c r="AE655" s="367"/>
      <c r="AF655" s="372"/>
      <c r="AG655" s="367"/>
      <c r="AH655" s="367"/>
      <c r="AI655" s="367"/>
      <c r="AJ655" s="367"/>
      <c r="AK655" s="373"/>
      <c r="AL655" s="373"/>
      <c r="AM655" s="373"/>
      <c r="AN655" s="373"/>
      <c r="AO655" s="383"/>
      <c r="AP655" s="374"/>
      <c r="AQ655" s="383"/>
    </row>
    <row r="656" ht="29.25" customHeight="1" outlineLevel="1" spans="1:43">
      <c r="A656" s="363" t="s">
        <v>385</v>
      </c>
      <c r="B656" s="364">
        <v>0.812511574074074</v>
      </c>
      <c r="C656" s="293" t="str">
        <f t="shared" ref="C656:G656" si="1373">TEXT(IF($B656=0," ",$B656-C$6),"hh:mm am/pm")</f>
        <v>17:30 001/p1</v>
      </c>
      <c r="D656" s="293" t="str">
        <f t="shared" si="1373"/>
        <v>15:30 001/p1</v>
      </c>
      <c r="E656" s="293" t="str">
        <f t="shared" si="1373"/>
        <v>16:30 001/p1</v>
      </c>
      <c r="F656" s="293" t="str">
        <f t="shared" si="1373"/>
        <v>17:30 001/p1</v>
      </c>
      <c r="G656" s="293" t="str">
        <f t="shared" si="1373"/>
        <v>18:30 001/p1</v>
      </c>
      <c r="H656" s="293" t="str">
        <f t="shared" ref="H656:I656" si="1374">TEXT(IF($B656=0," ",$B656+H$6),"hh:mm am/pm")</f>
        <v>01:30 001/p1</v>
      </c>
      <c r="I656" s="293" t="str">
        <f t="shared" si="1374"/>
        <v>06:30 001/p1</v>
      </c>
      <c r="J656" s="544" t="str">
        <f>L619</f>
        <v>#AS OmaX Turbo</v>
      </c>
      <c r="K656" s="406"/>
      <c r="L656" s="407" t="s">
        <v>288</v>
      </c>
      <c r="M656" s="408" t="s">
        <v>196</v>
      </c>
      <c r="N656" s="409" t="s">
        <v>100</v>
      </c>
      <c r="O656" s="410" t="s">
        <v>74</v>
      </c>
      <c r="P656" s="411" t="s">
        <v>101</v>
      </c>
      <c r="Q656" s="412">
        <f>11*6</f>
        <v>66</v>
      </c>
      <c r="R656" s="414" t="s">
        <v>60</v>
      </c>
      <c r="S656" s="413"/>
      <c r="T656" s="414">
        <v>0.1</v>
      </c>
      <c r="U656" s="409" t="s">
        <v>62</v>
      </c>
      <c r="V656" s="409">
        <v>0.6</v>
      </c>
      <c r="W656" s="409">
        <v>0.6</v>
      </c>
      <c r="X656" s="415"/>
      <c r="Y656" s="416" t="s">
        <v>79</v>
      </c>
      <c r="Z656" s="409">
        <v>0.6</v>
      </c>
      <c r="AA656" s="417">
        <v>20000</v>
      </c>
      <c r="AB656" s="417" t="s">
        <v>65</v>
      </c>
      <c r="AC656" s="414">
        <v>0.05</v>
      </c>
      <c r="AD656" s="414">
        <v>0</v>
      </c>
      <c r="AE656" s="418" t="s">
        <v>88</v>
      </c>
      <c r="AF656" s="419">
        <v>10000</v>
      </c>
      <c r="AG656" s="420">
        <v>4</v>
      </c>
      <c r="AH656" s="420">
        <v>4</v>
      </c>
      <c r="AI656" s="420">
        <v>4</v>
      </c>
      <c r="AJ656" s="418">
        <v>9</v>
      </c>
      <c r="AK656" s="402" t="s">
        <v>67</v>
      </c>
      <c r="AL656" s="428" t="s">
        <v>68</v>
      </c>
      <c r="AM656" s="422" t="s">
        <v>197</v>
      </c>
      <c r="AN656" s="403" t="s">
        <v>198</v>
      </c>
      <c r="AO656" s="314">
        <f t="shared" ref="AO656:AO662" si="1375">IF(B656=0," ",TIME(,ROUNDDOWN(AG656*AJ656/60,0)*5+(AG656*AJ656),)+B656)</f>
        <v>0.837511574074074</v>
      </c>
      <c r="AP656" s="315">
        <f t="shared" ref="AP656:AP662" si="1376">IF(Q656=0,,ROUNDUP(Q656/(V656*(1-AC656-AD656)),0))</f>
        <v>116</v>
      </c>
      <c r="AQ656" s="316" t="str">
        <f t="shared" ref="AQ656:AQ662" si="1377">IFERROR(IF(V656=0," ",IF(V656&lt;=5,"MICRO",IF(V656&lt;=19.8,"LOW",IF(V656&lt;=99.8,"MEDIUM",IF(V656&lt;=500,"HIGH",IF(V656&gt;500,"SUPER HIGH",)))))),"")</f>
        <v>MICRO</v>
      </c>
    </row>
    <row r="657" ht="29.25" customHeight="1" outlineLevel="1" spans="1:43">
      <c r="B657" s="479"/>
      <c r="C657" s="293" t="str">
        <f t="shared" ref="C657:G657" si="1378">TEXT(IF($B657=0," ",$B657-C$6),"hh:mm am/pm")</f>
        <v> </v>
      </c>
      <c r="D657" s="293" t="str">
        <f t="shared" si="1378"/>
        <v> </v>
      </c>
      <c r="E657" s="293" t="str">
        <f t="shared" si="1378"/>
        <v> </v>
      </c>
      <c r="F657" s="293" t="str">
        <f t="shared" si="1378"/>
        <v> </v>
      </c>
      <c r="G657" s="293" t="str">
        <f t="shared" si="1378"/>
        <v> </v>
      </c>
      <c r="H657" s="293" t="str">
        <f t="shared" ref="H657:I657" si="1379">TEXT(IF($B657=0," ",$B657+H$6),"hh:mm am/pm")</f>
        <v> </v>
      </c>
      <c r="I657" s="293" t="str">
        <f t="shared" si="1379"/>
        <v> </v>
      </c>
      <c r="J657" s="344"/>
      <c r="K657" s="367"/>
      <c r="L657" s="367"/>
      <c r="M657" s="368"/>
      <c r="N657" s="369"/>
      <c r="O657" s="370"/>
      <c r="P657" s="370"/>
      <c r="Q657" s="369"/>
      <c r="R657" s="369"/>
      <c r="S657" s="369"/>
      <c r="T657" s="371"/>
      <c r="U657" s="369"/>
      <c r="V657" s="369"/>
      <c r="W657" s="369"/>
      <c r="X657" s="372"/>
      <c r="Y657" s="367"/>
      <c r="Z657" s="369"/>
      <c r="AA657" s="372"/>
      <c r="AB657" s="372"/>
      <c r="AC657" s="371"/>
      <c r="AD657" s="371"/>
      <c r="AE657" s="367"/>
      <c r="AF657" s="372"/>
      <c r="AG657" s="367"/>
      <c r="AH657" s="367"/>
      <c r="AI657" s="367"/>
      <c r="AJ657" s="367"/>
      <c r="AK657" s="373"/>
      <c r="AL657" s="373"/>
      <c r="AM657" s="373"/>
      <c r="AN657" s="373"/>
      <c r="AO657" s="314" t="str">
        <f t="shared" si="1375"/>
        <v> </v>
      </c>
      <c r="AP657" s="374">
        <f t="shared" si="1376"/>
        <v>0</v>
      </c>
      <c r="AQ657" s="316" t="str">
        <f t="shared" si="1377"/>
        <v> </v>
      </c>
    </row>
    <row r="658" ht="29.25" customHeight="1" outlineLevel="1" spans="1:43">
      <c r="B658" s="364">
        <v>0.833344907407407</v>
      </c>
      <c r="C658" s="293" t="str">
        <f t="shared" ref="C658:G658" si="1380">TEXT(IF($B658=0," ",$B658-C$6),"hh:mm am/pm")</f>
        <v>18:00 001/p1</v>
      </c>
      <c r="D658" s="293" t="str">
        <f t="shared" si="1380"/>
        <v>16:00 001/p1</v>
      </c>
      <c r="E658" s="293" t="str">
        <f t="shared" si="1380"/>
        <v>17:00 001/p1</v>
      </c>
      <c r="F658" s="293" t="str">
        <f t="shared" si="1380"/>
        <v>18:00 001/p1</v>
      </c>
      <c r="G658" s="293" t="str">
        <f t="shared" si="1380"/>
        <v>19:00 001/p1</v>
      </c>
      <c r="H658" s="293" t="str">
        <f t="shared" ref="H658:I658" si="1381">TEXT(IF($B658=0," ",$B658+H$6),"hh:mm am/pm")</f>
        <v>02:00 001/p1</v>
      </c>
      <c r="I658" s="293" t="str">
        <f t="shared" si="1381"/>
        <v>07:00 001/p1</v>
      </c>
      <c r="J658" s="544" t="str">
        <f>L618</f>
        <v>#AS Battle PKO</v>
      </c>
      <c r="K658" s="406"/>
      <c r="L658" s="407" t="s">
        <v>350</v>
      </c>
      <c r="M658" s="408" t="s">
        <v>196</v>
      </c>
      <c r="N658" s="409" t="s">
        <v>57</v>
      </c>
      <c r="O658" s="410" t="s">
        <v>74</v>
      </c>
      <c r="P658" s="411" t="s">
        <v>59</v>
      </c>
      <c r="Q658" s="412">
        <f>22*3</f>
        <v>66</v>
      </c>
      <c r="R658" s="414" t="s">
        <v>60</v>
      </c>
      <c r="S658" s="413"/>
      <c r="T658" s="414">
        <v>0.1</v>
      </c>
      <c r="U658" s="409" t="s">
        <v>62</v>
      </c>
      <c r="V658" s="409">
        <v>1.2</v>
      </c>
      <c r="W658" s="409">
        <v>1.2</v>
      </c>
      <c r="X658" s="415"/>
      <c r="Y658" s="416" t="s">
        <v>79</v>
      </c>
      <c r="Z658" s="409">
        <v>1.2</v>
      </c>
      <c r="AA658" s="417">
        <v>20000</v>
      </c>
      <c r="AB658" s="417" t="s">
        <v>65</v>
      </c>
      <c r="AC658" s="414">
        <v>0.05</v>
      </c>
      <c r="AD658" s="414">
        <v>0</v>
      </c>
      <c r="AE658" s="418" t="s">
        <v>88</v>
      </c>
      <c r="AF658" s="419">
        <v>10000</v>
      </c>
      <c r="AG658" s="420">
        <v>4</v>
      </c>
      <c r="AH658" s="420">
        <v>4</v>
      </c>
      <c r="AI658" s="420">
        <v>4</v>
      </c>
      <c r="AJ658" s="418">
        <v>9</v>
      </c>
      <c r="AK658" s="428" t="s">
        <v>67</v>
      </c>
      <c r="AL658" s="428" t="s">
        <v>68</v>
      </c>
      <c r="AM658" s="422" t="s">
        <v>197</v>
      </c>
      <c r="AN658" s="403" t="s">
        <v>198</v>
      </c>
      <c r="AO658" s="314">
        <f t="shared" si="1375"/>
        <v>0.858344907407407</v>
      </c>
      <c r="AP658" s="315">
        <f t="shared" si="1376"/>
        <v>58</v>
      </c>
      <c r="AQ658" s="316" t="str">
        <f t="shared" si="1377"/>
        <v>MICRO</v>
      </c>
    </row>
    <row r="659" ht="29.25" customHeight="1" outlineLevel="1" spans="1:43">
      <c r="A659" s="363" t="s">
        <v>385</v>
      </c>
      <c r="B659" s="479"/>
      <c r="C659" s="293" t="str">
        <f t="shared" ref="C659:G659" si="1382">TEXT(IF($B659=0," ",$B659-C$6),"hh:mm am/pm")</f>
        <v> </v>
      </c>
      <c r="D659" s="293" t="str">
        <f t="shared" si="1382"/>
        <v> </v>
      </c>
      <c r="E659" s="293" t="str">
        <f t="shared" si="1382"/>
        <v> </v>
      </c>
      <c r="F659" s="293" t="str">
        <f t="shared" si="1382"/>
        <v> </v>
      </c>
      <c r="G659" s="293" t="str">
        <f t="shared" si="1382"/>
        <v> </v>
      </c>
      <c r="H659" s="293" t="str">
        <f t="shared" ref="H659:I659" si="1383">TEXT(IF($B659=0," ",$B659+H$6),"hh:mm am/pm")</f>
        <v> </v>
      </c>
      <c r="I659" s="293" t="str">
        <f t="shared" si="1383"/>
        <v> </v>
      </c>
      <c r="J659" s="344"/>
      <c r="K659" s="367"/>
      <c r="L659" s="367"/>
      <c r="M659" s="368"/>
      <c r="N659" s="369"/>
      <c r="O659" s="370"/>
      <c r="P659" s="370"/>
      <c r="Q659" s="369"/>
      <c r="R659" s="369"/>
      <c r="S659" s="369"/>
      <c r="T659" s="371"/>
      <c r="U659" s="369"/>
      <c r="V659" s="369"/>
      <c r="W659" s="369"/>
      <c r="X659" s="372"/>
      <c r="Y659" s="367"/>
      <c r="Z659" s="369"/>
      <c r="AA659" s="372"/>
      <c r="AB659" s="372"/>
      <c r="AC659" s="371"/>
      <c r="AD659" s="371"/>
      <c r="AE659" s="367"/>
      <c r="AF659" s="372"/>
      <c r="AG659" s="367"/>
      <c r="AH659" s="367"/>
      <c r="AI659" s="367"/>
      <c r="AJ659" s="367"/>
      <c r="AK659" s="373"/>
      <c r="AL659" s="373"/>
      <c r="AM659" s="373"/>
      <c r="AN659" s="373"/>
      <c r="AO659" s="314" t="str">
        <f t="shared" si="1375"/>
        <v> </v>
      </c>
      <c r="AP659" s="374">
        <f t="shared" si="1376"/>
        <v>0</v>
      </c>
      <c r="AQ659" s="316" t="str">
        <f t="shared" si="1377"/>
        <v> </v>
      </c>
    </row>
    <row r="660" ht="29.25" customHeight="1" outlineLevel="1" spans="1:43">
      <c r="B660" s="317">
        <v>0.854178240740741</v>
      </c>
      <c r="C660" s="293" t="str">
        <f t="shared" ref="C660:G660" si="1384">TEXT(IF($B660=0," ",$B660-C$6),"hh:mm am/pm")</f>
        <v>18:30 001/p1</v>
      </c>
      <c r="D660" s="293" t="str">
        <f t="shared" si="1384"/>
        <v>16:30 001/p1</v>
      </c>
      <c r="E660" s="293" t="str">
        <f t="shared" si="1384"/>
        <v>17:30 001/p1</v>
      </c>
      <c r="F660" s="293" t="str">
        <f t="shared" si="1384"/>
        <v>18:30 001/p1</v>
      </c>
      <c r="G660" s="293" t="str">
        <f t="shared" si="1384"/>
        <v>19:30 001/p1</v>
      </c>
      <c r="H660" s="293" t="str">
        <f t="shared" ref="H660:I660" si="1385">TEXT(IF($B660=0," ",$B660+H$6),"hh:mm am/pm")</f>
        <v>02:30 001/p1</v>
      </c>
      <c r="I660" s="293" t="str">
        <f t="shared" si="1385"/>
        <v>07:30 001/p1</v>
      </c>
      <c r="J660" s="384" t="str">
        <f>L626</f>
        <v>#AS Bounty Night</v>
      </c>
      <c r="K660" s="385"/>
      <c r="L660" s="386" t="s">
        <v>206</v>
      </c>
      <c r="M660" s="408" t="s">
        <v>196</v>
      </c>
      <c r="N660" s="409" t="s">
        <v>57</v>
      </c>
      <c r="O660" s="410" t="s">
        <v>74</v>
      </c>
      <c r="P660" s="411" t="s">
        <v>59</v>
      </c>
      <c r="Q660" s="412">
        <f>11*5</f>
        <v>55</v>
      </c>
      <c r="R660" s="414" t="s">
        <v>60</v>
      </c>
      <c r="S660" s="413"/>
      <c r="T660" s="414">
        <v>0.1</v>
      </c>
      <c r="U660" s="409" t="s">
        <v>62</v>
      </c>
      <c r="V660" s="409">
        <v>0.6</v>
      </c>
      <c r="W660" s="409">
        <v>0.6</v>
      </c>
      <c r="X660" s="415"/>
      <c r="Y660" s="416" t="s">
        <v>79</v>
      </c>
      <c r="Z660" s="409">
        <v>0.6</v>
      </c>
      <c r="AA660" s="417">
        <v>20000</v>
      </c>
      <c r="AB660" s="417" t="s">
        <v>65</v>
      </c>
      <c r="AC660" s="414">
        <v>0.05</v>
      </c>
      <c r="AD660" s="414">
        <v>0</v>
      </c>
      <c r="AE660" s="418" t="s">
        <v>88</v>
      </c>
      <c r="AF660" s="419">
        <v>10000</v>
      </c>
      <c r="AG660" s="420">
        <v>5</v>
      </c>
      <c r="AH660" s="420">
        <v>5</v>
      </c>
      <c r="AI660" s="420">
        <v>4</v>
      </c>
      <c r="AJ660" s="418">
        <v>9</v>
      </c>
      <c r="AK660" s="428" t="s">
        <v>67</v>
      </c>
      <c r="AL660" s="428" t="s">
        <v>68</v>
      </c>
      <c r="AM660" s="422" t="s">
        <v>197</v>
      </c>
      <c r="AN660" s="403" t="s">
        <v>198</v>
      </c>
      <c r="AO660" s="314">
        <f t="shared" si="1375"/>
        <v>0.885428240740741</v>
      </c>
      <c r="AP660" s="315">
        <f t="shared" si="1376"/>
        <v>97</v>
      </c>
      <c r="AQ660" s="316" t="str">
        <f t="shared" si="1377"/>
        <v>MICRO</v>
      </c>
    </row>
    <row r="661" ht="29.25" customHeight="1" outlineLevel="1" spans="1:43">
      <c r="A661" s="363" t="s">
        <v>385</v>
      </c>
      <c r="B661" s="365"/>
      <c r="C661" s="293" t="str">
        <f t="shared" ref="C661:G661" si="1386">TEXT(IF($B661=0," ",$B661-C$6),"hh:mm am/pm")</f>
        <v> </v>
      </c>
      <c r="D661" s="293" t="str">
        <f t="shared" si="1386"/>
        <v> </v>
      </c>
      <c r="E661" s="293" t="str">
        <f t="shared" si="1386"/>
        <v> </v>
      </c>
      <c r="F661" s="293" t="str">
        <f t="shared" si="1386"/>
        <v> </v>
      </c>
      <c r="G661" s="293" t="str">
        <f t="shared" si="1386"/>
        <v> </v>
      </c>
      <c r="H661" s="293" t="str">
        <f t="shared" ref="H661:I661" si="1387">TEXT(IF($B661=0," ",$B661+H$6),"hh:mm am/pm")</f>
        <v> </v>
      </c>
      <c r="I661" s="293" t="str">
        <f t="shared" si="1387"/>
        <v> </v>
      </c>
      <c r="J661" s="344"/>
      <c r="K661" s="367"/>
      <c r="L661" s="367"/>
      <c r="M661" s="368"/>
      <c r="N661" s="369"/>
      <c r="O661" s="370"/>
      <c r="P661" s="370"/>
      <c r="Q661" s="369"/>
      <c r="R661" s="369"/>
      <c r="S661" s="369"/>
      <c r="T661" s="371"/>
      <c r="U661" s="369"/>
      <c r="V661" s="369"/>
      <c r="W661" s="369"/>
      <c r="X661" s="372"/>
      <c r="Y661" s="367"/>
      <c r="Z661" s="369"/>
      <c r="AA661" s="372"/>
      <c r="AB661" s="372"/>
      <c r="AC661" s="371"/>
      <c r="AD661" s="371"/>
      <c r="AE661" s="373"/>
      <c r="AF661" s="372"/>
      <c r="AG661" s="372"/>
      <c r="AH661" s="372"/>
      <c r="AI661" s="372"/>
      <c r="AJ661" s="404"/>
      <c r="AK661" s="373"/>
      <c r="AL661" s="373"/>
      <c r="AM661" s="373"/>
      <c r="AN661" s="373"/>
      <c r="AO661" s="314" t="str">
        <f t="shared" si="1375"/>
        <v> </v>
      </c>
      <c r="AP661" s="374">
        <f t="shared" si="1376"/>
        <v>0</v>
      </c>
      <c r="AQ661" s="316" t="str">
        <f t="shared" si="1377"/>
        <v> </v>
      </c>
    </row>
    <row r="662" ht="29.25" customHeight="1" outlineLevel="1" spans="1:43">
      <c r="B662" s="317">
        <v>0.875011574074074</v>
      </c>
      <c r="C662" s="293" t="str">
        <f t="shared" ref="C662:G662" si="1388">TEXT(IF($B662=0," ",$B662-C$6),"hh:mm am/pm")</f>
        <v>19:00 001/p1</v>
      </c>
      <c r="D662" s="293" t="str">
        <f t="shared" si="1388"/>
        <v>17:00 001/p1</v>
      </c>
      <c r="E662" s="293" t="str">
        <f t="shared" si="1388"/>
        <v>18:00 001/p1</v>
      </c>
      <c r="F662" s="293" t="str">
        <f t="shared" si="1388"/>
        <v>19:00 001/p1</v>
      </c>
      <c r="G662" s="293" t="str">
        <f t="shared" si="1388"/>
        <v>20:00 001/p1</v>
      </c>
      <c r="H662" s="293" t="str">
        <f t="shared" ref="H662:I662" si="1389">TEXT(IF($B662=0," ",$B662+H$6),"hh:mm am/pm")</f>
        <v>03:00 001/p1</v>
      </c>
      <c r="I662" s="293" t="str">
        <f t="shared" si="1389"/>
        <v>08:00 001/p1</v>
      </c>
      <c r="J662" s="405" t="str">
        <f>L627</f>
        <v>#AS Sonic</v>
      </c>
      <c r="K662" s="406"/>
      <c r="L662" s="407" t="s">
        <v>290</v>
      </c>
      <c r="M662" s="408" t="s">
        <v>196</v>
      </c>
      <c r="N662" s="409" t="s">
        <v>57</v>
      </c>
      <c r="O662" s="410" t="s">
        <v>74</v>
      </c>
      <c r="P662" s="411" t="s">
        <v>59</v>
      </c>
      <c r="Q662" s="412">
        <f>30*2</f>
        <v>60</v>
      </c>
      <c r="R662" s="414" t="s">
        <v>60</v>
      </c>
      <c r="S662" s="413"/>
      <c r="T662" s="414">
        <v>0.1</v>
      </c>
      <c r="U662" s="409" t="s">
        <v>62</v>
      </c>
      <c r="V662" s="409">
        <v>1.6</v>
      </c>
      <c r="W662" s="409">
        <v>1.6</v>
      </c>
      <c r="X662" s="415"/>
      <c r="Y662" s="416" t="s">
        <v>79</v>
      </c>
      <c r="Z662" s="409">
        <v>1.6</v>
      </c>
      <c r="AA662" s="417">
        <v>20000</v>
      </c>
      <c r="AB662" s="417" t="s">
        <v>65</v>
      </c>
      <c r="AC662" s="414">
        <v>0.05</v>
      </c>
      <c r="AD662" s="414">
        <v>0</v>
      </c>
      <c r="AE662" s="418" t="s">
        <v>88</v>
      </c>
      <c r="AF662" s="419">
        <v>10000</v>
      </c>
      <c r="AG662" s="420">
        <v>5</v>
      </c>
      <c r="AH662" s="420">
        <v>5</v>
      </c>
      <c r="AI662" s="420">
        <v>4</v>
      </c>
      <c r="AJ662" s="418">
        <v>9</v>
      </c>
      <c r="AK662" s="428" t="s">
        <v>67</v>
      </c>
      <c r="AL662" s="428" t="s">
        <v>68</v>
      </c>
      <c r="AM662" s="422" t="s">
        <v>197</v>
      </c>
      <c r="AN662" s="403" t="s">
        <v>198</v>
      </c>
      <c r="AO662" s="314">
        <f t="shared" si="1375"/>
        <v>0.906261574074074</v>
      </c>
      <c r="AP662" s="315">
        <f t="shared" si="1376"/>
        <v>40</v>
      </c>
      <c r="AQ662" s="316" t="str">
        <f t="shared" si="1377"/>
        <v>MICRO</v>
      </c>
    </row>
    <row r="663" ht="29.25" customHeight="1" outlineLevel="1" spans="1:43">
      <c r="B663" s="383"/>
      <c r="C663" s="434"/>
      <c r="D663" s="434"/>
      <c r="E663" s="434"/>
      <c r="F663" s="434"/>
      <c r="G663" s="434"/>
      <c r="H663" s="434"/>
      <c r="I663" s="434"/>
      <c r="J663" s="344"/>
      <c r="K663" s="367"/>
      <c r="L663" s="367"/>
      <c r="M663" s="435"/>
      <c r="N663" s="436"/>
      <c r="O663" s="437"/>
      <c r="P663" s="437"/>
      <c r="Q663" s="436"/>
      <c r="R663" s="436"/>
      <c r="S663" s="436"/>
      <c r="T663" s="438"/>
      <c r="U663" s="436"/>
      <c r="V663" s="436"/>
      <c r="W663" s="436"/>
      <c r="X663" s="436"/>
      <c r="Y663" s="366"/>
      <c r="Z663" s="439"/>
      <c r="AA663" s="439"/>
      <c r="AB663" s="439"/>
      <c r="AC663" s="438"/>
      <c r="AD663" s="438"/>
      <c r="AE663" s="366"/>
      <c r="AF663" s="439"/>
      <c r="AG663" s="366"/>
      <c r="AH663" s="366"/>
      <c r="AI663" s="366"/>
      <c r="AJ663" s="366"/>
      <c r="AK663" s="440"/>
      <c r="AL663" s="440"/>
      <c r="AM663" s="440"/>
      <c r="AN663" s="440"/>
      <c r="AO663" s="383"/>
      <c r="AP663" s="374"/>
      <c r="AQ663" s="383"/>
    </row>
    <row r="664" ht="29.25" customHeight="1" outlineLevel="1" spans="1:43">
      <c r="B664" s="292">
        <v>0.833344907407407</v>
      </c>
      <c r="C664" s="293" t="str">
        <f t="shared" ref="C664:G664" si="1390">TEXT(IF($B664=0," ",$B664-C$6),"hh:mm am/pm")</f>
        <v>18:00 001/p1</v>
      </c>
      <c r="D664" s="293" t="str">
        <f t="shared" si="1390"/>
        <v>16:00 001/p1</v>
      </c>
      <c r="E664" s="293" t="str">
        <f t="shared" si="1390"/>
        <v>17:00 001/p1</v>
      </c>
      <c r="F664" s="293" t="str">
        <f t="shared" si="1390"/>
        <v>18:00 001/p1</v>
      </c>
      <c r="G664" s="293" t="str">
        <f t="shared" si="1390"/>
        <v>19:00 001/p1</v>
      </c>
      <c r="H664" s="293" t="str">
        <f t="shared" ref="H664:I664" si="1391">TEXT(IF($B664=0," ",$B664+H$6),"hh:mm am/pm")</f>
        <v>02:00 001/p1</v>
      </c>
      <c r="I664" s="293" t="str">
        <f t="shared" si="1391"/>
        <v>07:00 001/p1</v>
      </c>
      <c r="J664" s="405" t="s">
        <v>217</v>
      </c>
      <c r="K664" s="406"/>
      <c r="L664" s="407" t="s">
        <v>218</v>
      </c>
      <c r="M664" s="441" t="s">
        <v>196</v>
      </c>
      <c r="N664" s="388" t="s">
        <v>57</v>
      </c>
      <c r="O664" s="389" t="s">
        <v>74</v>
      </c>
      <c r="P664" s="390" t="s">
        <v>59</v>
      </c>
      <c r="Q664" s="391">
        <f>200*2</f>
        <v>400</v>
      </c>
      <c r="R664" s="394" t="s">
        <v>60</v>
      </c>
      <c r="S664" s="456"/>
      <c r="T664" s="394">
        <v>0.1</v>
      </c>
      <c r="U664" s="388" t="s">
        <v>62</v>
      </c>
      <c r="V664" s="442">
        <v>3</v>
      </c>
      <c r="W664" s="388">
        <v>3</v>
      </c>
      <c r="X664" s="399">
        <v>60000</v>
      </c>
      <c r="Y664" s="396" t="s">
        <v>79</v>
      </c>
      <c r="Z664" s="388">
        <v>5</v>
      </c>
      <c r="AA664" s="397">
        <v>160000</v>
      </c>
      <c r="AB664" s="397" t="s">
        <v>65</v>
      </c>
      <c r="AC664" s="394">
        <v>0.05</v>
      </c>
      <c r="AD664" s="394">
        <v>0</v>
      </c>
      <c r="AE664" s="392" t="s">
        <v>66</v>
      </c>
      <c r="AF664" s="399">
        <v>40000</v>
      </c>
      <c r="AG664" s="400">
        <v>8</v>
      </c>
      <c r="AH664" s="400">
        <v>6</v>
      </c>
      <c r="AI664" s="400">
        <v>5</v>
      </c>
      <c r="AJ664" s="392">
        <v>15</v>
      </c>
      <c r="AK664" s="457" t="s">
        <v>67</v>
      </c>
      <c r="AL664" s="402" t="s">
        <v>68</v>
      </c>
      <c r="AM664" s="403" t="s">
        <v>197</v>
      </c>
      <c r="AN664" s="403" t="s">
        <v>198</v>
      </c>
      <c r="AO664" s="314">
        <f>IF(B664=0," ",TIME(,ROUNDDOWN(AG664*AJ664/60,0)*5+(AG664*AJ664),)+B664)</f>
        <v>0.923622685185185</v>
      </c>
      <c r="AP664" s="315">
        <f>IF(Q664=0,,ROUNDUP(Q664/(V664*(1-AC664-AD664)),0))</f>
        <v>141</v>
      </c>
      <c r="AQ664" s="316" t="str">
        <f>IFERROR(IF(V664=0," ",IF(V664&lt;=5,"MICRO",IF(V664&lt;=19.8,"LOW",IF(V664&lt;=99.8,"MEDIUM",IF(V664&lt;=500,"HIGH",IF(V664&gt;500,"SUPER HIGH",)))))),"")</f>
        <v>MICRO</v>
      </c>
    </row>
    <row r="665" ht="29.25" customHeight="1" outlineLevel="1" spans="1:43">
      <c r="B665" s="383"/>
      <c r="C665" s="434"/>
      <c r="D665" s="434"/>
      <c r="E665" s="434"/>
      <c r="F665" s="434"/>
      <c r="G665" s="434"/>
      <c r="H665" s="434"/>
      <c r="I665" s="434"/>
      <c r="J665" s="344"/>
      <c r="K665" s="367"/>
      <c r="L665" s="367"/>
      <c r="M665" s="435"/>
      <c r="N665" s="436"/>
      <c r="O665" s="437"/>
      <c r="P665" s="437"/>
      <c r="Q665" s="436"/>
      <c r="R665" s="436"/>
      <c r="S665" s="436"/>
      <c r="T665" s="438"/>
      <c r="U665" s="436"/>
      <c r="V665" s="436"/>
      <c r="W665" s="436"/>
      <c r="X665" s="436"/>
      <c r="Y665" s="366"/>
      <c r="Z665" s="439"/>
      <c r="AA665" s="439"/>
      <c r="AB665" s="439"/>
      <c r="AC665" s="438"/>
      <c r="AD665" s="438"/>
      <c r="AE665" s="366"/>
      <c r="AF665" s="439"/>
      <c r="AG665" s="366"/>
      <c r="AH665" s="366"/>
      <c r="AI665" s="366"/>
      <c r="AJ665" s="366"/>
      <c r="AK665" s="440"/>
      <c r="AL665" s="440"/>
      <c r="AM665" s="440"/>
      <c r="AN665" s="440"/>
      <c r="AO665" s="383"/>
      <c r="AP665" s="374"/>
      <c r="AQ665" s="383"/>
    </row>
    <row r="666" ht="29.25" customHeight="1" outlineLevel="1" spans="1:43">
      <c r="A666" s="363" t="s">
        <v>385</v>
      </c>
      <c r="B666" s="292">
        <v>0.375011574074074</v>
      </c>
      <c r="C666" s="293" t="str">
        <f t="shared" ref="C666:G666" si="1392">TEXT(IF($B666=0," ",$B666-C$6),"hh:mm am/pm")</f>
        <v>07:00 001/p1</v>
      </c>
      <c r="D666" s="293" t="str">
        <f t="shared" si="1392"/>
        <v>05:00 001/p1</v>
      </c>
      <c r="E666" s="293" t="str">
        <f t="shared" si="1392"/>
        <v>06:00 001/p1</v>
      </c>
      <c r="F666" s="293" t="str">
        <f t="shared" si="1392"/>
        <v>07:00 001/p1</v>
      </c>
      <c r="G666" s="293" t="str">
        <f t="shared" si="1392"/>
        <v>08:00 001/p1</v>
      </c>
      <c r="H666" s="293" t="str">
        <f t="shared" ref="H666:I666" si="1393">TEXT(IF($B666=0," ",$B666+H$6),"hh:mm am/pm")</f>
        <v>15:00 001/p1</v>
      </c>
      <c r="I666" s="293" t="str">
        <f t="shared" si="1393"/>
        <v>20:00 001/p1</v>
      </c>
      <c r="J666" s="423" t="s">
        <v>219</v>
      </c>
      <c r="K666" s="424"/>
      <c r="L666" s="425" t="s">
        <v>220</v>
      </c>
      <c r="M666" s="387" t="s">
        <v>196</v>
      </c>
      <c r="N666" s="442" t="s">
        <v>57</v>
      </c>
      <c r="O666" s="443" t="s">
        <v>74</v>
      </c>
      <c r="P666" s="444" t="s">
        <v>59</v>
      </c>
      <c r="Q666" s="445">
        <f>40*2</f>
        <v>80</v>
      </c>
      <c r="R666" s="446" t="s">
        <v>60</v>
      </c>
      <c r="S666" s="447"/>
      <c r="T666" s="446">
        <v>0.1</v>
      </c>
      <c r="U666" s="442" t="s">
        <v>62</v>
      </c>
      <c r="V666" s="442">
        <v>0.6</v>
      </c>
      <c r="W666" s="442">
        <v>1</v>
      </c>
      <c r="X666" s="499"/>
      <c r="Y666" s="449" t="s">
        <v>79</v>
      </c>
      <c r="Z666" s="442">
        <v>2</v>
      </c>
      <c r="AA666" s="450">
        <v>50000</v>
      </c>
      <c r="AB666" s="450" t="s">
        <v>65</v>
      </c>
      <c r="AC666" s="446">
        <v>0.05</v>
      </c>
      <c r="AD666" s="446">
        <v>0</v>
      </c>
      <c r="AE666" s="451" t="s">
        <v>66</v>
      </c>
      <c r="AF666" s="448">
        <v>30000</v>
      </c>
      <c r="AG666" s="452">
        <v>7</v>
      </c>
      <c r="AH666" s="452">
        <v>6</v>
      </c>
      <c r="AI666" s="452">
        <v>5</v>
      </c>
      <c r="AJ666" s="451">
        <v>13</v>
      </c>
      <c r="AK666" s="453" t="s">
        <v>67</v>
      </c>
      <c r="AL666" s="454" t="s">
        <v>68</v>
      </c>
      <c r="AM666" s="455" t="s">
        <v>197</v>
      </c>
      <c r="AN666" s="455" t="s">
        <v>170</v>
      </c>
      <c r="AO666" s="314">
        <f t="shared" ref="AO666:AO677" si="1394">IF(B666=0," ",TIME(,ROUNDDOWN(AG666*AJ666/60,0)*5+(AG666*AJ666),)+B666)</f>
        <v>0.441678240740741</v>
      </c>
      <c r="AP666" s="315">
        <f t="shared" ref="AP666:AP677" si="1395">IF(Q666=0,,ROUNDUP(Q666/(V666*(1-AC666-AD666)),0))</f>
        <v>141</v>
      </c>
      <c r="AQ666" s="316" t="str">
        <f t="shared" ref="AQ666:AQ677" si="1396">IFERROR(IF(V666=0," ",IF(V666&lt;=5,"MICRO",IF(V666&lt;=19.8,"LOW",IF(V666&lt;=99.8,"MEDIUM",IF(V666&lt;=500,"HIGH",IF(V666&gt;500,"SUPER HIGH",)))))),"")</f>
        <v>MICRO</v>
      </c>
    </row>
    <row r="667" ht="29.25" customHeight="1" outlineLevel="1" spans="1:43">
      <c r="B667" s="292">
        <v>0.458344907407407</v>
      </c>
      <c r="C667" s="293" t="str">
        <f t="shared" ref="C667:G667" si="1397">TEXT(IF($B667=0," ",$B667-C$6),"hh:mm am/pm")</f>
        <v>09:00 001/p1</v>
      </c>
      <c r="D667" s="293" t="str">
        <f t="shared" si="1397"/>
        <v>07:00 001/p1</v>
      </c>
      <c r="E667" s="293" t="str">
        <f t="shared" si="1397"/>
        <v>08:00 001/p1</v>
      </c>
      <c r="F667" s="293" t="str">
        <f t="shared" si="1397"/>
        <v>09:00 001/p1</v>
      </c>
      <c r="G667" s="293" t="str">
        <f t="shared" si="1397"/>
        <v>10:00 001/p1</v>
      </c>
      <c r="H667" s="293" t="str">
        <f t="shared" ref="H667:I667" si="1398">TEXT(IF($B667=0," ",$B667+H$6),"hh:mm am/pm")</f>
        <v>17:00 001/p1</v>
      </c>
      <c r="I667" s="293" t="str">
        <f t="shared" si="1398"/>
        <v>22:00 001/p1</v>
      </c>
      <c r="J667" s="29"/>
      <c r="K667" s="431"/>
      <c r="L667" s="432" t="s">
        <v>221</v>
      </c>
      <c r="M667" s="387" t="s">
        <v>196</v>
      </c>
      <c r="N667" s="442" t="s">
        <v>57</v>
      </c>
      <c r="O667" s="443" t="s">
        <v>74</v>
      </c>
      <c r="P667" s="444" t="s">
        <v>59</v>
      </c>
      <c r="Q667" s="445">
        <f>40*3</f>
        <v>120</v>
      </c>
      <c r="R667" s="446" t="s">
        <v>60</v>
      </c>
      <c r="S667" s="447"/>
      <c r="T667" s="446">
        <v>0.1</v>
      </c>
      <c r="U667" s="442" t="s">
        <v>62</v>
      </c>
      <c r="V667" s="442">
        <v>1</v>
      </c>
      <c r="W667" s="442">
        <v>1</v>
      </c>
      <c r="X667" s="499"/>
      <c r="Y667" s="449" t="s">
        <v>79</v>
      </c>
      <c r="Z667" s="442">
        <v>3</v>
      </c>
      <c r="AA667" s="450">
        <v>50000</v>
      </c>
      <c r="AB667" s="450" t="s">
        <v>65</v>
      </c>
      <c r="AC667" s="446">
        <v>0.05</v>
      </c>
      <c r="AD667" s="446">
        <v>0</v>
      </c>
      <c r="AE667" s="451" t="s">
        <v>66</v>
      </c>
      <c r="AF667" s="448">
        <v>30000</v>
      </c>
      <c r="AG667" s="452">
        <v>7</v>
      </c>
      <c r="AH667" s="452">
        <v>6</v>
      </c>
      <c r="AI667" s="452">
        <v>5</v>
      </c>
      <c r="AJ667" s="451">
        <v>13</v>
      </c>
      <c r="AK667" s="453" t="s">
        <v>67</v>
      </c>
      <c r="AL667" s="454" t="s">
        <v>68</v>
      </c>
      <c r="AM667" s="455" t="s">
        <v>197</v>
      </c>
      <c r="AN667" s="455" t="s">
        <v>170</v>
      </c>
      <c r="AO667" s="314">
        <f t="shared" si="1394"/>
        <v>0.525011574074074</v>
      </c>
      <c r="AP667" s="315">
        <f t="shared" si="1395"/>
        <v>127</v>
      </c>
      <c r="AQ667" s="316" t="str">
        <f t="shared" si="1396"/>
        <v>MICRO</v>
      </c>
    </row>
    <row r="668" ht="29.25" customHeight="1" outlineLevel="1" spans="1:43">
      <c r="B668" s="317">
        <v>0.541678240740741</v>
      </c>
      <c r="C668" s="293" t="str">
        <f t="shared" ref="C668:G668" si="1399">TEXT(IF($B668=0," ",$B668-C$6),"hh:mm am/pm")</f>
        <v>11:00 001/p1</v>
      </c>
      <c r="D668" s="293" t="str">
        <f t="shared" si="1399"/>
        <v>09:00 001/p1</v>
      </c>
      <c r="E668" s="293" t="str">
        <f t="shared" si="1399"/>
        <v>10:00 001/p1</v>
      </c>
      <c r="F668" s="293" t="str">
        <f t="shared" si="1399"/>
        <v>11:00 001/p1</v>
      </c>
      <c r="G668" s="293" t="str">
        <f t="shared" si="1399"/>
        <v>12:00 001/p1</v>
      </c>
      <c r="H668" s="293" t="str">
        <f t="shared" ref="H668:I668" si="1400">TEXT(IF($B668=0," ",$B668+H$6),"hh:mm am/pm")</f>
        <v>19:00 001/p1</v>
      </c>
      <c r="I668" s="293" t="str">
        <f t="shared" si="1400"/>
        <v>00:00 001/p1</v>
      </c>
      <c r="J668" s="29"/>
      <c r="K668" s="431"/>
      <c r="L668" s="432" t="s">
        <v>222</v>
      </c>
      <c r="M668" s="387" t="s">
        <v>196</v>
      </c>
      <c r="N668" s="442" t="s">
        <v>57</v>
      </c>
      <c r="O668" s="443" t="s">
        <v>74</v>
      </c>
      <c r="P668" s="444" t="s">
        <v>59</v>
      </c>
      <c r="Q668" s="445">
        <f>40*4</f>
        <v>160</v>
      </c>
      <c r="R668" s="414" t="s">
        <v>60</v>
      </c>
      <c r="S668" s="413"/>
      <c r="T668" s="414">
        <v>0.1</v>
      </c>
      <c r="U668" s="409" t="s">
        <v>62</v>
      </c>
      <c r="V668" s="442">
        <v>2</v>
      </c>
      <c r="W668" s="442">
        <v>2</v>
      </c>
      <c r="X668" s="415"/>
      <c r="Y668" s="416" t="s">
        <v>79</v>
      </c>
      <c r="Z668" s="409">
        <v>3</v>
      </c>
      <c r="AA668" s="417">
        <v>50000</v>
      </c>
      <c r="AB668" s="417" t="s">
        <v>65</v>
      </c>
      <c r="AC668" s="414">
        <v>0.05</v>
      </c>
      <c r="AD668" s="414">
        <v>0</v>
      </c>
      <c r="AE668" s="418" t="s">
        <v>66</v>
      </c>
      <c r="AF668" s="419">
        <v>30000</v>
      </c>
      <c r="AG668" s="420">
        <v>7</v>
      </c>
      <c r="AH668" s="452">
        <v>6</v>
      </c>
      <c r="AI668" s="452">
        <v>5</v>
      </c>
      <c r="AJ668" s="418">
        <v>13</v>
      </c>
      <c r="AK668" s="421" t="s">
        <v>67</v>
      </c>
      <c r="AL668" s="428" t="s">
        <v>68</v>
      </c>
      <c r="AM668" s="422" t="s">
        <v>197</v>
      </c>
      <c r="AN668" s="422" t="s">
        <v>170</v>
      </c>
      <c r="AO668" s="314">
        <f t="shared" si="1394"/>
        <v>0.608344907407407</v>
      </c>
      <c r="AP668" s="315">
        <f t="shared" si="1395"/>
        <v>85</v>
      </c>
      <c r="AQ668" s="316" t="str">
        <f t="shared" si="1396"/>
        <v>MICRO</v>
      </c>
    </row>
    <row r="669" ht="29.25" customHeight="1" outlineLevel="1" spans="1:43">
      <c r="A669" s="363"/>
      <c r="B669" s="317">
        <v>0.625011574074074</v>
      </c>
      <c r="C669" s="293" t="str">
        <f t="shared" ref="C669:G669" si="1401">TEXT(IF($B669=0," ",$B669-C$6),"hh:mm am/pm")</f>
        <v>13:00 001/p1</v>
      </c>
      <c r="D669" s="293" t="str">
        <f t="shared" si="1401"/>
        <v>11:00 001/p1</v>
      </c>
      <c r="E669" s="293" t="str">
        <f t="shared" si="1401"/>
        <v>12:00 001/p1</v>
      </c>
      <c r="F669" s="293" t="str">
        <f t="shared" si="1401"/>
        <v>13:00 001/p1</v>
      </c>
      <c r="G669" s="293" t="str">
        <f t="shared" si="1401"/>
        <v>14:00 001/p1</v>
      </c>
      <c r="H669" s="293" t="str">
        <f t="shared" ref="H669:I669" si="1402">TEXT(IF($B669=0," ",$B669+H$6),"hh:mm am/pm")</f>
        <v>21:00 001/p1</v>
      </c>
      <c r="I669" s="293" t="str">
        <f t="shared" si="1402"/>
        <v>02:00 001/p1</v>
      </c>
      <c r="J669" s="29"/>
      <c r="K669" s="431"/>
      <c r="L669" s="432" t="s">
        <v>223</v>
      </c>
      <c r="M669" s="387" t="s">
        <v>196</v>
      </c>
      <c r="N669" s="442" t="s">
        <v>57</v>
      </c>
      <c r="O669" s="443" t="s">
        <v>74</v>
      </c>
      <c r="P669" s="444" t="s">
        <v>59</v>
      </c>
      <c r="Q669" s="445">
        <f t="shared" ref="Q669:Q671" si="1403">40*5</f>
        <v>200</v>
      </c>
      <c r="R669" s="414" t="s">
        <v>60</v>
      </c>
      <c r="S669" s="413"/>
      <c r="T669" s="414">
        <v>0.1</v>
      </c>
      <c r="U669" s="409" t="s">
        <v>62</v>
      </c>
      <c r="V669" s="442">
        <v>2</v>
      </c>
      <c r="W669" s="442">
        <v>2</v>
      </c>
      <c r="X669" s="415"/>
      <c r="Y669" s="416" t="s">
        <v>79</v>
      </c>
      <c r="Z669" s="409">
        <v>3</v>
      </c>
      <c r="AA669" s="417">
        <v>50000</v>
      </c>
      <c r="AB669" s="417" t="s">
        <v>65</v>
      </c>
      <c r="AC669" s="414">
        <v>0.05</v>
      </c>
      <c r="AD669" s="414">
        <v>0</v>
      </c>
      <c r="AE669" s="418" t="s">
        <v>66</v>
      </c>
      <c r="AF669" s="419">
        <v>30000</v>
      </c>
      <c r="AG669" s="420">
        <v>7</v>
      </c>
      <c r="AH669" s="452">
        <v>6</v>
      </c>
      <c r="AI669" s="452">
        <v>5</v>
      </c>
      <c r="AJ669" s="418">
        <v>13</v>
      </c>
      <c r="AK669" s="421" t="s">
        <v>67</v>
      </c>
      <c r="AL669" s="428" t="s">
        <v>68</v>
      </c>
      <c r="AM669" s="422" t="s">
        <v>197</v>
      </c>
      <c r="AN669" s="422" t="s">
        <v>170</v>
      </c>
      <c r="AO669" s="314">
        <f t="shared" si="1394"/>
        <v>0.691678240740741</v>
      </c>
      <c r="AP669" s="315">
        <f t="shared" si="1395"/>
        <v>106</v>
      </c>
      <c r="AQ669" s="316" t="str">
        <f t="shared" si="1396"/>
        <v>MICRO</v>
      </c>
    </row>
    <row r="670" ht="29.25" customHeight="1" outlineLevel="1" spans="1:43">
      <c r="A670" s="363" t="s">
        <v>385</v>
      </c>
      <c r="B670" s="317">
        <v>0.708344907407407</v>
      </c>
      <c r="C670" s="293" t="str">
        <f t="shared" ref="C670:G670" si="1404">TEXT(IF($B670=0," ",$B670-C$6),"hh:mm am/pm")</f>
        <v>15:00 001/p1</v>
      </c>
      <c r="D670" s="293" t="str">
        <f t="shared" si="1404"/>
        <v>13:00 001/p1</v>
      </c>
      <c r="E670" s="293" t="str">
        <f t="shared" si="1404"/>
        <v>14:00 001/p1</v>
      </c>
      <c r="F670" s="293" t="str">
        <f t="shared" si="1404"/>
        <v>15:00 001/p1</v>
      </c>
      <c r="G670" s="293" t="str">
        <f t="shared" si="1404"/>
        <v>16:00 001/p1</v>
      </c>
      <c r="H670" s="293" t="str">
        <f t="shared" ref="H670:I670" si="1405">TEXT(IF($B670=0," ",$B670+H$6),"hh:mm am/pm")</f>
        <v>23:00 001/p1</v>
      </c>
      <c r="I670" s="293" t="str">
        <f t="shared" si="1405"/>
        <v>04:00 001/p1</v>
      </c>
      <c r="J670" s="29"/>
      <c r="K670" s="431"/>
      <c r="L670" s="432" t="s">
        <v>223</v>
      </c>
      <c r="M670" s="387" t="s">
        <v>196</v>
      </c>
      <c r="N670" s="442" t="s">
        <v>57</v>
      </c>
      <c r="O670" s="443" t="s">
        <v>74</v>
      </c>
      <c r="P670" s="444" t="s">
        <v>59</v>
      </c>
      <c r="Q670" s="445">
        <f t="shared" si="1403"/>
        <v>200</v>
      </c>
      <c r="R670" s="414" t="s">
        <v>60</v>
      </c>
      <c r="S670" s="413"/>
      <c r="T670" s="414">
        <v>0.1</v>
      </c>
      <c r="U670" s="409" t="s">
        <v>62</v>
      </c>
      <c r="V670" s="442">
        <v>2</v>
      </c>
      <c r="W670" s="442">
        <v>2</v>
      </c>
      <c r="X670" s="415"/>
      <c r="Y670" s="416" t="s">
        <v>79</v>
      </c>
      <c r="Z670" s="409">
        <v>3</v>
      </c>
      <c r="AA670" s="417">
        <v>50000</v>
      </c>
      <c r="AB670" s="417" t="s">
        <v>65</v>
      </c>
      <c r="AC670" s="414">
        <v>0.05</v>
      </c>
      <c r="AD670" s="414">
        <v>0</v>
      </c>
      <c r="AE670" s="418" t="s">
        <v>66</v>
      </c>
      <c r="AF670" s="419">
        <v>30000</v>
      </c>
      <c r="AG670" s="420">
        <v>7</v>
      </c>
      <c r="AH670" s="452">
        <v>6</v>
      </c>
      <c r="AI670" s="452">
        <v>5</v>
      </c>
      <c r="AJ670" s="418">
        <v>13</v>
      </c>
      <c r="AK670" s="421" t="s">
        <v>67</v>
      </c>
      <c r="AL670" s="428" t="s">
        <v>68</v>
      </c>
      <c r="AM670" s="422" t="s">
        <v>197</v>
      </c>
      <c r="AN670" s="422" t="s">
        <v>170</v>
      </c>
      <c r="AO670" s="314">
        <f t="shared" si="1394"/>
        <v>0.775011574074074</v>
      </c>
      <c r="AP670" s="315">
        <f t="shared" si="1395"/>
        <v>106</v>
      </c>
      <c r="AQ670" s="316" t="str">
        <f t="shared" si="1396"/>
        <v>MICRO</v>
      </c>
    </row>
    <row r="671" ht="29.25" customHeight="1" outlineLevel="1" spans="1:43">
      <c r="B671" s="317">
        <v>0.791678240740741</v>
      </c>
      <c r="C671" s="293" t="str">
        <f t="shared" ref="C671:G671" si="1406">TEXT(IF($B671=0," ",$B671-C$6),"hh:mm am/pm")</f>
        <v>17:00 001/p1</v>
      </c>
      <c r="D671" s="293" t="str">
        <f t="shared" si="1406"/>
        <v>15:00 001/p1</v>
      </c>
      <c r="E671" s="293" t="str">
        <f t="shared" si="1406"/>
        <v>16:00 001/p1</v>
      </c>
      <c r="F671" s="293" t="str">
        <f t="shared" si="1406"/>
        <v>17:00 001/p1</v>
      </c>
      <c r="G671" s="293" t="str">
        <f t="shared" si="1406"/>
        <v>18:00 001/p1</v>
      </c>
      <c r="H671" s="293" t="str">
        <f t="shared" ref="H671:I671" si="1407">TEXT(IF($B671=0," ",$B671+H$6),"hh:mm am/pm")</f>
        <v>01:00 001/p1</v>
      </c>
      <c r="I671" s="293" t="str">
        <f t="shared" si="1407"/>
        <v>06:00 001/p1</v>
      </c>
      <c r="J671" s="29"/>
      <c r="K671" s="431"/>
      <c r="L671" s="432" t="s">
        <v>223</v>
      </c>
      <c r="M671" s="387" t="s">
        <v>196</v>
      </c>
      <c r="N671" s="442" t="s">
        <v>57</v>
      </c>
      <c r="O671" s="443" t="s">
        <v>74</v>
      </c>
      <c r="P671" s="444" t="s">
        <v>59</v>
      </c>
      <c r="Q671" s="445">
        <f t="shared" si="1403"/>
        <v>200</v>
      </c>
      <c r="R671" s="414" t="s">
        <v>60</v>
      </c>
      <c r="S671" s="413"/>
      <c r="T671" s="414">
        <v>0.1</v>
      </c>
      <c r="U671" s="409" t="s">
        <v>62</v>
      </c>
      <c r="V671" s="442">
        <v>2</v>
      </c>
      <c r="W671" s="442">
        <v>2</v>
      </c>
      <c r="X671" s="415"/>
      <c r="Y671" s="416" t="s">
        <v>79</v>
      </c>
      <c r="Z671" s="409">
        <v>3</v>
      </c>
      <c r="AA671" s="417">
        <v>50000</v>
      </c>
      <c r="AB671" s="417" t="s">
        <v>65</v>
      </c>
      <c r="AC671" s="414">
        <v>0.05</v>
      </c>
      <c r="AD671" s="414">
        <v>0</v>
      </c>
      <c r="AE671" s="418" t="s">
        <v>66</v>
      </c>
      <c r="AF671" s="419">
        <v>30000</v>
      </c>
      <c r="AG671" s="420">
        <v>7</v>
      </c>
      <c r="AH671" s="452">
        <v>6</v>
      </c>
      <c r="AI671" s="452">
        <v>5</v>
      </c>
      <c r="AJ671" s="418">
        <v>13</v>
      </c>
      <c r="AK671" s="421" t="s">
        <v>67</v>
      </c>
      <c r="AL671" s="428" t="s">
        <v>68</v>
      </c>
      <c r="AM671" s="422" t="s">
        <v>197</v>
      </c>
      <c r="AN671" s="422" t="s">
        <v>170</v>
      </c>
      <c r="AO671" s="314">
        <f t="shared" si="1394"/>
        <v>0.858344907407407</v>
      </c>
      <c r="AP671" s="315">
        <f t="shared" si="1395"/>
        <v>106</v>
      </c>
      <c r="AQ671" s="316" t="str">
        <f t="shared" si="1396"/>
        <v>MICRO</v>
      </c>
    </row>
    <row r="672" ht="29.25" customHeight="1" outlineLevel="1" spans="1:43">
      <c r="B672" s="317">
        <v>0.875011574074074</v>
      </c>
      <c r="C672" s="293" t="str">
        <f t="shared" ref="C672:G672" si="1408">TEXT(IF($B672=0," ",$B672-C$6),"hh:mm am/pm")</f>
        <v>19:00 001/p1</v>
      </c>
      <c r="D672" s="293" t="str">
        <f t="shared" si="1408"/>
        <v>17:00 001/p1</v>
      </c>
      <c r="E672" s="293" t="str">
        <f t="shared" si="1408"/>
        <v>18:00 001/p1</v>
      </c>
      <c r="F672" s="293" t="str">
        <f t="shared" si="1408"/>
        <v>19:00 001/p1</v>
      </c>
      <c r="G672" s="293" t="str">
        <f t="shared" si="1408"/>
        <v>20:00 001/p1</v>
      </c>
      <c r="H672" s="293" t="str">
        <f t="shared" ref="H672:I672" si="1409">TEXT(IF($B672=0," ",$B672+H$6),"hh:mm am/pm")</f>
        <v>03:00 001/p1</v>
      </c>
      <c r="I672" s="293" t="str">
        <f t="shared" si="1409"/>
        <v>08:00 001/p1</v>
      </c>
      <c r="J672" s="29"/>
      <c r="K672" s="431"/>
      <c r="L672" s="432" t="s">
        <v>351</v>
      </c>
      <c r="M672" s="387" t="s">
        <v>196</v>
      </c>
      <c r="N672" s="442" t="s">
        <v>57</v>
      </c>
      <c r="O672" s="443" t="s">
        <v>74</v>
      </c>
      <c r="P672" s="444" t="s">
        <v>59</v>
      </c>
      <c r="Q672" s="445">
        <f>40*10</f>
        <v>400</v>
      </c>
      <c r="R672" s="414" t="s">
        <v>60</v>
      </c>
      <c r="S672" s="413"/>
      <c r="T672" s="414">
        <v>0.1</v>
      </c>
      <c r="U672" s="409" t="s">
        <v>62</v>
      </c>
      <c r="V672" s="442">
        <v>0</v>
      </c>
      <c r="W672" s="442">
        <v>1</v>
      </c>
      <c r="X672" s="415"/>
      <c r="Y672" s="416" t="s">
        <v>79</v>
      </c>
      <c r="Z672" s="409">
        <v>3</v>
      </c>
      <c r="AA672" s="417">
        <v>50000</v>
      </c>
      <c r="AB672" s="417" t="s">
        <v>65</v>
      </c>
      <c r="AC672" s="414">
        <v>0.05</v>
      </c>
      <c r="AD672" s="414">
        <v>0</v>
      </c>
      <c r="AE672" s="418" t="s">
        <v>66</v>
      </c>
      <c r="AF672" s="419">
        <v>30000</v>
      </c>
      <c r="AG672" s="420">
        <v>7</v>
      </c>
      <c r="AH672" s="452">
        <v>6</v>
      </c>
      <c r="AI672" s="452">
        <v>5</v>
      </c>
      <c r="AJ672" s="418">
        <v>13</v>
      </c>
      <c r="AK672" s="421" t="s">
        <v>67</v>
      </c>
      <c r="AL672" s="428" t="s">
        <v>68</v>
      </c>
      <c r="AM672" s="422" t="s">
        <v>197</v>
      </c>
      <c r="AN672" s="422" t="s">
        <v>170</v>
      </c>
      <c r="AO672" s="314">
        <f t="shared" si="1394"/>
        <v>0.941678240740741</v>
      </c>
      <c r="AP672" s="315" t="e">
        <f t="shared" si="1395"/>
        <v>#DIV/0!</v>
      </c>
      <c r="AQ672" s="316" t="str">
        <f t="shared" si="1396"/>
        <v> </v>
      </c>
    </row>
    <row r="673" ht="29.25" customHeight="1" outlineLevel="1" spans="1:43">
      <c r="B673" s="317">
        <v>0.958344907407407</v>
      </c>
      <c r="C673" s="293" t="str">
        <f t="shared" ref="C673:G673" si="1410">TEXT(IF($B673=0," ",$B673-C$6),"hh:mm am/pm")</f>
        <v>21:00 001/p1</v>
      </c>
      <c r="D673" s="293" t="str">
        <f t="shared" si="1410"/>
        <v>19:00 001/p1</v>
      </c>
      <c r="E673" s="293" t="str">
        <f t="shared" si="1410"/>
        <v>20:00 001/p1</v>
      </c>
      <c r="F673" s="293" t="str">
        <f t="shared" si="1410"/>
        <v>21:00 001/p1</v>
      </c>
      <c r="G673" s="293" t="str">
        <f t="shared" si="1410"/>
        <v>22:00 001/p1</v>
      </c>
      <c r="H673" s="293" t="str">
        <f t="shared" ref="H673:I673" si="1411">TEXT(IF($B673=0," ",$B673+H$6),"hh:mm am/pm")</f>
        <v>05:00 001/p1</v>
      </c>
      <c r="I673" s="293" t="str">
        <f t="shared" si="1411"/>
        <v>10:00 001/p1</v>
      </c>
      <c r="J673" s="124"/>
      <c r="K673" s="406"/>
      <c r="L673" s="407" t="s">
        <v>220</v>
      </c>
      <c r="M673" s="387" t="s">
        <v>196</v>
      </c>
      <c r="N673" s="442" t="s">
        <v>57</v>
      </c>
      <c r="O673" s="443" t="s">
        <v>74</v>
      </c>
      <c r="P673" s="444" t="s">
        <v>59</v>
      </c>
      <c r="Q673" s="445">
        <f>40*2</f>
        <v>80</v>
      </c>
      <c r="R673" s="446" t="s">
        <v>60</v>
      </c>
      <c r="S673" s="447"/>
      <c r="T673" s="446">
        <v>0.1</v>
      </c>
      <c r="U673" s="442" t="s">
        <v>62</v>
      </c>
      <c r="V673" s="442">
        <v>0.6</v>
      </c>
      <c r="W673" s="442">
        <v>1</v>
      </c>
      <c r="X673" s="499"/>
      <c r="Y673" s="449" t="s">
        <v>79</v>
      </c>
      <c r="Z673" s="442">
        <v>2</v>
      </c>
      <c r="AA673" s="450">
        <v>50000</v>
      </c>
      <c r="AB673" s="450" t="s">
        <v>65</v>
      </c>
      <c r="AC673" s="446">
        <v>0.05</v>
      </c>
      <c r="AD673" s="446">
        <v>0</v>
      </c>
      <c r="AE673" s="451" t="s">
        <v>66</v>
      </c>
      <c r="AF673" s="448">
        <v>30000</v>
      </c>
      <c r="AG673" s="452">
        <v>6</v>
      </c>
      <c r="AH673" s="452">
        <v>5</v>
      </c>
      <c r="AI673" s="452">
        <v>5</v>
      </c>
      <c r="AJ673" s="451">
        <v>13</v>
      </c>
      <c r="AK673" s="453" t="s">
        <v>67</v>
      </c>
      <c r="AL673" s="454" t="s">
        <v>68</v>
      </c>
      <c r="AM673" s="455" t="s">
        <v>197</v>
      </c>
      <c r="AN673" s="455" t="s">
        <v>170</v>
      </c>
      <c r="AO673" s="314">
        <f t="shared" si="1394"/>
        <v>1.0159837962963</v>
      </c>
      <c r="AP673" s="315">
        <f t="shared" si="1395"/>
        <v>141</v>
      </c>
      <c r="AQ673" s="316" t="str">
        <f t="shared" si="1396"/>
        <v>MICRO</v>
      </c>
    </row>
    <row r="674" ht="29.25" customHeight="1" outlineLevel="1" spans="1:43">
      <c r="B674" s="365"/>
      <c r="C674" s="293" t="str">
        <f t="shared" ref="C674:G674" si="1412">TEXT(IF($B674=0," ",$B674-C$6),"hh:mm am/pm")</f>
        <v> </v>
      </c>
      <c r="D674" s="293" t="str">
        <f t="shared" si="1412"/>
        <v> </v>
      </c>
      <c r="E674" s="293" t="str">
        <f t="shared" si="1412"/>
        <v> </v>
      </c>
      <c r="F674" s="293" t="str">
        <f t="shared" si="1412"/>
        <v> </v>
      </c>
      <c r="G674" s="293" t="str">
        <f t="shared" si="1412"/>
        <v> </v>
      </c>
      <c r="H674" s="293" t="str">
        <f t="shared" ref="H674:I674" si="1413">TEXT(IF($B674=0," ",$B674+H$6),"hh:mm am/pm")</f>
        <v> </v>
      </c>
      <c r="I674" s="293" t="str">
        <f t="shared" si="1413"/>
        <v> </v>
      </c>
      <c r="J674" s="344"/>
      <c r="K674" s="367"/>
      <c r="L674" s="367"/>
      <c r="M674" s="368"/>
      <c r="N674" s="369"/>
      <c r="O674" s="370"/>
      <c r="P674" s="370"/>
      <c r="Q674" s="369"/>
      <c r="R674" s="369"/>
      <c r="S674" s="369"/>
      <c r="T674" s="371"/>
      <c r="U674" s="369"/>
      <c r="V674" s="369"/>
      <c r="W674" s="369"/>
      <c r="X674" s="372"/>
      <c r="Y674" s="367"/>
      <c r="Z674" s="369"/>
      <c r="AA674" s="372"/>
      <c r="AB674" s="372"/>
      <c r="AC674" s="371"/>
      <c r="AD674" s="371"/>
      <c r="AE674" s="367"/>
      <c r="AF674" s="372"/>
      <c r="AG674" s="367"/>
      <c r="AH674" s="367"/>
      <c r="AI674" s="367"/>
      <c r="AJ674" s="367"/>
      <c r="AK674" s="373"/>
      <c r="AL674" s="373"/>
      <c r="AM674" s="373"/>
      <c r="AN674" s="373"/>
      <c r="AO674" s="314" t="str">
        <f t="shared" si="1394"/>
        <v> </v>
      </c>
      <c r="AP674" s="374">
        <f t="shared" si="1395"/>
        <v>0</v>
      </c>
      <c r="AQ674" s="316" t="str">
        <f t="shared" si="1396"/>
        <v> </v>
      </c>
    </row>
    <row r="675" ht="29.25" customHeight="1" outlineLevel="1" spans="1:43">
      <c r="A675" s="363" t="s">
        <v>385</v>
      </c>
      <c r="B675" s="317">
        <v>0.708344907407407</v>
      </c>
      <c r="C675" s="293" t="str">
        <f t="shared" ref="C675:G675" si="1414">TEXT(IF($B675=0," ",$B675-C$6),"hh:mm am/pm")</f>
        <v>15:00 001/p1</v>
      </c>
      <c r="D675" s="293" t="str">
        <f t="shared" si="1414"/>
        <v>13:00 001/p1</v>
      </c>
      <c r="E675" s="293" t="str">
        <f t="shared" si="1414"/>
        <v>14:00 001/p1</v>
      </c>
      <c r="F675" s="293" t="str">
        <f t="shared" si="1414"/>
        <v>15:00 001/p1</v>
      </c>
      <c r="G675" s="293" t="str">
        <f t="shared" si="1414"/>
        <v>16:00 001/p1</v>
      </c>
      <c r="H675" s="293" t="str">
        <f t="shared" ref="H675:I675" si="1415">TEXT(IF($B675=0," ",$B675+H$6),"hh:mm am/pm")</f>
        <v>23:00 001/p1</v>
      </c>
      <c r="I675" s="293" t="str">
        <f t="shared" si="1415"/>
        <v>04:00 001/p1</v>
      </c>
      <c r="J675" s="423" t="s">
        <v>382</v>
      </c>
      <c r="K675" s="424"/>
      <c r="L675" s="425" t="s">
        <v>383</v>
      </c>
      <c r="M675" s="408" t="s">
        <v>196</v>
      </c>
      <c r="N675" s="409" t="s">
        <v>57</v>
      </c>
      <c r="O675" s="410" t="s">
        <v>74</v>
      </c>
      <c r="P675" s="411" t="s">
        <v>59</v>
      </c>
      <c r="Q675" s="412">
        <f>110</f>
        <v>110</v>
      </c>
      <c r="R675" s="414" t="s">
        <v>60</v>
      </c>
      <c r="S675" s="413"/>
      <c r="T675" s="414">
        <v>0.1</v>
      </c>
      <c r="U675" s="409" t="s">
        <v>62</v>
      </c>
      <c r="V675" s="409">
        <v>2</v>
      </c>
      <c r="W675" s="409">
        <v>3</v>
      </c>
      <c r="X675" s="419">
        <v>25000</v>
      </c>
      <c r="Y675" s="416" t="s">
        <v>79</v>
      </c>
      <c r="Z675" s="409">
        <v>5</v>
      </c>
      <c r="AA675" s="417">
        <v>50000</v>
      </c>
      <c r="AB675" s="417" t="s">
        <v>65</v>
      </c>
      <c r="AC675" s="414">
        <v>0.05</v>
      </c>
      <c r="AD675" s="414">
        <v>0</v>
      </c>
      <c r="AE675" s="418" t="s">
        <v>66</v>
      </c>
      <c r="AF675" s="419">
        <v>20000</v>
      </c>
      <c r="AG675" s="420">
        <v>7</v>
      </c>
      <c r="AH675" s="420">
        <v>6</v>
      </c>
      <c r="AI675" s="420">
        <v>6</v>
      </c>
      <c r="AJ675" s="418">
        <v>13</v>
      </c>
      <c r="AK675" s="428" t="s">
        <v>67</v>
      </c>
      <c r="AL675" s="428" t="s">
        <v>68</v>
      </c>
      <c r="AM675" s="422" t="s">
        <v>197</v>
      </c>
      <c r="AN675" s="403" t="s">
        <v>198</v>
      </c>
      <c r="AO675" s="314">
        <f t="shared" si="1394"/>
        <v>0.775011574074074</v>
      </c>
      <c r="AP675" s="315">
        <f t="shared" si="1395"/>
        <v>58</v>
      </c>
      <c r="AQ675" s="316" t="str">
        <f t="shared" si="1396"/>
        <v>MICRO</v>
      </c>
    </row>
    <row r="676" ht="29.25" customHeight="1" outlineLevel="1" spans="1:43">
      <c r="B676" s="317">
        <v>0.791678240740741</v>
      </c>
      <c r="C676" s="293" t="str">
        <f t="shared" ref="C676:G676" si="1416">TEXT(IF($B676=0," ",$B676-C$6),"hh:mm am/pm")</f>
        <v>17:00 001/p1</v>
      </c>
      <c r="D676" s="293" t="str">
        <f t="shared" si="1416"/>
        <v>15:00 001/p1</v>
      </c>
      <c r="E676" s="293" t="str">
        <f t="shared" si="1416"/>
        <v>16:00 001/p1</v>
      </c>
      <c r="F676" s="293" t="str">
        <f t="shared" si="1416"/>
        <v>17:00 001/p1</v>
      </c>
      <c r="G676" s="293" t="str">
        <f t="shared" si="1416"/>
        <v>18:00 001/p1</v>
      </c>
      <c r="H676" s="293" t="str">
        <f t="shared" ref="H676:I676" si="1417">TEXT(IF($B676=0," ",$B676+H$6),"hh:mm am/pm")</f>
        <v>01:00 001/p1</v>
      </c>
      <c r="I676" s="293" t="str">
        <f t="shared" si="1417"/>
        <v>06:00 001/p1</v>
      </c>
      <c r="J676" s="29"/>
      <c r="K676" s="431"/>
      <c r="L676" s="432" t="s">
        <v>384</v>
      </c>
      <c r="M676" s="408" t="s">
        <v>196</v>
      </c>
      <c r="N676" s="409" t="s">
        <v>57</v>
      </c>
      <c r="O676" s="410" t="s">
        <v>74</v>
      </c>
      <c r="P676" s="411" t="s">
        <v>59</v>
      </c>
      <c r="Q676" s="412">
        <f t="shared" ref="Q676:Q677" si="1418">110*2</f>
        <v>220</v>
      </c>
      <c r="R676" s="409" t="s">
        <v>60</v>
      </c>
      <c r="S676" s="426"/>
      <c r="T676" s="414">
        <v>0.1</v>
      </c>
      <c r="U676" s="409" t="s">
        <v>62</v>
      </c>
      <c r="V676" s="409">
        <v>3</v>
      </c>
      <c r="W676" s="409">
        <v>3</v>
      </c>
      <c r="X676" s="419">
        <v>25000</v>
      </c>
      <c r="Y676" s="416" t="s">
        <v>79</v>
      </c>
      <c r="Z676" s="409">
        <v>5</v>
      </c>
      <c r="AA676" s="417">
        <v>50000</v>
      </c>
      <c r="AB676" s="417" t="s">
        <v>65</v>
      </c>
      <c r="AC676" s="414">
        <v>0.05</v>
      </c>
      <c r="AD676" s="414">
        <v>0</v>
      </c>
      <c r="AE676" s="418" t="s">
        <v>66</v>
      </c>
      <c r="AF676" s="419">
        <v>20000</v>
      </c>
      <c r="AG676" s="420">
        <v>7</v>
      </c>
      <c r="AH676" s="420">
        <v>6</v>
      </c>
      <c r="AI676" s="420">
        <v>6</v>
      </c>
      <c r="AJ676" s="418">
        <v>13</v>
      </c>
      <c r="AK676" s="428" t="s">
        <v>67</v>
      </c>
      <c r="AL676" s="428" t="s">
        <v>68</v>
      </c>
      <c r="AM676" s="422" t="s">
        <v>197</v>
      </c>
      <c r="AN676" s="403" t="s">
        <v>198</v>
      </c>
      <c r="AO676" s="314">
        <f t="shared" si="1394"/>
        <v>0.858344907407407</v>
      </c>
      <c r="AP676" s="315">
        <f t="shared" si="1395"/>
        <v>78</v>
      </c>
      <c r="AQ676" s="316" t="str">
        <f t="shared" si="1396"/>
        <v>MICRO</v>
      </c>
    </row>
    <row r="677" ht="29.25" customHeight="1" outlineLevel="1" spans="1:43">
      <c r="B677" s="317">
        <v>0.875011574074074</v>
      </c>
      <c r="C677" s="293" t="str">
        <f t="shared" ref="C677:G677" si="1419">TEXT(IF($B677=0," ",$B677-C$6),"hh:mm am/pm")</f>
        <v>19:00 001/p1</v>
      </c>
      <c r="D677" s="293" t="str">
        <f t="shared" si="1419"/>
        <v>17:00 001/p1</v>
      </c>
      <c r="E677" s="293" t="str">
        <f t="shared" si="1419"/>
        <v>18:00 001/p1</v>
      </c>
      <c r="F677" s="293" t="str">
        <f t="shared" si="1419"/>
        <v>19:00 001/p1</v>
      </c>
      <c r="G677" s="293" t="str">
        <f t="shared" si="1419"/>
        <v>20:00 001/p1</v>
      </c>
      <c r="H677" s="293" t="str">
        <f t="shared" ref="H677:I677" si="1420">TEXT(IF($B677=0," ",$B677+H$6),"hh:mm am/pm")</f>
        <v>03:00 001/p1</v>
      </c>
      <c r="I677" s="293" t="str">
        <f t="shared" si="1420"/>
        <v>08:00 001/p1</v>
      </c>
      <c r="J677" s="124"/>
      <c r="K677" s="406"/>
      <c r="L677" s="407" t="s">
        <v>384</v>
      </c>
      <c r="M677" s="408" t="s">
        <v>196</v>
      </c>
      <c r="N677" s="409" t="s">
        <v>57</v>
      </c>
      <c r="O677" s="410" t="s">
        <v>74</v>
      </c>
      <c r="P677" s="411" t="s">
        <v>59</v>
      </c>
      <c r="Q677" s="412">
        <f t="shared" si="1418"/>
        <v>220</v>
      </c>
      <c r="R677" s="409" t="s">
        <v>60</v>
      </c>
      <c r="S677" s="426"/>
      <c r="T677" s="414">
        <v>0.1</v>
      </c>
      <c r="U677" s="409" t="s">
        <v>62</v>
      </c>
      <c r="V677" s="409">
        <v>3</v>
      </c>
      <c r="W677" s="409">
        <v>3</v>
      </c>
      <c r="X677" s="419">
        <v>25000</v>
      </c>
      <c r="Y677" s="416" t="s">
        <v>79</v>
      </c>
      <c r="Z677" s="409">
        <v>5</v>
      </c>
      <c r="AA677" s="417">
        <v>50000</v>
      </c>
      <c r="AB677" s="417" t="s">
        <v>65</v>
      </c>
      <c r="AC677" s="414">
        <v>0.05</v>
      </c>
      <c r="AD677" s="414">
        <v>0</v>
      </c>
      <c r="AE677" s="418" t="s">
        <v>66</v>
      </c>
      <c r="AF677" s="419">
        <v>20000</v>
      </c>
      <c r="AG677" s="420">
        <v>7</v>
      </c>
      <c r="AH677" s="420">
        <v>6</v>
      </c>
      <c r="AI677" s="420">
        <v>6</v>
      </c>
      <c r="AJ677" s="418">
        <v>13</v>
      </c>
      <c r="AK677" s="428" t="s">
        <v>67</v>
      </c>
      <c r="AL677" s="428" t="s">
        <v>68</v>
      </c>
      <c r="AM677" s="422" t="s">
        <v>197</v>
      </c>
      <c r="AN677" s="403" t="s">
        <v>198</v>
      </c>
      <c r="AO677" s="314">
        <f t="shared" si="1394"/>
        <v>0.941678240740741</v>
      </c>
      <c r="AP677" s="315">
        <f t="shared" si="1395"/>
        <v>78</v>
      </c>
      <c r="AQ677" s="316" t="str">
        <f t="shared" si="1396"/>
        <v>MICRO</v>
      </c>
    </row>
    <row r="678" ht="29.25" customHeight="1" outlineLevel="1" spans="1:43">
      <c r="A678" s="363" t="s">
        <v>385</v>
      </c>
      <c r="B678" s="383"/>
      <c r="C678" s="293" t="str">
        <f t="shared" ref="C678:G678" si="1421">TEXT(IF($B678=0," ",$B678-C$6),"hh:mm am/pm")</f>
        <v> </v>
      </c>
      <c r="D678" s="293" t="str">
        <f t="shared" si="1421"/>
        <v> </v>
      </c>
      <c r="E678" s="293" t="str">
        <f t="shared" si="1421"/>
        <v> </v>
      </c>
      <c r="F678" s="293" t="str">
        <f t="shared" si="1421"/>
        <v> </v>
      </c>
      <c r="G678" s="293" t="str">
        <f t="shared" si="1421"/>
        <v> </v>
      </c>
      <c r="H678" s="293" t="str">
        <f t="shared" ref="H678:I678" si="1422">TEXT(IF($B678=0," ",$B678+H$6),"hh:mm am/pm")</f>
        <v> </v>
      </c>
      <c r="I678" s="293" t="str">
        <f t="shared" si="1422"/>
        <v> </v>
      </c>
      <c r="J678" s="344"/>
      <c r="K678" s="367"/>
      <c r="L678" s="367"/>
      <c r="M678" s="435"/>
      <c r="N678" s="436"/>
      <c r="O678" s="437"/>
      <c r="P678" s="437"/>
      <c r="Q678" s="436"/>
      <c r="R678" s="436"/>
      <c r="S678" s="436"/>
      <c r="T678" s="438"/>
      <c r="U678" s="436"/>
      <c r="V678" s="436"/>
      <c r="W678" s="436"/>
      <c r="X678" s="436"/>
      <c r="Y678" s="366"/>
      <c r="Z678" s="439"/>
      <c r="AA678" s="439"/>
      <c r="AB678" s="439"/>
      <c r="AC678" s="438"/>
      <c r="AD678" s="438"/>
      <c r="AE678" s="366"/>
      <c r="AF678" s="439"/>
      <c r="AG678" s="366"/>
      <c r="AH678" s="366"/>
      <c r="AI678" s="366"/>
      <c r="AJ678" s="366"/>
      <c r="AK678" s="440"/>
      <c r="AL678" s="440"/>
      <c r="AM678" s="440"/>
      <c r="AN678" s="440"/>
      <c r="AO678" s="383"/>
      <c r="AP678" s="374"/>
      <c r="AQ678" s="383"/>
    </row>
    <row r="679" ht="29.25" customHeight="1" outlineLevel="1" spans="1:43">
      <c r="B679" s="292">
        <v>0.500011574074074</v>
      </c>
      <c r="C679" s="293" t="str">
        <f t="shared" ref="C679:G679" si="1423">TEXT(IF($B679=0," ",$B679-C$6),"hh:mm am/pm")</f>
        <v>10:00 001/p1</v>
      </c>
      <c r="D679" s="293" t="str">
        <f t="shared" si="1423"/>
        <v>08:00 001/p1</v>
      </c>
      <c r="E679" s="293" t="str">
        <f t="shared" si="1423"/>
        <v>09:00 001/p1</v>
      </c>
      <c r="F679" s="293" t="str">
        <f t="shared" si="1423"/>
        <v>10:00 001/p1</v>
      </c>
      <c r="G679" s="293" t="str">
        <f t="shared" si="1423"/>
        <v>11:00 001/p1</v>
      </c>
      <c r="H679" s="293" t="str">
        <f t="shared" ref="H679:I679" si="1424">TEXT(IF($B679=0," ",$B679+H$6),"hh:mm am/pm")</f>
        <v>18:00 001/p1</v>
      </c>
      <c r="I679" s="293" t="str">
        <f t="shared" si="1424"/>
        <v>23:00 001/p1</v>
      </c>
      <c r="J679" s="423" t="s">
        <v>215</v>
      </c>
      <c r="K679" s="424"/>
      <c r="L679" s="425" t="s">
        <v>216</v>
      </c>
      <c r="M679" s="387" t="s">
        <v>196</v>
      </c>
      <c r="N679" s="442" t="s">
        <v>57</v>
      </c>
      <c r="O679" s="443" t="s">
        <v>74</v>
      </c>
      <c r="P679" s="444" t="s">
        <v>59</v>
      </c>
      <c r="Q679" s="445">
        <f t="shared" ref="Q679:Q684" si="1425">15*4</f>
        <v>60</v>
      </c>
      <c r="R679" s="446" t="s">
        <v>60</v>
      </c>
      <c r="S679" s="447"/>
      <c r="T679" s="446">
        <v>0.1</v>
      </c>
      <c r="U679" s="442" t="s">
        <v>62</v>
      </c>
      <c r="V679" s="442">
        <v>0.6</v>
      </c>
      <c r="W679" s="442">
        <v>1</v>
      </c>
      <c r="X679" s="448">
        <v>25000</v>
      </c>
      <c r="Y679" s="449" t="s">
        <v>79</v>
      </c>
      <c r="Z679" s="442">
        <v>1</v>
      </c>
      <c r="AA679" s="450">
        <v>40000</v>
      </c>
      <c r="AB679" s="450" t="s">
        <v>65</v>
      </c>
      <c r="AC679" s="446">
        <v>0.05</v>
      </c>
      <c r="AD679" s="446">
        <v>0</v>
      </c>
      <c r="AE679" s="451" t="s">
        <v>66</v>
      </c>
      <c r="AF679" s="448">
        <v>20000</v>
      </c>
      <c r="AG679" s="452">
        <v>7</v>
      </c>
      <c r="AH679" s="452">
        <v>6</v>
      </c>
      <c r="AI679" s="452">
        <v>5</v>
      </c>
      <c r="AJ679" s="451">
        <v>13</v>
      </c>
      <c r="AK679" s="453" t="s">
        <v>67</v>
      </c>
      <c r="AL679" s="454" t="s">
        <v>68</v>
      </c>
      <c r="AM679" s="455" t="s">
        <v>197</v>
      </c>
      <c r="AN679" s="455" t="s">
        <v>198</v>
      </c>
      <c r="AO679" s="314">
        <f t="shared" ref="AO679:AO684" si="1426">IF(B679=0," ",TIME(,ROUNDDOWN(AG679*AJ679/60,0)*5+(AG679*AJ679),)+B679)</f>
        <v>0.566678240740741</v>
      </c>
      <c r="AP679" s="315">
        <f t="shared" ref="AP679:AP684" si="1427">IF(Q679=0,,ROUNDUP(Q679/(V679*(1-AC679-AD679)),0))</f>
        <v>106</v>
      </c>
      <c r="AQ679" s="316" t="str">
        <f t="shared" ref="AQ679:AQ684" si="1428">IFERROR(IF(V679=0," ",IF(V679&lt;=5,"MICRO",IF(V679&lt;=19.8,"LOW",IF(V679&lt;=99.8,"MEDIUM",IF(V679&lt;=500,"HIGH",IF(V679&gt;500,"SUPER HIGH",)))))),"")</f>
        <v>MICRO</v>
      </c>
    </row>
    <row r="680" ht="29.25" customHeight="1" outlineLevel="1" spans="1:43">
      <c r="B680" s="292">
        <v>0.583344907407407</v>
      </c>
      <c r="C680" s="293" t="str">
        <f t="shared" ref="C680:G680" si="1429">TEXT(IF($B680=0," ",$B680-C$6),"hh:mm am/pm")</f>
        <v>12:00 001/p1</v>
      </c>
      <c r="D680" s="293" t="str">
        <f t="shared" si="1429"/>
        <v>10:00 001/p1</v>
      </c>
      <c r="E680" s="293" t="str">
        <f t="shared" si="1429"/>
        <v>11:00 001/p1</v>
      </c>
      <c r="F680" s="293" t="str">
        <f t="shared" si="1429"/>
        <v>12:00 001/p1</v>
      </c>
      <c r="G680" s="293" t="str">
        <f t="shared" si="1429"/>
        <v>13:00 001/p1</v>
      </c>
      <c r="H680" s="293" t="str">
        <f t="shared" ref="H680:I680" si="1430">TEXT(IF($B680=0," ",$B680+H$6),"hh:mm am/pm")</f>
        <v>20:00 001/p1</v>
      </c>
      <c r="I680" s="293" t="str">
        <f t="shared" si="1430"/>
        <v>01:00 001/p1</v>
      </c>
      <c r="J680" s="29"/>
      <c r="K680" s="431"/>
      <c r="L680" s="432" t="s">
        <v>216</v>
      </c>
      <c r="M680" s="387" t="s">
        <v>196</v>
      </c>
      <c r="N680" s="442" t="s">
        <v>57</v>
      </c>
      <c r="O680" s="443" t="s">
        <v>74</v>
      </c>
      <c r="P680" s="444" t="s">
        <v>59</v>
      </c>
      <c r="Q680" s="445">
        <f t="shared" si="1425"/>
        <v>60</v>
      </c>
      <c r="R680" s="446" t="s">
        <v>60</v>
      </c>
      <c r="S680" s="447"/>
      <c r="T680" s="446">
        <v>0.1</v>
      </c>
      <c r="U680" s="442" t="s">
        <v>62</v>
      </c>
      <c r="V680" s="442">
        <v>0.6</v>
      </c>
      <c r="W680" s="442">
        <v>1</v>
      </c>
      <c r="X680" s="448">
        <v>25000</v>
      </c>
      <c r="Y680" s="449" t="s">
        <v>79</v>
      </c>
      <c r="Z680" s="442">
        <v>1</v>
      </c>
      <c r="AA680" s="450">
        <v>40000</v>
      </c>
      <c r="AB680" s="450" t="s">
        <v>65</v>
      </c>
      <c r="AC680" s="446">
        <v>0.05</v>
      </c>
      <c r="AD680" s="446">
        <v>0</v>
      </c>
      <c r="AE680" s="451" t="s">
        <v>66</v>
      </c>
      <c r="AF680" s="448">
        <v>20000</v>
      </c>
      <c r="AG680" s="452">
        <v>7</v>
      </c>
      <c r="AH680" s="452">
        <v>6</v>
      </c>
      <c r="AI680" s="452">
        <v>5</v>
      </c>
      <c r="AJ680" s="451">
        <v>13</v>
      </c>
      <c r="AK680" s="453" t="s">
        <v>67</v>
      </c>
      <c r="AL680" s="454" t="s">
        <v>68</v>
      </c>
      <c r="AM680" s="455" t="s">
        <v>197</v>
      </c>
      <c r="AN680" s="455" t="s">
        <v>198</v>
      </c>
      <c r="AO680" s="314">
        <f t="shared" si="1426"/>
        <v>0.650011574074074</v>
      </c>
      <c r="AP680" s="315">
        <f t="shared" si="1427"/>
        <v>106</v>
      </c>
      <c r="AQ680" s="316" t="str">
        <f t="shared" si="1428"/>
        <v>MICRO</v>
      </c>
    </row>
    <row r="681" ht="29.25" customHeight="1" outlineLevel="1" spans="1:43">
      <c r="A681" s="363" t="s">
        <v>385</v>
      </c>
      <c r="B681" s="292">
        <v>0.666678240740741</v>
      </c>
      <c r="C681" s="293" t="str">
        <f t="shared" ref="C681:G681" si="1431">TEXT(IF($B681=0," ",$B681-C$6),"hh:mm am/pm")</f>
        <v>14:00 001/p1</v>
      </c>
      <c r="D681" s="293" t="str">
        <f t="shared" si="1431"/>
        <v>12:00 001/p1</v>
      </c>
      <c r="E681" s="293" t="str">
        <f t="shared" si="1431"/>
        <v>13:00 001/p1</v>
      </c>
      <c r="F681" s="293" t="str">
        <f t="shared" si="1431"/>
        <v>14:00 001/p1</v>
      </c>
      <c r="G681" s="293" t="str">
        <f t="shared" si="1431"/>
        <v>15:00 001/p1</v>
      </c>
      <c r="H681" s="293" t="str">
        <f t="shared" ref="H681:I681" si="1432">TEXT(IF($B681=0," ",$B681+H$6),"hh:mm am/pm")</f>
        <v>22:00 001/p1</v>
      </c>
      <c r="I681" s="293" t="str">
        <f t="shared" si="1432"/>
        <v>03:00 001/p1</v>
      </c>
      <c r="J681" s="29"/>
      <c r="K681" s="431"/>
      <c r="L681" s="432" t="s">
        <v>216</v>
      </c>
      <c r="M681" s="387" t="s">
        <v>196</v>
      </c>
      <c r="N681" s="442" t="s">
        <v>57</v>
      </c>
      <c r="O681" s="443" t="s">
        <v>74</v>
      </c>
      <c r="P681" s="444" t="s">
        <v>59</v>
      </c>
      <c r="Q681" s="445">
        <f t="shared" si="1425"/>
        <v>60</v>
      </c>
      <c r="R681" s="446" t="s">
        <v>60</v>
      </c>
      <c r="S681" s="447"/>
      <c r="T681" s="446">
        <v>0.1</v>
      </c>
      <c r="U681" s="442" t="s">
        <v>62</v>
      </c>
      <c r="V681" s="442">
        <v>0.6</v>
      </c>
      <c r="W681" s="442">
        <v>1</v>
      </c>
      <c r="X681" s="448">
        <v>25000</v>
      </c>
      <c r="Y681" s="449" t="s">
        <v>79</v>
      </c>
      <c r="Z681" s="442">
        <v>1</v>
      </c>
      <c r="AA681" s="450">
        <v>40000</v>
      </c>
      <c r="AB681" s="450" t="s">
        <v>65</v>
      </c>
      <c r="AC681" s="446">
        <v>0.05</v>
      </c>
      <c r="AD681" s="446">
        <v>0</v>
      </c>
      <c r="AE681" s="451" t="s">
        <v>66</v>
      </c>
      <c r="AF681" s="448">
        <v>20000</v>
      </c>
      <c r="AG681" s="452">
        <v>7</v>
      </c>
      <c r="AH681" s="452">
        <v>6</v>
      </c>
      <c r="AI681" s="452">
        <v>5</v>
      </c>
      <c r="AJ681" s="451">
        <v>13</v>
      </c>
      <c r="AK681" s="453" t="s">
        <v>67</v>
      </c>
      <c r="AL681" s="454" t="s">
        <v>68</v>
      </c>
      <c r="AM681" s="455" t="s">
        <v>197</v>
      </c>
      <c r="AN681" s="455" t="s">
        <v>198</v>
      </c>
      <c r="AO681" s="314">
        <f t="shared" si="1426"/>
        <v>0.733344907407407</v>
      </c>
      <c r="AP681" s="315">
        <f t="shared" si="1427"/>
        <v>106</v>
      </c>
      <c r="AQ681" s="316" t="str">
        <f t="shared" si="1428"/>
        <v>MICRO</v>
      </c>
    </row>
    <row r="682" ht="29.25" customHeight="1" outlineLevel="1" spans="1:43">
      <c r="B682" s="292">
        <v>0.750011574074074</v>
      </c>
      <c r="C682" s="293" t="str">
        <f t="shared" ref="C682:G682" si="1433">TEXT(IF($B682=0," ",$B682-C$6),"hh:mm am/pm")</f>
        <v>16:00 001/p1</v>
      </c>
      <c r="D682" s="293" t="str">
        <f t="shared" si="1433"/>
        <v>14:00 001/p1</v>
      </c>
      <c r="E682" s="293" t="str">
        <f t="shared" si="1433"/>
        <v>15:00 001/p1</v>
      </c>
      <c r="F682" s="293" t="str">
        <f t="shared" si="1433"/>
        <v>16:00 001/p1</v>
      </c>
      <c r="G682" s="293" t="str">
        <f t="shared" si="1433"/>
        <v>17:00 001/p1</v>
      </c>
      <c r="H682" s="293" t="str">
        <f t="shared" ref="H682:I682" si="1434">TEXT(IF($B682=0," ",$B682+H$6),"hh:mm am/pm")</f>
        <v>00:00 001/p1</v>
      </c>
      <c r="I682" s="293" t="str">
        <f t="shared" si="1434"/>
        <v>05:00 001/p1</v>
      </c>
      <c r="J682" s="29"/>
      <c r="K682" s="431"/>
      <c r="L682" s="432" t="s">
        <v>216</v>
      </c>
      <c r="M682" s="387" t="s">
        <v>196</v>
      </c>
      <c r="N682" s="442" t="s">
        <v>57</v>
      </c>
      <c r="O682" s="443" t="s">
        <v>74</v>
      </c>
      <c r="P682" s="444" t="s">
        <v>59</v>
      </c>
      <c r="Q682" s="445">
        <f t="shared" si="1425"/>
        <v>60</v>
      </c>
      <c r="R682" s="446" t="s">
        <v>60</v>
      </c>
      <c r="S682" s="447"/>
      <c r="T682" s="446">
        <v>0.1</v>
      </c>
      <c r="U682" s="442" t="s">
        <v>62</v>
      </c>
      <c r="V682" s="442">
        <v>0.6</v>
      </c>
      <c r="W682" s="442">
        <v>1</v>
      </c>
      <c r="X682" s="448">
        <v>25000</v>
      </c>
      <c r="Y682" s="449" t="s">
        <v>79</v>
      </c>
      <c r="Z682" s="442">
        <v>1</v>
      </c>
      <c r="AA682" s="450">
        <v>40000</v>
      </c>
      <c r="AB682" s="450" t="s">
        <v>65</v>
      </c>
      <c r="AC682" s="446">
        <v>0.05</v>
      </c>
      <c r="AD682" s="446">
        <v>0</v>
      </c>
      <c r="AE682" s="451" t="s">
        <v>66</v>
      </c>
      <c r="AF682" s="448">
        <v>20000</v>
      </c>
      <c r="AG682" s="452">
        <v>7</v>
      </c>
      <c r="AH682" s="452">
        <v>6</v>
      </c>
      <c r="AI682" s="452">
        <v>5</v>
      </c>
      <c r="AJ682" s="451">
        <v>13</v>
      </c>
      <c r="AK682" s="453" t="s">
        <v>67</v>
      </c>
      <c r="AL682" s="454" t="s">
        <v>68</v>
      </c>
      <c r="AM682" s="455" t="s">
        <v>197</v>
      </c>
      <c r="AN682" s="455" t="s">
        <v>198</v>
      </c>
      <c r="AO682" s="314">
        <f t="shared" si="1426"/>
        <v>0.816678240740741</v>
      </c>
      <c r="AP682" s="315">
        <f t="shared" si="1427"/>
        <v>106</v>
      </c>
      <c r="AQ682" s="316" t="str">
        <f t="shared" si="1428"/>
        <v>MICRO</v>
      </c>
    </row>
    <row r="683" ht="29.25" customHeight="1" outlineLevel="1" spans="1:43">
      <c r="B683" s="292">
        <v>0.833344907407407</v>
      </c>
      <c r="C683" s="293" t="str">
        <f t="shared" ref="C683:G683" si="1435">TEXT(IF($B683=0," ",$B683-C$6),"hh:mm am/pm")</f>
        <v>18:00 001/p1</v>
      </c>
      <c r="D683" s="293" t="str">
        <f t="shared" si="1435"/>
        <v>16:00 001/p1</v>
      </c>
      <c r="E683" s="293" t="str">
        <f t="shared" si="1435"/>
        <v>17:00 001/p1</v>
      </c>
      <c r="F683" s="293" t="str">
        <f t="shared" si="1435"/>
        <v>18:00 001/p1</v>
      </c>
      <c r="G683" s="293" t="str">
        <f t="shared" si="1435"/>
        <v>19:00 001/p1</v>
      </c>
      <c r="H683" s="293" t="str">
        <f t="shared" ref="H683:I683" si="1436">TEXT(IF($B683=0," ",$B683+H$6),"hh:mm am/pm")</f>
        <v>02:00 001/p1</v>
      </c>
      <c r="I683" s="293" t="str">
        <f t="shared" si="1436"/>
        <v>07:00 001/p1</v>
      </c>
      <c r="J683" s="29"/>
      <c r="K683" s="431"/>
      <c r="L683" s="432" t="s">
        <v>216</v>
      </c>
      <c r="M683" s="387" t="s">
        <v>196</v>
      </c>
      <c r="N683" s="442" t="s">
        <v>57</v>
      </c>
      <c r="O683" s="443" t="s">
        <v>74</v>
      </c>
      <c r="P683" s="444" t="s">
        <v>59</v>
      </c>
      <c r="Q683" s="445">
        <f t="shared" si="1425"/>
        <v>60</v>
      </c>
      <c r="R683" s="446" t="s">
        <v>60</v>
      </c>
      <c r="S683" s="447"/>
      <c r="T683" s="446">
        <v>0.1</v>
      </c>
      <c r="U683" s="442" t="s">
        <v>62</v>
      </c>
      <c r="V683" s="442">
        <v>0.6</v>
      </c>
      <c r="W683" s="442">
        <v>1</v>
      </c>
      <c r="X683" s="448">
        <v>25000</v>
      </c>
      <c r="Y683" s="449" t="s">
        <v>79</v>
      </c>
      <c r="Z683" s="442">
        <v>1</v>
      </c>
      <c r="AA683" s="450">
        <v>40000</v>
      </c>
      <c r="AB683" s="450" t="s">
        <v>65</v>
      </c>
      <c r="AC683" s="446">
        <v>0.05</v>
      </c>
      <c r="AD683" s="446">
        <v>0</v>
      </c>
      <c r="AE683" s="451" t="s">
        <v>66</v>
      </c>
      <c r="AF683" s="448">
        <v>20000</v>
      </c>
      <c r="AG683" s="452">
        <v>7</v>
      </c>
      <c r="AH683" s="452">
        <v>6</v>
      </c>
      <c r="AI683" s="452">
        <v>5</v>
      </c>
      <c r="AJ683" s="451">
        <v>13</v>
      </c>
      <c r="AK683" s="453" t="s">
        <v>67</v>
      </c>
      <c r="AL683" s="454" t="s">
        <v>68</v>
      </c>
      <c r="AM683" s="455" t="s">
        <v>197</v>
      </c>
      <c r="AN683" s="455" t="s">
        <v>198</v>
      </c>
      <c r="AO683" s="314">
        <f t="shared" si="1426"/>
        <v>0.900011574074074</v>
      </c>
      <c r="AP683" s="315">
        <f t="shared" si="1427"/>
        <v>106</v>
      </c>
      <c r="AQ683" s="316" t="str">
        <f t="shared" si="1428"/>
        <v>MICRO</v>
      </c>
    </row>
    <row r="684" ht="29.25" customHeight="1" outlineLevel="1" spans="1:43">
      <c r="A684" s="363"/>
      <c r="B684" s="292">
        <v>0.916678240740741</v>
      </c>
      <c r="C684" s="293" t="str">
        <f t="shared" ref="C684:G684" si="1437">TEXT(IF($B684=0," ",$B684-C$6),"hh:mm am/pm")</f>
        <v>20:00 001/p1</v>
      </c>
      <c r="D684" s="293" t="str">
        <f t="shared" si="1437"/>
        <v>18:00 001/p1</v>
      </c>
      <c r="E684" s="293" t="str">
        <f t="shared" si="1437"/>
        <v>19:00 001/p1</v>
      </c>
      <c r="F684" s="293" t="str">
        <f t="shared" si="1437"/>
        <v>20:00 001/p1</v>
      </c>
      <c r="G684" s="293" t="str">
        <f t="shared" si="1437"/>
        <v>21:00 001/p1</v>
      </c>
      <c r="H684" s="293" t="str">
        <f t="shared" ref="H684:I684" si="1438">TEXT(IF($B684=0," ",$B684+H$6),"hh:mm am/pm")</f>
        <v>04:00 001/p1</v>
      </c>
      <c r="I684" s="293" t="str">
        <f t="shared" si="1438"/>
        <v>09:00 001/p1</v>
      </c>
      <c r="J684" s="124"/>
      <c r="K684" s="406"/>
      <c r="L684" s="407" t="s">
        <v>216</v>
      </c>
      <c r="M684" s="387" t="s">
        <v>196</v>
      </c>
      <c r="N684" s="442" t="s">
        <v>57</v>
      </c>
      <c r="O684" s="443" t="s">
        <v>74</v>
      </c>
      <c r="P684" s="444" t="s">
        <v>59</v>
      </c>
      <c r="Q684" s="445">
        <f t="shared" si="1425"/>
        <v>60</v>
      </c>
      <c r="R684" s="446" t="s">
        <v>60</v>
      </c>
      <c r="S684" s="447"/>
      <c r="T684" s="446">
        <v>0.1</v>
      </c>
      <c r="U684" s="442" t="s">
        <v>62</v>
      </c>
      <c r="V684" s="442">
        <v>0.6</v>
      </c>
      <c r="W684" s="442">
        <v>1</v>
      </c>
      <c r="X684" s="448">
        <v>25000</v>
      </c>
      <c r="Y684" s="449" t="s">
        <v>79</v>
      </c>
      <c r="Z684" s="442">
        <v>1</v>
      </c>
      <c r="AA684" s="450">
        <v>40000</v>
      </c>
      <c r="AB684" s="450" t="s">
        <v>65</v>
      </c>
      <c r="AC684" s="446">
        <v>0.05</v>
      </c>
      <c r="AD684" s="446">
        <v>0</v>
      </c>
      <c r="AE684" s="451" t="s">
        <v>66</v>
      </c>
      <c r="AF684" s="448">
        <v>20000</v>
      </c>
      <c r="AG684" s="452">
        <v>7</v>
      </c>
      <c r="AH684" s="452">
        <v>6</v>
      </c>
      <c r="AI684" s="452">
        <v>5</v>
      </c>
      <c r="AJ684" s="451">
        <v>13</v>
      </c>
      <c r="AK684" s="453" t="s">
        <v>67</v>
      </c>
      <c r="AL684" s="454" t="s">
        <v>68</v>
      </c>
      <c r="AM684" s="455" t="s">
        <v>197</v>
      </c>
      <c r="AN684" s="455" t="s">
        <v>198</v>
      </c>
      <c r="AO684" s="314">
        <f t="shared" si="1426"/>
        <v>0.983344907407407</v>
      </c>
      <c r="AP684" s="315">
        <f t="shared" si="1427"/>
        <v>106</v>
      </c>
      <c r="AQ684" s="316" t="str">
        <f t="shared" si="1428"/>
        <v>MICRO</v>
      </c>
    </row>
    <row r="685" ht="29.25" customHeight="1" outlineLevel="1" spans="1:43">
      <c r="A685" s="363"/>
      <c r="B685" s="383"/>
      <c r="C685" s="434"/>
      <c r="D685" s="434"/>
      <c r="E685" s="434"/>
      <c r="F685" s="434"/>
      <c r="G685" s="434"/>
      <c r="H685" s="293" t="str">
        <f t="shared" ref="H685:I685" si="1439">TEXT(IF($B685=0," ",$B685+H$6),"hh:mm am/pm")</f>
        <v> </v>
      </c>
      <c r="I685" s="293" t="str">
        <f t="shared" si="1439"/>
        <v> </v>
      </c>
      <c r="J685" s="485"/>
      <c r="K685" s="366"/>
      <c r="L685" s="366"/>
      <c r="M685" s="435"/>
      <c r="N685" s="436"/>
      <c r="O685" s="437"/>
      <c r="P685" s="437"/>
      <c r="Q685" s="436"/>
      <c r="R685" s="436"/>
      <c r="S685" s="436"/>
      <c r="T685" s="438"/>
      <c r="U685" s="436"/>
      <c r="V685" s="436"/>
      <c r="W685" s="436"/>
      <c r="X685" s="436"/>
      <c r="Y685" s="366"/>
      <c r="Z685" s="439"/>
      <c r="AA685" s="439"/>
      <c r="AB685" s="439"/>
      <c r="AC685" s="438"/>
      <c r="AD685" s="438"/>
      <c r="AE685" s="366"/>
      <c r="AF685" s="439"/>
      <c r="AG685" s="366"/>
      <c r="AH685" s="366"/>
      <c r="AI685" s="366"/>
      <c r="AJ685" s="366"/>
      <c r="AK685" s="440"/>
      <c r="AL685" s="440"/>
      <c r="AM685" s="440"/>
      <c r="AN685" s="440"/>
      <c r="AO685" s="383"/>
      <c r="AP685" s="374"/>
      <c r="AQ685" s="383"/>
    </row>
    <row r="686" ht="24" customHeight="1" spans="1:43">
      <c r="A686" s="458" t="s">
        <v>410</v>
      </c>
      <c r="C686" s="459"/>
      <c r="D686" s="459"/>
      <c r="E686" s="459"/>
      <c r="F686" s="459"/>
      <c r="G686" s="459"/>
      <c r="H686" s="459"/>
      <c r="I686" s="460"/>
      <c r="J686" s="380" t="s">
        <v>410</v>
      </c>
      <c r="K686" s="380"/>
      <c r="L686" s="380" t="s">
        <v>410</v>
      </c>
      <c r="O686" s="380"/>
      <c r="Q686" s="380" t="s">
        <v>410</v>
      </c>
      <c r="V686" s="380" t="s">
        <v>410</v>
      </c>
      <c r="AB686" s="380" t="s">
        <v>410</v>
      </c>
      <c r="AE686" s="380" t="s">
        <v>410</v>
      </c>
      <c r="AF686" s="380"/>
      <c r="AG686" s="380"/>
      <c r="AH686" s="380"/>
      <c r="AI686" s="380"/>
      <c r="AJ686" s="380" t="s">
        <v>410</v>
      </c>
      <c r="AM686" s="314"/>
      <c r="AN686" s="314"/>
      <c r="AO686" s="314"/>
      <c r="AP686" s="315"/>
      <c r="AQ686" s="316"/>
    </row>
    <row r="687" ht="29.25" customHeight="1" outlineLevel="1" spans="1:43">
      <c r="A687" s="291" t="s">
        <v>410</v>
      </c>
      <c r="B687" s="292">
        <v>0.625011574074074</v>
      </c>
      <c r="C687" s="293" t="str">
        <f t="shared" ref="C687:G687" si="1440">TEXT(IF($B687=0," ",$B687-C$6),"hh:mm am/pm")</f>
        <v>13:00 001/p1</v>
      </c>
      <c r="D687" s="293" t="str">
        <f t="shared" si="1440"/>
        <v>11:00 001/p1</v>
      </c>
      <c r="E687" s="293" t="str">
        <f t="shared" si="1440"/>
        <v>12:00 001/p1</v>
      </c>
      <c r="F687" s="293" t="str">
        <f t="shared" si="1440"/>
        <v>13:00 001/p1</v>
      </c>
      <c r="G687" s="293" t="str">
        <f t="shared" si="1440"/>
        <v>14:00 001/p1</v>
      </c>
      <c r="H687" s="293" t="str">
        <f t="shared" ref="H687:I687" si="1441">TEXT(IF($B687=0," ",$B687+H$6),"hh:mm am/pm")</f>
        <v>21:00 001/p1</v>
      </c>
      <c r="I687" s="293" t="str">
        <f t="shared" si="1441"/>
        <v>02:00 001/p1</v>
      </c>
      <c r="J687" s="294" t="s">
        <v>353</v>
      </c>
      <c r="K687" s="295"/>
      <c r="L687" s="466" t="s">
        <v>55</v>
      </c>
      <c r="M687" s="467" t="s">
        <v>56</v>
      </c>
      <c r="N687" s="468" t="s">
        <v>57</v>
      </c>
      <c r="O687" s="469" t="s">
        <v>58</v>
      </c>
      <c r="P687" s="470" t="s">
        <v>59</v>
      </c>
      <c r="Q687" s="471">
        <v>4000</v>
      </c>
      <c r="R687" s="472" t="s">
        <v>60</v>
      </c>
      <c r="S687" s="473"/>
      <c r="T687" s="360" t="s">
        <v>61</v>
      </c>
      <c r="U687" s="468" t="s">
        <v>62</v>
      </c>
      <c r="V687" s="468">
        <v>22</v>
      </c>
      <c r="W687" s="468">
        <v>22</v>
      </c>
      <c r="X687" s="355"/>
      <c r="Y687" s="474" t="s">
        <v>63</v>
      </c>
      <c r="Z687" s="473"/>
      <c r="AA687" s="356" t="s">
        <v>64</v>
      </c>
      <c r="AB687" s="356" t="s">
        <v>65</v>
      </c>
      <c r="AC687" s="357">
        <v>0.1</v>
      </c>
      <c r="AD687" s="357">
        <v>0.02</v>
      </c>
      <c r="AE687" s="360" t="s">
        <v>66</v>
      </c>
      <c r="AF687" s="358">
        <v>40000</v>
      </c>
      <c r="AG687" s="359">
        <v>12</v>
      </c>
      <c r="AH687" s="359">
        <v>10</v>
      </c>
      <c r="AI687" s="359">
        <v>10</v>
      </c>
      <c r="AJ687" s="360">
        <v>14</v>
      </c>
      <c r="AK687" s="476" t="s">
        <v>67</v>
      </c>
      <c r="AL687" s="476" t="s">
        <v>68</v>
      </c>
      <c r="AM687" s="376" t="s">
        <v>69</v>
      </c>
      <c r="AN687" s="376" t="s">
        <v>70</v>
      </c>
      <c r="AO687" s="314">
        <f t="shared" ref="AO687:AO779" si="1442">IF(B687=0," ",TIME(,ROUNDDOWN(AG687*AJ687/60,0)*5+(AG687*AJ687),)+B687)</f>
        <v>0.748622685185185</v>
      </c>
      <c r="AP687" s="315">
        <f t="shared" ref="AP687:AP779" si="1443">IF(Q687=0,,ROUNDUP(Q687/(V687*(1-AC687-AD687)),0))</f>
        <v>207</v>
      </c>
      <c r="AQ687" s="316" t="str">
        <f t="shared" ref="AQ687:AQ779" si="1444">IFERROR(IF(V687=0," ",IF(V687&lt;=5,"MICRO",IF(V687&lt;=19.8,"LOW",IF(V687&lt;=99.8,"MEDIUM",IF(V687&lt;=500,"HIGH",IF(V687&gt;500,"SUPER HIGH",)))))),"")</f>
        <v>MEDIUM</v>
      </c>
    </row>
    <row r="688" ht="29.25" customHeight="1" outlineLevel="1" spans="1:43">
      <c r="A688" s="291" t="s">
        <v>71</v>
      </c>
      <c r="B688" s="317">
        <v>0.625011574074074</v>
      </c>
      <c r="C688" s="293" t="str">
        <f t="shared" ref="C688:G688" si="1445">TEXT(IF($B688=0," ",$B688-C$6),"hh:mm am/pm")</f>
        <v>13:00 001/p1</v>
      </c>
      <c r="D688" s="293" t="str">
        <f t="shared" si="1445"/>
        <v>11:00 001/p1</v>
      </c>
      <c r="E688" s="293" t="str">
        <f t="shared" si="1445"/>
        <v>12:00 001/p1</v>
      </c>
      <c r="F688" s="293" t="str">
        <f t="shared" si="1445"/>
        <v>13:00 001/p1</v>
      </c>
      <c r="G688" s="293" t="str">
        <f t="shared" si="1445"/>
        <v>14:00 001/p1</v>
      </c>
      <c r="H688" s="293" t="str">
        <f t="shared" ref="H688:I688" si="1446">TEXT(IF($B688=0," ",$B688+H$6),"hh:mm am/pm")</f>
        <v>21:00 001/p1</v>
      </c>
      <c r="I688" s="293" t="str">
        <f t="shared" si="1446"/>
        <v>02:00 001/p1</v>
      </c>
      <c r="J688" s="318" t="s">
        <v>72</v>
      </c>
      <c r="K688" s="295"/>
      <c r="L688" s="296" t="s">
        <v>73</v>
      </c>
      <c r="M688" s="297" t="s">
        <v>56</v>
      </c>
      <c r="N688" s="298" t="s">
        <v>57</v>
      </c>
      <c r="O688" s="299" t="s">
        <v>74</v>
      </c>
      <c r="P688" s="300" t="s">
        <v>59</v>
      </c>
      <c r="Q688" s="301">
        <v>5200</v>
      </c>
      <c r="R688" s="325" t="s">
        <v>76</v>
      </c>
      <c r="S688" s="303"/>
      <c r="T688" s="304" t="s">
        <v>77</v>
      </c>
      <c r="U688" s="298" t="s">
        <v>78</v>
      </c>
      <c r="V688" s="298">
        <v>4</v>
      </c>
      <c r="W688" s="298">
        <v>4</v>
      </c>
      <c r="X688" s="305"/>
      <c r="Y688" s="306" t="s">
        <v>79</v>
      </c>
      <c r="Z688" s="298">
        <v>6</v>
      </c>
      <c r="AA688" s="307">
        <v>200000</v>
      </c>
      <c r="AB688" s="307" t="s">
        <v>65</v>
      </c>
      <c r="AC688" s="308">
        <v>0.1</v>
      </c>
      <c r="AD688" s="308">
        <v>0.02</v>
      </c>
      <c r="AE688" s="307" t="s">
        <v>88</v>
      </c>
      <c r="AF688" s="309">
        <v>50000</v>
      </c>
      <c r="AG688" s="310">
        <v>10</v>
      </c>
      <c r="AH688" s="310">
        <v>8</v>
      </c>
      <c r="AI688" s="310">
        <v>10</v>
      </c>
      <c r="AJ688" s="304">
        <v>14</v>
      </c>
      <c r="AK688" s="312" t="s">
        <v>67</v>
      </c>
      <c r="AL688" s="312" t="s">
        <v>68</v>
      </c>
      <c r="AM688" s="313" t="s">
        <v>69</v>
      </c>
      <c r="AN688" s="313" t="s">
        <v>70</v>
      </c>
      <c r="AO688" s="314">
        <f t="shared" si="1442"/>
        <v>0.729178240740741</v>
      </c>
      <c r="AP688" s="315">
        <f t="shared" si="1443"/>
        <v>1478</v>
      </c>
      <c r="AQ688" s="316" t="str">
        <f t="shared" si="1444"/>
        <v>MICRO</v>
      </c>
    </row>
    <row r="689" ht="29.25" customHeight="1" outlineLevel="1" spans="1:43">
      <c r="A689" s="291">
        <f>COUNTIF(M687:M767,"Side event")</f>
        <v>72</v>
      </c>
      <c r="B689" s="317">
        <v>0.666678240740741</v>
      </c>
      <c r="C689" s="293" t="str">
        <f t="shared" ref="C689:G689" si="1447">TEXT(IF($B689=0," ",$B689-C$6),"hh:mm am/pm")</f>
        <v>14:00 001/p1</v>
      </c>
      <c r="D689" s="293" t="str">
        <f t="shared" si="1447"/>
        <v>12:00 001/p1</v>
      </c>
      <c r="E689" s="293" t="str">
        <f t="shared" si="1447"/>
        <v>13:00 001/p1</v>
      </c>
      <c r="F689" s="293" t="str">
        <f t="shared" si="1447"/>
        <v>14:00 001/p1</v>
      </c>
      <c r="G689" s="293" t="str">
        <f t="shared" si="1447"/>
        <v>15:00 001/p1</v>
      </c>
      <c r="H689" s="293" t="str">
        <f t="shared" ref="H689:I689" si="1448">TEXT(IF($B689=0," ",$B689+H$6),"hh:mm am/pm")</f>
        <v>22:00 001/p1</v>
      </c>
      <c r="I689" s="293" t="str">
        <f t="shared" si="1448"/>
        <v>03:00 001/p1</v>
      </c>
      <c r="J689" s="294" t="s">
        <v>411</v>
      </c>
      <c r="K689" s="295"/>
      <c r="L689" s="466" t="s">
        <v>412</v>
      </c>
      <c r="M689" s="467" t="s">
        <v>56</v>
      </c>
      <c r="N689" s="468" t="s">
        <v>100</v>
      </c>
      <c r="O689" s="469" t="s">
        <v>82</v>
      </c>
      <c r="P689" s="470" t="s">
        <v>256</v>
      </c>
      <c r="Q689" s="471">
        <v>4000</v>
      </c>
      <c r="R689" s="472" t="s">
        <v>60</v>
      </c>
      <c r="S689" s="473"/>
      <c r="T689" s="360" t="s">
        <v>61</v>
      </c>
      <c r="U689" s="468" t="s">
        <v>62</v>
      </c>
      <c r="V689" s="468">
        <v>30</v>
      </c>
      <c r="W689" s="468">
        <v>30</v>
      </c>
      <c r="X689" s="355"/>
      <c r="Y689" s="474" t="s">
        <v>63</v>
      </c>
      <c r="Z689" s="473"/>
      <c r="AA689" s="356" t="s">
        <v>64</v>
      </c>
      <c r="AB689" s="356" t="s">
        <v>65</v>
      </c>
      <c r="AC689" s="357">
        <v>0.1</v>
      </c>
      <c r="AD689" s="357">
        <v>0.02</v>
      </c>
      <c r="AE689" s="360" t="s">
        <v>66</v>
      </c>
      <c r="AF689" s="358">
        <v>50000</v>
      </c>
      <c r="AG689" s="359">
        <v>15</v>
      </c>
      <c r="AH689" s="359">
        <v>12</v>
      </c>
      <c r="AI689" s="359">
        <v>12</v>
      </c>
      <c r="AJ689" s="360">
        <v>14</v>
      </c>
      <c r="AK689" s="476" t="s">
        <v>67</v>
      </c>
      <c r="AL689" s="476" t="s">
        <v>68</v>
      </c>
      <c r="AM689" s="376" t="s">
        <v>69</v>
      </c>
      <c r="AN689" s="376" t="s">
        <v>70</v>
      </c>
      <c r="AO689" s="314">
        <f t="shared" si="1442"/>
        <v>0.822928240740741</v>
      </c>
      <c r="AP689" s="315">
        <f t="shared" si="1443"/>
        <v>152</v>
      </c>
      <c r="AQ689" s="316" t="str">
        <f t="shared" si="1444"/>
        <v>MEDIUM</v>
      </c>
    </row>
    <row r="690" ht="29.25" customHeight="1" outlineLevel="1" spans="1:43">
      <c r="A690" s="291" t="s">
        <v>56</v>
      </c>
      <c r="B690" s="317">
        <v>0.75</v>
      </c>
      <c r="C690" s="293" t="str">
        <f t="shared" ref="C690:G690" si="1449">TEXT(IF($B690=0," ",$B690-C$6),"hh:mm am/pm")</f>
        <v>16:00 001/p1</v>
      </c>
      <c r="D690" s="293" t="str">
        <f t="shared" si="1449"/>
        <v>14:00 001/p1</v>
      </c>
      <c r="E690" s="293" t="str">
        <f t="shared" si="1449"/>
        <v>15:00 001/p1</v>
      </c>
      <c r="F690" s="293" t="str">
        <f t="shared" si="1449"/>
        <v>16:00 001/p1</v>
      </c>
      <c r="G690" s="293" t="str">
        <f t="shared" si="1449"/>
        <v>17:00 001/p1</v>
      </c>
      <c r="H690" s="293" t="str">
        <f t="shared" ref="H690:I690" si="1450">TEXT(IF($B690=0," ",$B690+H$6),"hh:mm am/pm")</f>
        <v>00:00 001/p1</v>
      </c>
      <c r="I690" s="293" t="str">
        <f t="shared" si="1450"/>
        <v>05:00 001/p1</v>
      </c>
      <c r="J690" s="294" t="s">
        <v>413</v>
      </c>
      <c r="K690" s="295"/>
      <c r="L690" s="296" t="s">
        <v>126</v>
      </c>
      <c r="M690" s="297" t="s">
        <v>56</v>
      </c>
      <c r="N690" s="298" t="s">
        <v>57</v>
      </c>
      <c r="O690" s="299" t="s">
        <v>58</v>
      </c>
      <c r="P690" s="300" t="s">
        <v>75</v>
      </c>
      <c r="Q690" s="301">
        <v>6000</v>
      </c>
      <c r="R690" s="302" t="s">
        <v>60</v>
      </c>
      <c r="S690" s="303"/>
      <c r="T690" s="304" t="s">
        <v>61</v>
      </c>
      <c r="U690" s="298" t="s">
        <v>62</v>
      </c>
      <c r="V690" s="298">
        <v>11</v>
      </c>
      <c r="W690" s="298">
        <v>11</v>
      </c>
      <c r="X690" s="305"/>
      <c r="Y690" s="306" t="s">
        <v>63</v>
      </c>
      <c r="Z690" s="303"/>
      <c r="AA690" s="307" t="s">
        <v>64</v>
      </c>
      <c r="AB690" s="307" t="s">
        <v>65</v>
      </c>
      <c r="AC690" s="308">
        <v>0.1</v>
      </c>
      <c r="AD690" s="308">
        <v>0.02</v>
      </c>
      <c r="AE690" s="304" t="s">
        <v>88</v>
      </c>
      <c r="AF690" s="309">
        <v>60000</v>
      </c>
      <c r="AG690" s="310">
        <v>15</v>
      </c>
      <c r="AH690" s="310">
        <v>12</v>
      </c>
      <c r="AI690" s="310">
        <v>12</v>
      </c>
      <c r="AJ690" s="304">
        <v>14</v>
      </c>
      <c r="AK690" s="312" t="s">
        <v>67</v>
      </c>
      <c r="AL690" s="312" t="s">
        <v>68</v>
      </c>
      <c r="AM690" s="313" t="s">
        <v>69</v>
      </c>
      <c r="AN690" s="313" t="s">
        <v>70</v>
      </c>
      <c r="AO690" s="314">
        <f t="shared" si="1442"/>
        <v>0.90625</v>
      </c>
      <c r="AP690" s="315">
        <f t="shared" si="1443"/>
        <v>620</v>
      </c>
      <c r="AQ690" s="316" t="str">
        <f t="shared" si="1444"/>
        <v>LOW</v>
      </c>
    </row>
    <row r="691" ht="29.25" customHeight="1" outlineLevel="1" spans="1:43">
      <c r="A691" s="291">
        <f>COUNTIF(M687:M766,"Main Event")</f>
        <v>8</v>
      </c>
      <c r="B691" s="317">
        <v>0.750011574074074</v>
      </c>
      <c r="C691" s="293" t="str">
        <f t="shared" ref="C691:G691" si="1451">TEXT(IF($B691=0," ",$B691-C$6),"hh:mm am/pm")</f>
        <v>16:00 001/p1</v>
      </c>
      <c r="D691" s="293" t="str">
        <f t="shared" si="1451"/>
        <v>14:00 001/p1</v>
      </c>
      <c r="E691" s="293" t="str">
        <f t="shared" si="1451"/>
        <v>15:00 001/p1</v>
      </c>
      <c r="F691" s="293" t="str">
        <f t="shared" si="1451"/>
        <v>16:00 001/p1</v>
      </c>
      <c r="G691" s="293" t="str">
        <f t="shared" si="1451"/>
        <v>17:00 001/p1</v>
      </c>
      <c r="H691" s="293" t="str">
        <f t="shared" ref="H691:I691" si="1452">TEXT(IF($B691=0," ",$B691+H$6),"hh:mm am/pm")</f>
        <v>00:00 001/p1</v>
      </c>
      <c r="I691" s="293" t="str">
        <f t="shared" si="1452"/>
        <v>05:00 001/p1</v>
      </c>
      <c r="J691" s="294" t="s">
        <v>356</v>
      </c>
      <c r="K691" s="295"/>
      <c r="L691" s="466" t="s">
        <v>86</v>
      </c>
      <c r="M691" s="467" t="s">
        <v>56</v>
      </c>
      <c r="N691" s="468" t="s">
        <v>57</v>
      </c>
      <c r="O691" s="469" t="s">
        <v>74</v>
      </c>
      <c r="P691" s="470" t="s">
        <v>59</v>
      </c>
      <c r="Q691" s="471">
        <v>11700</v>
      </c>
      <c r="R691" s="472" t="s">
        <v>87</v>
      </c>
      <c r="S691" s="473"/>
      <c r="T691" s="360" t="s">
        <v>77</v>
      </c>
      <c r="U691" s="468" t="s">
        <v>78</v>
      </c>
      <c r="V691" s="468">
        <v>4</v>
      </c>
      <c r="W691" s="468">
        <v>4</v>
      </c>
      <c r="X691" s="355"/>
      <c r="Y691" s="474" t="s">
        <v>79</v>
      </c>
      <c r="Z691" s="468">
        <v>6</v>
      </c>
      <c r="AA691" s="356">
        <v>250000</v>
      </c>
      <c r="AB691" s="356" t="s">
        <v>65</v>
      </c>
      <c r="AC691" s="357">
        <v>0.1</v>
      </c>
      <c r="AD691" s="357">
        <v>0.02</v>
      </c>
      <c r="AE691" s="360" t="s">
        <v>88</v>
      </c>
      <c r="AF691" s="358">
        <v>50000</v>
      </c>
      <c r="AG691" s="359">
        <v>12</v>
      </c>
      <c r="AH691" s="359">
        <v>10</v>
      </c>
      <c r="AI691" s="359">
        <v>10</v>
      </c>
      <c r="AJ691" s="360">
        <v>15</v>
      </c>
      <c r="AK691" s="476" t="s">
        <v>67</v>
      </c>
      <c r="AL691" s="476" t="s">
        <v>68</v>
      </c>
      <c r="AM691" s="376" t="s">
        <v>69</v>
      </c>
      <c r="AN691" s="376" t="s">
        <v>70</v>
      </c>
      <c r="AO691" s="314">
        <f t="shared" si="1442"/>
        <v>0.885428240740741</v>
      </c>
      <c r="AP691" s="315">
        <f t="shared" si="1443"/>
        <v>3324</v>
      </c>
      <c r="AQ691" s="316" t="str">
        <f t="shared" si="1444"/>
        <v>MICRO</v>
      </c>
    </row>
    <row r="692" ht="29.25" customHeight="1" outlineLevel="1" spans="1:43">
      <c r="A692" s="291" t="s">
        <v>89</v>
      </c>
      <c r="B692" s="364">
        <v>0.791666666666667</v>
      </c>
      <c r="C692" s="293" t="str">
        <f t="shared" ref="C692:G692" si="1453">TEXT(IF($B692=0," ",$B692-C$6),"hh:mm am/pm")</f>
        <v>17:00 001/p1</v>
      </c>
      <c r="D692" s="293" t="str">
        <f t="shared" si="1453"/>
        <v>15:00 001/p1</v>
      </c>
      <c r="E692" s="293" t="str">
        <f t="shared" si="1453"/>
        <v>16:00 001/p1</v>
      </c>
      <c r="F692" s="293" t="str">
        <f t="shared" si="1453"/>
        <v>17:00 001/p1</v>
      </c>
      <c r="G692" s="293" t="str">
        <f t="shared" si="1453"/>
        <v>18:00 001/p1</v>
      </c>
      <c r="H692" s="293" t="str">
        <f t="shared" ref="H692:I692" si="1454">TEXT(IF($B692=0," ",$B692+H$6),"hh:mm am/pm")</f>
        <v>01:00 001/p1</v>
      </c>
      <c r="I692" s="293" t="str">
        <f t="shared" si="1454"/>
        <v>06:00 001/p1</v>
      </c>
      <c r="J692" s="318" t="s">
        <v>414</v>
      </c>
      <c r="K692" s="295"/>
      <c r="L692" s="296" t="s">
        <v>96</v>
      </c>
      <c r="M692" s="297" t="s">
        <v>56</v>
      </c>
      <c r="N692" s="298" t="s">
        <v>57</v>
      </c>
      <c r="O692" s="299" t="s">
        <v>82</v>
      </c>
      <c r="P692" s="300" t="s">
        <v>59</v>
      </c>
      <c r="Q692" s="301">
        <v>10200</v>
      </c>
      <c r="R692" s="325" t="s">
        <v>76</v>
      </c>
      <c r="S692" s="303"/>
      <c r="T692" s="304" t="s">
        <v>61</v>
      </c>
      <c r="U692" s="298" t="s">
        <v>62</v>
      </c>
      <c r="V692" s="298">
        <v>30</v>
      </c>
      <c r="W692" s="298">
        <v>30</v>
      </c>
      <c r="X692" s="305"/>
      <c r="Y692" s="306" t="s">
        <v>63</v>
      </c>
      <c r="Z692" s="303"/>
      <c r="AA692" s="307" t="s">
        <v>64</v>
      </c>
      <c r="AB692" s="307" t="s">
        <v>65</v>
      </c>
      <c r="AC692" s="308">
        <v>0.1</v>
      </c>
      <c r="AD692" s="308">
        <v>0.02</v>
      </c>
      <c r="AE692" s="304" t="s">
        <v>88</v>
      </c>
      <c r="AF692" s="309">
        <v>60000</v>
      </c>
      <c r="AG692" s="310">
        <v>15</v>
      </c>
      <c r="AH692" s="310">
        <v>12</v>
      </c>
      <c r="AI692" s="310">
        <v>12</v>
      </c>
      <c r="AJ692" s="304">
        <v>14</v>
      </c>
      <c r="AK692" s="312" t="s">
        <v>67</v>
      </c>
      <c r="AL692" s="312" t="s">
        <v>68</v>
      </c>
      <c r="AM692" s="313" t="s">
        <v>69</v>
      </c>
      <c r="AN692" s="313" t="s">
        <v>70</v>
      </c>
      <c r="AO692" s="314">
        <f t="shared" si="1442"/>
        <v>0.947916666666667</v>
      </c>
      <c r="AP692" s="315">
        <f t="shared" si="1443"/>
        <v>387</v>
      </c>
      <c r="AQ692" s="316" t="str">
        <f t="shared" si="1444"/>
        <v>MEDIUM</v>
      </c>
    </row>
    <row r="693" ht="29.25" customHeight="1" outlineLevel="1" spans="1:43">
      <c r="A693" s="361">
        <f>SUM(Q687:Q767,Q769:Q821)</f>
        <v>107517</v>
      </c>
      <c r="B693" s="317">
        <v>0.833344907407407</v>
      </c>
      <c r="C693" s="293" t="str">
        <f t="shared" ref="C693:G693" si="1455">TEXT(IF($B693=0," ",$B693-C$6),"hh:mm am/pm")</f>
        <v>18:00 001/p1</v>
      </c>
      <c r="D693" s="293" t="str">
        <f t="shared" si="1455"/>
        <v>16:00 001/p1</v>
      </c>
      <c r="E693" s="293" t="str">
        <f t="shared" si="1455"/>
        <v>17:00 001/p1</v>
      </c>
      <c r="F693" s="293" t="str">
        <f t="shared" si="1455"/>
        <v>18:00 001/p1</v>
      </c>
      <c r="G693" s="293" t="str">
        <f t="shared" si="1455"/>
        <v>19:00 001/p1</v>
      </c>
      <c r="H693" s="293" t="str">
        <f t="shared" ref="H693:I693" si="1456">TEXT(IF($B693=0," ",$B693+H$6),"hh:mm am/pm")</f>
        <v>02:00 001/p1</v>
      </c>
      <c r="I693" s="293" t="str">
        <f t="shared" si="1456"/>
        <v>07:00 001/p1</v>
      </c>
      <c r="J693" s="294" t="s">
        <v>415</v>
      </c>
      <c r="K693" s="295"/>
      <c r="L693" s="466" t="s">
        <v>99</v>
      </c>
      <c r="M693" s="467" t="s">
        <v>56</v>
      </c>
      <c r="N693" s="468" t="s">
        <v>100</v>
      </c>
      <c r="O693" s="469" t="s">
        <v>82</v>
      </c>
      <c r="P693" s="470" t="s">
        <v>101</v>
      </c>
      <c r="Q693" s="471">
        <v>5000</v>
      </c>
      <c r="R693" s="472" t="s">
        <v>60</v>
      </c>
      <c r="S693" s="473"/>
      <c r="T693" s="360" t="s">
        <v>92</v>
      </c>
      <c r="U693" s="468" t="s">
        <v>78</v>
      </c>
      <c r="V693" s="468">
        <v>50</v>
      </c>
      <c r="W693" s="468">
        <v>50</v>
      </c>
      <c r="X693" s="358">
        <v>60000</v>
      </c>
      <c r="Y693" s="474" t="s">
        <v>63</v>
      </c>
      <c r="Z693" s="473"/>
      <c r="AA693" s="356" t="s">
        <v>64</v>
      </c>
      <c r="AB693" s="356" t="s">
        <v>65</v>
      </c>
      <c r="AC693" s="357">
        <v>0.1</v>
      </c>
      <c r="AD693" s="357">
        <v>0.02</v>
      </c>
      <c r="AE693" s="360" t="s">
        <v>66</v>
      </c>
      <c r="AF693" s="358">
        <v>50000</v>
      </c>
      <c r="AG693" s="359">
        <v>12</v>
      </c>
      <c r="AH693" s="359">
        <v>10</v>
      </c>
      <c r="AI693" s="359">
        <v>10</v>
      </c>
      <c r="AJ693" s="360">
        <v>15</v>
      </c>
      <c r="AK693" s="476" t="s">
        <v>67</v>
      </c>
      <c r="AL693" s="476" t="s">
        <v>68</v>
      </c>
      <c r="AM693" s="376" t="s">
        <v>69</v>
      </c>
      <c r="AN693" s="376" t="s">
        <v>70</v>
      </c>
      <c r="AO693" s="314">
        <f t="shared" si="1442"/>
        <v>0.968761574074074</v>
      </c>
      <c r="AP693" s="315">
        <f t="shared" si="1443"/>
        <v>114</v>
      </c>
      <c r="AQ693" s="316" t="str">
        <f t="shared" si="1444"/>
        <v>MEDIUM</v>
      </c>
    </row>
    <row r="694" ht="29.25" customHeight="1" outlineLevel="1" spans="1:43">
      <c r="A694" s="361"/>
      <c r="B694" s="317">
        <v>0.875011574074074</v>
      </c>
      <c r="C694" s="293" t="str">
        <f t="shared" ref="C694:G694" si="1457">TEXT(IF($B694=0," ",$B694-C$6),"hh:mm am/pm")</f>
        <v>19:00 001/p1</v>
      </c>
      <c r="D694" s="293" t="str">
        <f t="shared" si="1457"/>
        <v>17:00 001/p1</v>
      </c>
      <c r="E694" s="293" t="str">
        <f t="shared" si="1457"/>
        <v>18:00 001/p1</v>
      </c>
      <c r="F694" s="293" t="str">
        <f t="shared" si="1457"/>
        <v>19:00 001/p1</v>
      </c>
      <c r="G694" s="293" t="str">
        <f t="shared" si="1457"/>
        <v>20:00 001/p1</v>
      </c>
      <c r="H694" s="293" t="str">
        <f t="shared" ref="H694:I694" si="1458">TEXT(IF($B694=0," ",$B694+H$6),"hh:mm am/pm")</f>
        <v>03:00 001/p1</v>
      </c>
      <c r="I694" s="293" t="str">
        <f t="shared" si="1458"/>
        <v>08:00 001/p1</v>
      </c>
      <c r="J694" s="294" t="s">
        <v>416</v>
      </c>
      <c r="K694" s="295"/>
      <c r="L694" s="296" t="s">
        <v>355</v>
      </c>
      <c r="M694" s="297" t="s">
        <v>56</v>
      </c>
      <c r="N694" s="298" t="s">
        <v>57</v>
      </c>
      <c r="O694" s="299" t="s">
        <v>74</v>
      </c>
      <c r="P694" s="300" t="s">
        <v>59</v>
      </c>
      <c r="Q694" s="301">
        <v>4000</v>
      </c>
      <c r="R694" s="302" t="s">
        <v>60</v>
      </c>
      <c r="S694" s="303"/>
      <c r="T694" s="304" t="s">
        <v>77</v>
      </c>
      <c r="U694" s="298" t="s">
        <v>78</v>
      </c>
      <c r="V694" s="298">
        <v>10</v>
      </c>
      <c r="W694" s="298">
        <v>10</v>
      </c>
      <c r="X694" s="305"/>
      <c r="Y694" s="306" t="s">
        <v>79</v>
      </c>
      <c r="Z694" s="298">
        <v>15</v>
      </c>
      <c r="AA694" s="307">
        <v>160000</v>
      </c>
      <c r="AB694" s="307" t="s">
        <v>65</v>
      </c>
      <c r="AC694" s="308">
        <v>0.1</v>
      </c>
      <c r="AD694" s="308">
        <v>0.02</v>
      </c>
      <c r="AE694" s="304" t="s">
        <v>66</v>
      </c>
      <c r="AF694" s="309">
        <v>40000</v>
      </c>
      <c r="AG694" s="310">
        <v>10</v>
      </c>
      <c r="AH694" s="310">
        <v>10</v>
      </c>
      <c r="AI694" s="310">
        <v>10</v>
      </c>
      <c r="AJ694" s="304">
        <v>14</v>
      </c>
      <c r="AK694" s="312" t="s">
        <v>67</v>
      </c>
      <c r="AL694" s="312" t="s">
        <v>68</v>
      </c>
      <c r="AM694" s="313" t="s">
        <v>69</v>
      </c>
      <c r="AN694" s="313" t="s">
        <v>70</v>
      </c>
      <c r="AO694" s="314">
        <f t="shared" si="1442"/>
        <v>0.979178240740741</v>
      </c>
      <c r="AP694" s="315">
        <f t="shared" si="1443"/>
        <v>455</v>
      </c>
      <c r="AQ694" s="316" t="str">
        <f t="shared" si="1444"/>
        <v>LOW</v>
      </c>
    </row>
    <row r="695" ht="29.25" customHeight="1" outlineLevel="1" spans="1:43">
      <c r="A695" s="362"/>
      <c r="B695" s="479"/>
      <c r="C695" s="293" t="str">
        <f t="shared" ref="C695:G695" si="1459">TEXT(IF($B695=0," ",$B695-C$6),"hh:mm am/pm")</f>
        <v> </v>
      </c>
      <c r="D695" s="293" t="str">
        <f t="shared" si="1459"/>
        <v> </v>
      </c>
      <c r="E695" s="293" t="str">
        <f t="shared" si="1459"/>
        <v> </v>
      </c>
      <c r="F695" s="293" t="str">
        <f t="shared" si="1459"/>
        <v> </v>
      </c>
      <c r="G695" s="293" t="str">
        <f t="shared" si="1459"/>
        <v> </v>
      </c>
      <c r="H695" s="293" t="str">
        <f t="shared" ref="H695:I695" si="1460">TEXT(IF($B695=0," ",$B695+H$6),"hh:mm am/pm")</f>
        <v> </v>
      </c>
      <c r="I695" s="293" t="str">
        <f t="shared" si="1460"/>
        <v> </v>
      </c>
      <c r="J695" s="295"/>
      <c r="K695" s="366"/>
      <c r="L695" s="488"/>
      <c r="M695" s="489"/>
      <c r="N695" s="490"/>
      <c r="O695" s="491"/>
      <c r="P695" s="491"/>
      <c r="Q695" s="490"/>
      <c r="R695" s="490"/>
      <c r="S695" s="488"/>
      <c r="T695" s="493"/>
      <c r="U695" s="490"/>
      <c r="V695" s="490"/>
      <c r="W695" s="490"/>
      <c r="X695" s="492"/>
      <c r="Y695" s="488"/>
      <c r="Z695" s="490"/>
      <c r="AA695" s="492"/>
      <c r="AB695" s="492"/>
      <c r="AC695" s="488"/>
      <c r="AD695" s="488"/>
      <c r="AE695" s="488"/>
      <c r="AF695" s="492"/>
      <c r="AG695" s="488"/>
      <c r="AH695" s="488"/>
      <c r="AI695" s="488"/>
      <c r="AJ695" s="488"/>
      <c r="AK695" s="495"/>
      <c r="AL695" s="495"/>
      <c r="AM695" s="495"/>
      <c r="AN695" s="495"/>
      <c r="AO695" s="314" t="str">
        <f t="shared" si="1442"/>
        <v> </v>
      </c>
      <c r="AP695" s="374">
        <f t="shared" si="1443"/>
        <v>0</v>
      </c>
      <c r="AQ695" s="316" t="str">
        <f t="shared" si="1444"/>
        <v> </v>
      </c>
    </row>
    <row r="696" ht="29.25" customHeight="1" outlineLevel="1" spans="1:43">
      <c r="A696" s="363" t="s">
        <v>410</v>
      </c>
      <c r="B696" s="292">
        <v>1.15740740740741e-5</v>
      </c>
      <c r="C696" s="293" t="e">
        <f t="shared" ref="C696:G696" si="1461">TEXT(IF($B696=0," ",$B696-C$6),"hh:mm am/pm")</f>
        <v>#VALUE!</v>
      </c>
      <c r="D696" s="293" t="e">
        <f t="shared" si="1461"/>
        <v>#VALUE!</v>
      </c>
      <c r="E696" s="293" t="e">
        <f t="shared" si="1461"/>
        <v>#VALUE!</v>
      </c>
      <c r="F696" s="293" t="e">
        <f t="shared" si="1461"/>
        <v>#VALUE!</v>
      </c>
      <c r="G696" s="293" t="e">
        <f t="shared" si="1461"/>
        <v>#VALUE!</v>
      </c>
      <c r="H696" s="293" t="str">
        <f t="shared" ref="H696:I696" si="1462">TEXT(IF($B696=0," ",$B696+H$6),"hh:mm am/pm")</f>
        <v>06:00 001/p1</v>
      </c>
      <c r="I696" s="293" t="str">
        <f t="shared" si="1462"/>
        <v>11:00 001/p1</v>
      </c>
      <c r="J696" s="318" t="s">
        <v>105</v>
      </c>
      <c r="K696" s="295"/>
      <c r="L696" s="546" t="s">
        <v>106</v>
      </c>
      <c r="M696" s="547" t="s">
        <v>71</v>
      </c>
      <c r="N696" s="548" t="s">
        <v>57</v>
      </c>
      <c r="O696" s="549" t="s">
        <v>74</v>
      </c>
      <c r="P696" s="550" t="s">
        <v>101</v>
      </c>
      <c r="Q696" s="551">
        <v>1400</v>
      </c>
      <c r="R696" s="325" t="s">
        <v>76</v>
      </c>
      <c r="S696" s="552"/>
      <c r="T696" s="553" t="s">
        <v>61</v>
      </c>
      <c r="U696" s="548" t="s">
        <v>78</v>
      </c>
      <c r="V696" s="548">
        <v>7</v>
      </c>
      <c r="W696" s="548">
        <v>7</v>
      </c>
      <c r="X696" s="554"/>
      <c r="Y696" s="555" t="s">
        <v>79</v>
      </c>
      <c r="Z696" s="552"/>
      <c r="AA696" s="556" t="s">
        <v>64</v>
      </c>
      <c r="AB696" s="556" t="s">
        <v>65</v>
      </c>
      <c r="AC696" s="557">
        <v>0.1</v>
      </c>
      <c r="AD696" s="557">
        <v>0.02</v>
      </c>
      <c r="AE696" s="553" t="s">
        <v>88</v>
      </c>
      <c r="AF696" s="558">
        <v>50000</v>
      </c>
      <c r="AG696" s="559">
        <v>7</v>
      </c>
      <c r="AH696" s="559">
        <v>6</v>
      </c>
      <c r="AI696" s="559">
        <v>6</v>
      </c>
      <c r="AJ696" s="553">
        <v>13</v>
      </c>
      <c r="AK696" s="560" t="s">
        <v>67</v>
      </c>
      <c r="AL696" s="560" t="s">
        <v>68</v>
      </c>
      <c r="AM696" s="561" t="s">
        <v>69</v>
      </c>
      <c r="AN696" s="561" t="s">
        <v>70</v>
      </c>
      <c r="AO696" s="314">
        <f t="shared" si="1442"/>
        <v>0.0666782407407407</v>
      </c>
      <c r="AP696" s="315">
        <f t="shared" si="1443"/>
        <v>228</v>
      </c>
      <c r="AQ696" s="316" t="str">
        <f t="shared" si="1444"/>
        <v>LOW</v>
      </c>
    </row>
    <row r="697" ht="29.25" customHeight="1" outlineLevel="1" spans="1:43">
      <c r="B697" s="317">
        <v>1.15740740740741e-5</v>
      </c>
      <c r="C697" s="293" t="e">
        <f t="shared" ref="C697:G697" si="1463">TEXT(IF($B697=0," ",$B697-C$6),"hh:mm am/pm")</f>
        <v>#VALUE!</v>
      </c>
      <c r="D697" s="293" t="e">
        <f t="shared" si="1463"/>
        <v>#VALUE!</v>
      </c>
      <c r="E697" s="293" t="e">
        <f t="shared" si="1463"/>
        <v>#VALUE!</v>
      </c>
      <c r="F697" s="293" t="e">
        <f t="shared" si="1463"/>
        <v>#VALUE!</v>
      </c>
      <c r="G697" s="293" t="e">
        <f t="shared" si="1463"/>
        <v>#VALUE!</v>
      </c>
      <c r="H697" s="293" t="str">
        <f t="shared" ref="H697:I697" si="1464">TEXT(IF($B697=0," ",$B697+H$6),"hh:mm am/pm")</f>
        <v>06:00 001/p1</v>
      </c>
      <c r="I697" s="293" t="str">
        <f t="shared" si="1464"/>
        <v>11:00 001/p1</v>
      </c>
      <c r="J697" s="294" t="s">
        <v>310</v>
      </c>
      <c r="K697" s="295"/>
      <c r="L697" s="319" t="s">
        <v>108</v>
      </c>
      <c r="M697" s="320" t="s">
        <v>71</v>
      </c>
      <c r="N697" s="321" t="s">
        <v>100</v>
      </c>
      <c r="O697" s="322" t="s">
        <v>109</v>
      </c>
      <c r="P697" s="323" t="s">
        <v>101</v>
      </c>
      <c r="Q697" s="324">
        <v>300</v>
      </c>
      <c r="R697" s="375" t="s">
        <v>60</v>
      </c>
      <c r="S697" s="326"/>
      <c r="T697" s="327" t="s">
        <v>61</v>
      </c>
      <c r="U697" s="321" t="s">
        <v>62</v>
      </c>
      <c r="V697" s="321">
        <v>2</v>
      </c>
      <c r="W697" s="321">
        <v>2</v>
      </c>
      <c r="X697" s="328"/>
      <c r="Y697" s="329" t="s">
        <v>63</v>
      </c>
      <c r="Z697" s="326"/>
      <c r="AA697" s="330" t="s">
        <v>64</v>
      </c>
      <c r="AB697" s="330" t="s">
        <v>65</v>
      </c>
      <c r="AC697" s="331">
        <v>0.1</v>
      </c>
      <c r="AD697" s="331">
        <v>0</v>
      </c>
      <c r="AE697" s="327" t="s">
        <v>88</v>
      </c>
      <c r="AF697" s="332">
        <v>60000</v>
      </c>
      <c r="AG697" s="333">
        <v>6</v>
      </c>
      <c r="AH697" s="333">
        <v>5</v>
      </c>
      <c r="AI697" s="333">
        <v>5</v>
      </c>
      <c r="AJ697" s="327">
        <v>12</v>
      </c>
      <c r="AK697" s="335" t="s">
        <v>67</v>
      </c>
      <c r="AL697" s="335" t="s">
        <v>68</v>
      </c>
      <c r="AM697" s="336" t="s">
        <v>69</v>
      </c>
      <c r="AN697" s="336" t="s">
        <v>70</v>
      </c>
      <c r="AO697" s="314">
        <f t="shared" si="1442"/>
        <v>0.0534837962962963</v>
      </c>
      <c r="AP697" s="315">
        <f t="shared" si="1443"/>
        <v>167</v>
      </c>
      <c r="AQ697" s="316" t="str">
        <f t="shared" si="1444"/>
        <v>MICRO</v>
      </c>
    </row>
    <row r="698" ht="29.25" customHeight="1" outlineLevel="1" spans="1:43">
      <c r="A698" s="363" t="s">
        <v>410</v>
      </c>
      <c r="B698" s="317">
        <v>0.0208449074074074</v>
      </c>
      <c r="C698" s="293" t="e">
        <f t="shared" ref="C698:G698" si="1465">TEXT(IF($B698=0," ",$B698-C$6),"hh:mm am/pm")</f>
        <v>#VALUE!</v>
      </c>
      <c r="D698" s="293" t="e">
        <f t="shared" si="1465"/>
        <v>#VALUE!</v>
      </c>
      <c r="E698" s="293" t="e">
        <f t="shared" si="1465"/>
        <v>#VALUE!</v>
      </c>
      <c r="F698" s="293" t="e">
        <f t="shared" si="1465"/>
        <v>#VALUE!</v>
      </c>
      <c r="G698" s="293" t="e">
        <f t="shared" si="1465"/>
        <v>#VALUE!</v>
      </c>
      <c r="H698" s="293" t="str">
        <f t="shared" ref="H698:I698" si="1466">TEXT(IF($B698=0," ",$B698+H$6),"hh:mm am/pm")</f>
        <v>06:30 001/p1</v>
      </c>
      <c r="I698" s="293" t="str">
        <f t="shared" si="1466"/>
        <v>11:30 001/p1</v>
      </c>
      <c r="J698" s="294" t="s">
        <v>364</v>
      </c>
      <c r="K698" s="295"/>
      <c r="L698" s="337" t="s">
        <v>259</v>
      </c>
      <c r="M698" s="338" t="s">
        <v>71</v>
      </c>
      <c r="N698" s="339" t="s">
        <v>57</v>
      </c>
      <c r="O698" s="340" t="s">
        <v>74</v>
      </c>
      <c r="P698" s="341" t="s">
        <v>75</v>
      </c>
      <c r="Q698" s="342">
        <v>600</v>
      </c>
      <c r="R698" s="343" t="s">
        <v>60</v>
      </c>
      <c r="S698" s="344"/>
      <c r="T698" s="345" t="s">
        <v>77</v>
      </c>
      <c r="U698" s="339" t="s">
        <v>78</v>
      </c>
      <c r="V698" s="339">
        <v>1.2</v>
      </c>
      <c r="W698" s="339">
        <v>1.2</v>
      </c>
      <c r="X698" s="354"/>
      <c r="Y698" s="347" t="s">
        <v>79</v>
      </c>
      <c r="Z698" s="339">
        <v>1.2</v>
      </c>
      <c r="AA698" s="348">
        <v>90000</v>
      </c>
      <c r="AB698" s="348" t="s">
        <v>65</v>
      </c>
      <c r="AC698" s="349">
        <v>0.1</v>
      </c>
      <c r="AD698" s="349">
        <v>0.02</v>
      </c>
      <c r="AE698" s="345" t="s">
        <v>66</v>
      </c>
      <c r="AF698" s="346">
        <v>30000</v>
      </c>
      <c r="AG698" s="350">
        <v>6</v>
      </c>
      <c r="AH698" s="350">
        <v>5</v>
      </c>
      <c r="AI698" s="350">
        <v>6</v>
      </c>
      <c r="AJ698" s="345">
        <v>13</v>
      </c>
      <c r="AK698" s="352" t="s">
        <v>67</v>
      </c>
      <c r="AL698" s="352" t="s">
        <v>68</v>
      </c>
      <c r="AM698" s="353" t="s">
        <v>69</v>
      </c>
      <c r="AN698" s="353" t="s">
        <v>70</v>
      </c>
      <c r="AO698" s="314">
        <f t="shared" si="1442"/>
        <v>0.0784837962962963</v>
      </c>
      <c r="AP698" s="315">
        <f t="shared" si="1443"/>
        <v>569</v>
      </c>
      <c r="AQ698" s="316" t="str">
        <f t="shared" si="1444"/>
        <v>MICRO</v>
      </c>
    </row>
    <row r="699" ht="29.25" customHeight="1" outlineLevel="1" spans="1:43">
      <c r="B699" s="317">
        <v>0.0208449074074074</v>
      </c>
      <c r="C699" s="293" t="e">
        <f t="shared" ref="C699:G699" si="1467">TEXT(IF($B699=0," ",$B699-C$6),"hh:mm am/pm")</f>
        <v>#VALUE!</v>
      </c>
      <c r="D699" s="293" t="e">
        <f t="shared" si="1467"/>
        <v>#VALUE!</v>
      </c>
      <c r="E699" s="293" t="e">
        <f t="shared" si="1467"/>
        <v>#VALUE!</v>
      </c>
      <c r="F699" s="293" t="e">
        <f t="shared" si="1467"/>
        <v>#VALUE!</v>
      </c>
      <c r="G699" s="293" t="e">
        <f t="shared" si="1467"/>
        <v>#VALUE!</v>
      </c>
      <c r="H699" s="293" t="str">
        <f t="shared" ref="H699:I699" si="1468">TEXT(IF($B699=0," ",$B699+H$6),"hh:mm am/pm")</f>
        <v>06:30 001/p1</v>
      </c>
      <c r="I699" s="293" t="str">
        <f t="shared" si="1468"/>
        <v>11:30 001/p1</v>
      </c>
      <c r="J699" s="294" t="s">
        <v>417</v>
      </c>
      <c r="K699" s="295"/>
      <c r="L699" s="319" t="s">
        <v>117</v>
      </c>
      <c r="M699" s="320" t="s">
        <v>71</v>
      </c>
      <c r="N699" s="321" t="s">
        <v>100</v>
      </c>
      <c r="O699" s="322" t="s">
        <v>74</v>
      </c>
      <c r="P699" s="323" t="s">
        <v>101</v>
      </c>
      <c r="Q699" s="324">
        <v>300</v>
      </c>
      <c r="R699" s="375" t="s">
        <v>60</v>
      </c>
      <c r="S699" s="326"/>
      <c r="T699" s="327" t="s">
        <v>61</v>
      </c>
      <c r="U699" s="321" t="s">
        <v>62</v>
      </c>
      <c r="V699" s="321">
        <v>1</v>
      </c>
      <c r="W699" s="321">
        <v>1</v>
      </c>
      <c r="X699" s="328"/>
      <c r="Y699" s="329" t="s">
        <v>79</v>
      </c>
      <c r="Z699" s="321">
        <v>1</v>
      </c>
      <c r="AA699" s="330">
        <v>70000</v>
      </c>
      <c r="AB699" s="330" t="s">
        <v>65</v>
      </c>
      <c r="AC699" s="331">
        <v>0.1</v>
      </c>
      <c r="AD699" s="331">
        <v>0.02</v>
      </c>
      <c r="AE699" s="327" t="s">
        <v>88</v>
      </c>
      <c r="AF699" s="332">
        <v>30000</v>
      </c>
      <c r="AG699" s="333">
        <v>6</v>
      </c>
      <c r="AH699" s="333">
        <v>5</v>
      </c>
      <c r="AI699" s="333">
        <v>5</v>
      </c>
      <c r="AJ699" s="327">
        <v>12</v>
      </c>
      <c r="AK699" s="335" t="s">
        <v>67</v>
      </c>
      <c r="AL699" s="335" t="s">
        <v>68</v>
      </c>
      <c r="AM699" s="336" t="s">
        <v>69</v>
      </c>
      <c r="AN699" s="336" t="s">
        <v>70</v>
      </c>
      <c r="AO699" s="314">
        <f t="shared" si="1442"/>
        <v>0.0743171296296296</v>
      </c>
      <c r="AP699" s="315">
        <f t="shared" si="1443"/>
        <v>341</v>
      </c>
      <c r="AQ699" s="316" t="str">
        <f t="shared" si="1444"/>
        <v>MICRO</v>
      </c>
    </row>
    <row r="700" ht="29.25" customHeight="1" outlineLevel="1" spans="1:43">
      <c r="B700" s="317">
        <v>0.0416782407407407</v>
      </c>
      <c r="C700" s="293" t="e">
        <f t="shared" ref="C700:G700" si="1469">TEXT(IF($B700=0," ",$B700-C$6),"hh:mm am/pm")</f>
        <v>#VALUE!</v>
      </c>
      <c r="D700" s="293" t="e">
        <f t="shared" si="1469"/>
        <v>#VALUE!</v>
      </c>
      <c r="E700" s="293" t="e">
        <f t="shared" si="1469"/>
        <v>#VALUE!</v>
      </c>
      <c r="F700" s="293" t="e">
        <f t="shared" si="1469"/>
        <v>#VALUE!</v>
      </c>
      <c r="G700" s="293" t="str">
        <f t="shared" si="1469"/>
        <v>00:00 001/p1</v>
      </c>
      <c r="H700" s="293" t="str">
        <f t="shared" ref="H700:I700" si="1470">TEXT(IF($B700=0," ",$B700+H$6),"hh:mm am/pm")</f>
        <v>07:00 001/p1</v>
      </c>
      <c r="I700" s="293" t="str">
        <f t="shared" si="1470"/>
        <v>12:00 001/p1</v>
      </c>
      <c r="J700" s="294" t="s">
        <v>376</v>
      </c>
      <c r="K700" s="295"/>
      <c r="L700" s="337" t="s">
        <v>268</v>
      </c>
      <c r="M700" s="338" t="s">
        <v>71</v>
      </c>
      <c r="N700" s="339" t="s">
        <v>100</v>
      </c>
      <c r="O700" s="340" t="s">
        <v>82</v>
      </c>
      <c r="P700" s="341" t="s">
        <v>101</v>
      </c>
      <c r="Q700" s="342">
        <v>2000</v>
      </c>
      <c r="R700" s="343" t="s">
        <v>60</v>
      </c>
      <c r="S700" s="344"/>
      <c r="T700" s="345" t="s">
        <v>92</v>
      </c>
      <c r="U700" s="339" t="s">
        <v>62</v>
      </c>
      <c r="V700" s="339">
        <v>15</v>
      </c>
      <c r="W700" s="339">
        <v>15</v>
      </c>
      <c r="X700" s="354"/>
      <c r="Y700" s="347" t="s">
        <v>63</v>
      </c>
      <c r="Z700" s="344"/>
      <c r="AA700" s="348" t="s">
        <v>64</v>
      </c>
      <c r="AB700" s="348" t="s">
        <v>65</v>
      </c>
      <c r="AC700" s="349">
        <v>0.1</v>
      </c>
      <c r="AD700" s="349">
        <v>0.02</v>
      </c>
      <c r="AE700" s="345" t="s">
        <v>66</v>
      </c>
      <c r="AF700" s="346">
        <v>50000</v>
      </c>
      <c r="AG700" s="350">
        <v>6</v>
      </c>
      <c r="AH700" s="350">
        <v>5</v>
      </c>
      <c r="AI700" s="350">
        <v>5</v>
      </c>
      <c r="AJ700" s="345">
        <v>15</v>
      </c>
      <c r="AK700" s="352" t="s">
        <v>67</v>
      </c>
      <c r="AL700" s="352" t="s">
        <v>68</v>
      </c>
      <c r="AM700" s="353" t="s">
        <v>69</v>
      </c>
      <c r="AN700" s="353" t="s">
        <v>70</v>
      </c>
      <c r="AO700" s="314">
        <f t="shared" si="1442"/>
        <v>0.107650462962963</v>
      </c>
      <c r="AP700" s="315">
        <f t="shared" si="1443"/>
        <v>152</v>
      </c>
      <c r="AQ700" s="316" t="str">
        <f t="shared" si="1444"/>
        <v>LOW</v>
      </c>
    </row>
    <row r="701" ht="29.25" customHeight="1" outlineLevel="1" spans="1:43">
      <c r="A701" s="363" t="s">
        <v>410</v>
      </c>
      <c r="B701" s="317">
        <v>0.0416782407407407</v>
      </c>
      <c r="C701" s="293" t="e">
        <f t="shared" ref="C701:G701" si="1471">TEXT(IF($B701=0," ",$B701-C$6),"hh:mm am/pm")</f>
        <v>#VALUE!</v>
      </c>
      <c r="D701" s="293" t="e">
        <f t="shared" si="1471"/>
        <v>#VALUE!</v>
      </c>
      <c r="E701" s="293" t="e">
        <f t="shared" si="1471"/>
        <v>#VALUE!</v>
      </c>
      <c r="F701" s="293" t="e">
        <f t="shared" si="1471"/>
        <v>#VALUE!</v>
      </c>
      <c r="G701" s="293" t="str">
        <f t="shared" si="1471"/>
        <v>00:00 001/p1</v>
      </c>
      <c r="H701" s="293" t="str">
        <f t="shared" ref="H701:I701" si="1472">TEXT(IF($B701=0," ",$B701+H$6),"hh:mm am/pm")</f>
        <v>07:00 001/p1</v>
      </c>
      <c r="I701" s="293" t="str">
        <f t="shared" si="1472"/>
        <v>12:00 001/p1</v>
      </c>
      <c r="J701" s="318" t="s">
        <v>365</v>
      </c>
      <c r="K701" s="295"/>
      <c r="L701" s="319" t="s">
        <v>73</v>
      </c>
      <c r="M701" s="320" t="s">
        <v>71</v>
      </c>
      <c r="N701" s="321" t="s">
        <v>57</v>
      </c>
      <c r="O701" s="322" t="s">
        <v>74</v>
      </c>
      <c r="P701" s="323" t="s">
        <v>101</v>
      </c>
      <c r="Q701" s="324">
        <v>2200</v>
      </c>
      <c r="R701" s="325" t="s">
        <v>76</v>
      </c>
      <c r="S701" s="326"/>
      <c r="T701" s="327" t="s">
        <v>115</v>
      </c>
      <c r="U701" s="321" t="s">
        <v>62</v>
      </c>
      <c r="V701" s="321">
        <v>3</v>
      </c>
      <c r="W701" s="321">
        <v>3</v>
      </c>
      <c r="X701" s="328"/>
      <c r="Y701" s="329" t="s">
        <v>79</v>
      </c>
      <c r="Z701" s="321">
        <v>3</v>
      </c>
      <c r="AA701" s="330">
        <v>160000</v>
      </c>
      <c r="AB701" s="330" t="s">
        <v>65</v>
      </c>
      <c r="AC701" s="331">
        <v>0.1</v>
      </c>
      <c r="AD701" s="331">
        <v>0.02</v>
      </c>
      <c r="AE701" s="327" t="s">
        <v>88</v>
      </c>
      <c r="AF701" s="332">
        <v>40000</v>
      </c>
      <c r="AG701" s="333">
        <v>6</v>
      </c>
      <c r="AH701" s="333">
        <v>5</v>
      </c>
      <c r="AI701" s="333">
        <v>6</v>
      </c>
      <c r="AJ701" s="327">
        <v>13</v>
      </c>
      <c r="AK701" s="335" t="s">
        <v>67</v>
      </c>
      <c r="AL701" s="335" t="s">
        <v>68</v>
      </c>
      <c r="AM701" s="336" t="s">
        <v>69</v>
      </c>
      <c r="AN701" s="336" t="s">
        <v>70</v>
      </c>
      <c r="AO701" s="314">
        <f t="shared" si="1442"/>
        <v>0.0993171296296296</v>
      </c>
      <c r="AP701" s="315">
        <f t="shared" si="1443"/>
        <v>834</v>
      </c>
      <c r="AQ701" s="316" t="str">
        <f t="shared" si="1444"/>
        <v>MICRO</v>
      </c>
    </row>
    <row r="702" ht="29.25" customHeight="1" outlineLevel="1" spans="1:43">
      <c r="B702" s="317">
        <v>0.0625115740740741</v>
      </c>
      <c r="C702" s="293" t="e">
        <f t="shared" ref="C702:G702" si="1473">TEXT(IF($B702=0," ",$B702-C$6),"hh:mm am/pm")</f>
        <v>#VALUE!</v>
      </c>
      <c r="D702" s="293" t="e">
        <f t="shared" si="1473"/>
        <v>#VALUE!</v>
      </c>
      <c r="E702" s="293" t="e">
        <f t="shared" si="1473"/>
        <v>#VALUE!</v>
      </c>
      <c r="F702" s="293" t="e">
        <f t="shared" si="1473"/>
        <v>#VALUE!</v>
      </c>
      <c r="G702" s="293" t="str">
        <f t="shared" si="1473"/>
        <v>00:30 001/p1</v>
      </c>
      <c r="H702" s="293" t="str">
        <f t="shared" ref="H702:I702" si="1474">TEXT(IF($B702=0," ",$B702+H$6),"hh:mm am/pm")</f>
        <v>07:30 001/p1</v>
      </c>
      <c r="I702" s="293" t="str">
        <f t="shared" si="1474"/>
        <v>12:30 001/p1</v>
      </c>
      <c r="J702" s="294" t="s">
        <v>418</v>
      </c>
      <c r="K702" s="295"/>
      <c r="L702" s="337" t="s">
        <v>124</v>
      </c>
      <c r="M702" s="338" t="s">
        <v>71</v>
      </c>
      <c r="N702" s="339" t="s">
        <v>100</v>
      </c>
      <c r="O702" s="340" t="s">
        <v>82</v>
      </c>
      <c r="P702" s="341" t="s">
        <v>101</v>
      </c>
      <c r="Q702" s="342">
        <v>120</v>
      </c>
      <c r="R702" s="343" t="s">
        <v>60</v>
      </c>
      <c r="S702" s="344"/>
      <c r="T702" s="345" t="s">
        <v>61</v>
      </c>
      <c r="U702" s="339" t="s">
        <v>62</v>
      </c>
      <c r="V702" s="339">
        <v>0.6</v>
      </c>
      <c r="W702" s="339">
        <v>0.6</v>
      </c>
      <c r="X702" s="354"/>
      <c r="Y702" s="347" t="s">
        <v>63</v>
      </c>
      <c r="Z702" s="344"/>
      <c r="AA702" s="348" t="s">
        <v>64</v>
      </c>
      <c r="AB702" s="348" t="s">
        <v>65</v>
      </c>
      <c r="AC702" s="349">
        <v>0.1</v>
      </c>
      <c r="AD702" s="349">
        <v>0</v>
      </c>
      <c r="AE702" s="348" t="s">
        <v>66</v>
      </c>
      <c r="AF702" s="346">
        <v>30000</v>
      </c>
      <c r="AG702" s="350">
        <v>5</v>
      </c>
      <c r="AH702" s="350">
        <v>5</v>
      </c>
      <c r="AI702" s="350">
        <v>5</v>
      </c>
      <c r="AJ702" s="345">
        <v>13</v>
      </c>
      <c r="AK702" s="352" t="s">
        <v>67</v>
      </c>
      <c r="AL702" s="352" t="s">
        <v>68</v>
      </c>
      <c r="AM702" s="353" t="s">
        <v>69</v>
      </c>
      <c r="AN702" s="353" t="s">
        <v>70</v>
      </c>
      <c r="AO702" s="314">
        <f t="shared" si="1442"/>
        <v>0.111122685185185</v>
      </c>
      <c r="AP702" s="315">
        <f t="shared" si="1443"/>
        <v>223</v>
      </c>
      <c r="AQ702" s="316" t="str">
        <f t="shared" si="1444"/>
        <v>MICRO</v>
      </c>
    </row>
    <row r="703" ht="29.25" customHeight="1" outlineLevel="1" spans="1:43">
      <c r="B703" s="317">
        <v>0.0833449074074074</v>
      </c>
      <c r="C703" s="293" t="str">
        <f t="shared" ref="C703:G703" si="1475">TEXT(IF($B703=0," ",$B703-C$6),"hh:mm am/pm")</f>
        <v>00:00 001/p1</v>
      </c>
      <c r="D703" s="293" t="e">
        <f t="shared" si="1475"/>
        <v>#VALUE!</v>
      </c>
      <c r="E703" s="293" t="e">
        <f t="shared" si="1475"/>
        <v>#VALUE!</v>
      </c>
      <c r="F703" s="293" t="str">
        <f t="shared" si="1475"/>
        <v>00:00 001/p1</v>
      </c>
      <c r="G703" s="293" t="str">
        <f t="shared" si="1475"/>
        <v>01:00 001/p1</v>
      </c>
      <c r="H703" s="293" t="str">
        <f t="shared" ref="H703:I703" si="1476">TEXT(IF($B703=0," ",$B703+H$6),"hh:mm am/pm")</f>
        <v>08:00 001/p1</v>
      </c>
      <c r="I703" s="293" t="str">
        <f t="shared" si="1476"/>
        <v>13:00 001/p1</v>
      </c>
      <c r="J703" s="294" t="s">
        <v>143</v>
      </c>
      <c r="K703" s="295"/>
      <c r="L703" s="319" t="s">
        <v>126</v>
      </c>
      <c r="M703" s="320" t="s">
        <v>71</v>
      </c>
      <c r="N703" s="321" t="s">
        <v>57</v>
      </c>
      <c r="O703" s="322" t="s">
        <v>82</v>
      </c>
      <c r="P703" s="323" t="s">
        <v>59</v>
      </c>
      <c r="Q703" s="324">
        <v>800</v>
      </c>
      <c r="R703" s="375" t="s">
        <v>60</v>
      </c>
      <c r="S703" s="326"/>
      <c r="T703" s="327" t="s">
        <v>61</v>
      </c>
      <c r="U703" s="321" t="s">
        <v>62</v>
      </c>
      <c r="V703" s="321">
        <v>7</v>
      </c>
      <c r="W703" s="321">
        <v>7</v>
      </c>
      <c r="X703" s="328"/>
      <c r="Y703" s="329" t="s">
        <v>63</v>
      </c>
      <c r="Z703" s="326"/>
      <c r="AA703" s="330" t="s">
        <v>64</v>
      </c>
      <c r="AB703" s="330" t="s">
        <v>65</v>
      </c>
      <c r="AC703" s="331">
        <v>0.1</v>
      </c>
      <c r="AD703" s="331">
        <v>0.02</v>
      </c>
      <c r="AE703" s="330" t="s">
        <v>88</v>
      </c>
      <c r="AF703" s="332">
        <v>40000</v>
      </c>
      <c r="AG703" s="333">
        <v>6</v>
      </c>
      <c r="AH703" s="333">
        <v>5</v>
      </c>
      <c r="AI703" s="333">
        <v>5</v>
      </c>
      <c r="AJ703" s="327">
        <v>13</v>
      </c>
      <c r="AK703" s="335" t="s">
        <v>67</v>
      </c>
      <c r="AL703" s="335" t="s">
        <v>68</v>
      </c>
      <c r="AM703" s="336" t="s">
        <v>69</v>
      </c>
      <c r="AN703" s="336" t="s">
        <v>70</v>
      </c>
      <c r="AO703" s="314">
        <f t="shared" si="1442"/>
        <v>0.140983796296296</v>
      </c>
      <c r="AP703" s="315">
        <f t="shared" si="1443"/>
        <v>130</v>
      </c>
      <c r="AQ703" s="316" t="str">
        <f t="shared" si="1444"/>
        <v>LOW</v>
      </c>
    </row>
    <row r="704" ht="29.25" customHeight="1" outlineLevel="1" spans="1:43">
      <c r="A704" s="363" t="s">
        <v>410</v>
      </c>
      <c r="B704" s="317">
        <v>0.104178240740741</v>
      </c>
      <c r="C704" s="293" t="str">
        <f t="shared" ref="C704:G704" si="1477">TEXT(IF($B704=0," ",$B704-C$6),"hh:mm am/pm")</f>
        <v>00:30 001/p1</v>
      </c>
      <c r="D704" s="293" t="e">
        <f t="shared" si="1477"/>
        <v>#VALUE!</v>
      </c>
      <c r="E704" s="293" t="e">
        <f t="shared" si="1477"/>
        <v>#VALUE!</v>
      </c>
      <c r="F704" s="293" t="str">
        <f t="shared" si="1477"/>
        <v>00:30 001/p1</v>
      </c>
      <c r="G704" s="293" t="str">
        <f t="shared" si="1477"/>
        <v>01:30 001/p1</v>
      </c>
      <c r="H704" s="293" t="str">
        <f t="shared" ref="H704:I704" si="1478">TEXT(IF($B704=0," ",$B704+H$6),"hh:mm am/pm")</f>
        <v>08:30 001/p1</v>
      </c>
      <c r="I704" s="293" t="str">
        <f t="shared" si="1478"/>
        <v>13:30 001/p1</v>
      </c>
      <c r="J704" s="294" t="s">
        <v>419</v>
      </c>
      <c r="K704" s="295"/>
      <c r="L704" s="337" t="s">
        <v>114</v>
      </c>
      <c r="M704" s="338" t="s">
        <v>71</v>
      </c>
      <c r="N704" s="339" t="s">
        <v>57</v>
      </c>
      <c r="O704" s="340" t="s">
        <v>74</v>
      </c>
      <c r="P704" s="341" t="s">
        <v>101</v>
      </c>
      <c r="Q704" s="342">
        <v>400</v>
      </c>
      <c r="R704" s="343" t="s">
        <v>60</v>
      </c>
      <c r="S704" s="344"/>
      <c r="T704" s="345" t="s">
        <v>115</v>
      </c>
      <c r="U704" s="339" t="s">
        <v>62</v>
      </c>
      <c r="V704" s="339">
        <v>0.6</v>
      </c>
      <c r="W704" s="339">
        <v>0.6</v>
      </c>
      <c r="X704" s="354"/>
      <c r="Y704" s="347" t="s">
        <v>79</v>
      </c>
      <c r="Z704" s="339">
        <v>0.8</v>
      </c>
      <c r="AA704" s="348">
        <v>100000</v>
      </c>
      <c r="AB704" s="348" t="s">
        <v>65</v>
      </c>
      <c r="AC704" s="349">
        <v>0.1</v>
      </c>
      <c r="AD704" s="349">
        <v>0</v>
      </c>
      <c r="AE704" s="345" t="s">
        <v>88</v>
      </c>
      <c r="AF704" s="346">
        <v>50000</v>
      </c>
      <c r="AG704" s="350">
        <v>5</v>
      </c>
      <c r="AH704" s="350">
        <v>5</v>
      </c>
      <c r="AI704" s="350">
        <v>5</v>
      </c>
      <c r="AJ704" s="345">
        <v>13</v>
      </c>
      <c r="AK704" s="352" t="s">
        <v>67</v>
      </c>
      <c r="AL704" s="352" t="s">
        <v>68</v>
      </c>
      <c r="AM704" s="353" t="s">
        <v>69</v>
      </c>
      <c r="AN704" s="353" t="s">
        <v>70</v>
      </c>
      <c r="AO704" s="314">
        <f t="shared" si="1442"/>
        <v>0.152789351851852</v>
      </c>
      <c r="AP704" s="315">
        <f t="shared" si="1443"/>
        <v>741</v>
      </c>
      <c r="AQ704" s="316" t="str">
        <f t="shared" si="1444"/>
        <v>MICRO</v>
      </c>
    </row>
    <row r="705" ht="29.25" customHeight="1" outlineLevel="1" spans="1:43">
      <c r="B705" s="317">
        <v>0.131956018518519</v>
      </c>
      <c r="C705" s="293" t="str">
        <f t="shared" ref="C705:G705" si="1479">TEXT(IF($B705=0," ",$B705-C$6),"hh:mm am/pm")</f>
        <v>01:10 001/p1</v>
      </c>
      <c r="D705" s="293" t="e">
        <f t="shared" si="1479"/>
        <v>#VALUE!</v>
      </c>
      <c r="E705" s="293" t="str">
        <f t="shared" si="1479"/>
        <v>00:10 001/p1</v>
      </c>
      <c r="F705" s="293" t="str">
        <f t="shared" si="1479"/>
        <v>01:10 001/p1</v>
      </c>
      <c r="G705" s="293" t="str">
        <f t="shared" si="1479"/>
        <v>02:10 001/p1</v>
      </c>
      <c r="H705" s="293" t="str">
        <f t="shared" ref="H705:I705" si="1480">TEXT(IF($B705=0," ",$B705+H$6),"hh:mm am/pm")</f>
        <v>09:10 001/p1</v>
      </c>
      <c r="I705" s="293" t="str">
        <f t="shared" si="1480"/>
        <v>14:10 001/p1</v>
      </c>
      <c r="J705" s="294" t="s">
        <v>164</v>
      </c>
      <c r="K705" s="295"/>
      <c r="L705" s="319" t="s">
        <v>129</v>
      </c>
      <c r="M705" s="320" t="s">
        <v>71</v>
      </c>
      <c r="N705" s="321" t="s">
        <v>100</v>
      </c>
      <c r="O705" s="322" t="s">
        <v>74</v>
      </c>
      <c r="P705" s="323" t="s">
        <v>101</v>
      </c>
      <c r="Q705" s="324">
        <v>200</v>
      </c>
      <c r="R705" s="375" t="s">
        <v>60</v>
      </c>
      <c r="S705" s="326"/>
      <c r="T705" s="327" t="s">
        <v>61</v>
      </c>
      <c r="U705" s="321" t="s">
        <v>62</v>
      </c>
      <c r="V705" s="321">
        <v>2</v>
      </c>
      <c r="W705" s="321">
        <v>2</v>
      </c>
      <c r="X705" s="328"/>
      <c r="Y705" s="329" t="s">
        <v>79</v>
      </c>
      <c r="Z705" s="321">
        <v>2</v>
      </c>
      <c r="AA705" s="330">
        <v>75000</v>
      </c>
      <c r="AB705" s="330" t="s">
        <v>65</v>
      </c>
      <c r="AC705" s="331">
        <v>0.1</v>
      </c>
      <c r="AD705" s="331">
        <v>0</v>
      </c>
      <c r="AE705" s="327" t="s">
        <v>88</v>
      </c>
      <c r="AF705" s="332">
        <v>30000</v>
      </c>
      <c r="AG705" s="333">
        <v>5</v>
      </c>
      <c r="AH705" s="333">
        <v>5</v>
      </c>
      <c r="AI705" s="333">
        <v>5</v>
      </c>
      <c r="AJ705" s="327">
        <v>12</v>
      </c>
      <c r="AK705" s="335" t="s">
        <v>67</v>
      </c>
      <c r="AL705" s="335" t="s">
        <v>68</v>
      </c>
      <c r="AM705" s="336" t="s">
        <v>69</v>
      </c>
      <c r="AN705" s="336" t="s">
        <v>70</v>
      </c>
      <c r="AO705" s="314">
        <f t="shared" si="1442"/>
        <v>0.177094907407407</v>
      </c>
      <c r="AP705" s="315">
        <f t="shared" si="1443"/>
        <v>112</v>
      </c>
      <c r="AQ705" s="316" t="str">
        <f t="shared" si="1444"/>
        <v>MICRO</v>
      </c>
    </row>
    <row r="706" ht="29.25" customHeight="1" outlineLevel="1" spans="1:43">
      <c r="B706" s="317">
        <v>0.131956018518519</v>
      </c>
      <c r="C706" s="293" t="str">
        <f t="shared" ref="C706:G706" si="1481">TEXT(IF($B706=0," ",$B706-C$6),"hh:mm am/pm")</f>
        <v>01:10 001/p1</v>
      </c>
      <c r="D706" s="293" t="e">
        <f t="shared" si="1481"/>
        <v>#VALUE!</v>
      </c>
      <c r="E706" s="293" t="str">
        <f t="shared" si="1481"/>
        <v>00:10 001/p1</v>
      </c>
      <c r="F706" s="293" t="str">
        <f t="shared" si="1481"/>
        <v>01:10 001/p1</v>
      </c>
      <c r="G706" s="293" t="str">
        <f t="shared" si="1481"/>
        <v>02:10 001/p1</v>
      </c>
      <c r="H706" s="293" t="str">
        <f t="shared" ref="H706:I706" si="1482">TEXT(IF($B706=0," ",$B706+H$6),"hh:mm am/pm")</f>
        <v>09:10 001/p1</v>
      </c>
      <c r="I706" s="293" t="str">
        <f t="shared" si="1482"/>
        <v>14:10 001/p1</v>
      </c>
      <c r="J706" s="294" t="s">
        <v>420</v>
      </c>
      <c r="K706" s="295"/>
      <c r="L706" s="337" t="s">
        <v>126</v>
      </c>
      <c r="M706" s="338" t="s">
        <v>71</v>
      </c>
      <c r="N706" s="339" t="s">
        <v>57</v>
      </c>
      <c r="O706" s="340" t="s">
        <v>82</v>
      </c>
      <c r="P706" s="341" t="s">
        <v>59</v>
      </c>
      <c r="Q706" s="342">
        <v>400</v>
      </c>
      <c r="R706" s="343" t="s">
        <v>60</v>
      </c>
      <c r="S706" s="344"/>
      <c r="T706" s="345" t="s">
        <v>61</v>
      </c>
      <c r="U706" s="339" t="s">
        <v>62</v>
      </c>
      <c r="V706" s="339">
        <v>5</v>
      </c>
      <c r="W706" s="339">
        <v>5</v>
      </c>
      <c r="X706" s="354"/>
      <c r="Y706" s="347" t="s">
        <v>63</v>
      </c>
      <c r="Z706" s="344"/>
      <c r="AA706" s="348" t="s">
        <v>64</v>
      </c>
      <c r="AB706" s="348" t="s">
        <v>65</v>
      </c>
      <c r="AC706" s="349">
        <v>0.1</v>
      </c>
      <c r="AD706" s="349">
        <v>0.02</v>
      </c>
      <c r="AE706" s="345" t="s">
        <v>88</v>
      </c>
      <c r="AF706" s="346">
        <v>30000</v>
      </c>
      <c r="AG706" s="350">
        <v>5</v>
      </c>
      <c r="AH706" s="350">
        <v>5</v>
      </c>
      <c r="AI706" s="350">
        <v>5</v>
      </c>
      <c r="AJ706" s="345">
        <v>12</v>
      </c>
      <c r="AK706" s="352" t="s">
        <v>67</v>
      </c>
      <c r="AL706" s="352" t="s">
        <v>68</v>
      </c>
      <c r="AM706" s="353" t="s">
        <v>69</v>
      </c>
      <c r="AN706" s="353" t="s">
        <v>70</v>
      </c>
      <c r="AO706" s="314">
        <f t="shared" si="1442"/>
        <v>0.177094907407407</v>
      </c>
      <c r="AP706" s="315">
        <f t="shared" si="1443"/>
        <v>91</v>
      </c>
      <c r="AQ706" s="316" t="str">
        <f t="shared" si="1444"/>
        <v>MICRO</v>
      </c>
    </row>
    <row r="707" ht="29.25" customHeight="1" outlineLevel="1" spans="1:43">
      <c r="A707" s="363" t="s">
        <v>410</v>
      </c>
      <c r="B707" s="317">
        <v>0.173622685185185</v>
      </c>
      <c r="C707" s="293" t="str">
        <f t="shared" ref="C707:G707" si="1483">TEXT(IF($B707=0," ",$B707-C$6),"hh:mm am/pm")</f>
        <v>02:10 001/p1</v>
      </c>
      <c r="D707" s="293" t="str">
        <f t="shared" si="1483"/>
        <v>00:10 001/p1</v>
      </c>
      <c r="E707" s="293" t="str">
        <f t="shared" si="1483"/>
        <v>01:10 001/p1</v>
      </c>
      <c r="F707" s="293" t="str">
        <f t="shared" si="1483"/>
        <v>02:10 001/p1</v>
      </c>
      <c r="G707" s="293" t="str">
        <f t="shared" si="1483"/>
        <v>03:10 001/p1</v>
      </c>
      <c r="H707" s="293" t="str">
        <f t="shared" ref="H707:I707" si="1484">TEXT(IF($B707=0," ",$B707+H$6),"hh:mm am/pm")</f>
        <v>10:10 001/p1</v>
      </c>
      <c r="I707" s="293" t="str">
        <f t="shared" si="1484"/>
        <v>15:10 001/p1</v>
      </c>
      <c r="J707" s="294" t="s">
        <v>421</v>
      </c>
      <c r="K707" s="295"/>
      <c r="L707" s="319" t="s">
        <v>119</v>
      </c>
      <c r="M707" s="320" t="s">
        <v>71</v>
      </c>
      <c r="N707" s="321" t="s">
        <v>57</v>
      </c>
      <c r="O707" s="322" t="s">
        <v>74</v>
      </c>
      <c r="P707" s="323" t="s">
        <v>59</v>
      </c>
      <c r="Q707" s="324">
        <v>400</v>
      </c>
      <c r="R707" s="375" t="s">
        <v>60</v>
      </c>
      <c r="S707" s="326"/>
      <c r="T707" s="327" t="s">
        <v>115</v>
      </c>
      <c r="U707" s="321" t="s">
        <v>62</v>
      </c>
      <c r="V707" s="321">
        <v>2</v>
      </c>
      <c r="W707" s="321">
        <v>2</v>
      </c>
      <c r="X707" s="328"/>
      <c r="Y707" s="329" t="s">
        <v>79</v>
      </c>
      <c r="Z707" s="321">
        <v>2</v>
      </c>
      <c r="AA707" s="330">
        <v>75000</v>
      </c>
      <c r="AB707" s="330" t="s">
        <v>65</v>
      </c>
      <c r="AC707" s="331">
        <v>0.1</v>
      </c>
      <c r="AD707" s="331">
        <v>0.02</v>
      </c>
      <c r="AE707" s="327" t="s">
        <v>88</v>
      </c>
      <c r="AF707" s="332">
        <v>30000</v>
      </c>
      <c r="AG707" s="333">
        <v>5</v>
      </c>
      <c r="AH707" s="333">
        <v>5</v>
      </c>
      <c r="AI707" s="333">
        <v>5</v>
      </c>
      <c r="AJ707" s="327">
        <v>12</v>
      </c>
      <c r="AK707" s="335" t="s">
        <v>67</v>
      </c>
      <c r="AL707" s="335" t="s">
        <v>68</v>
      </c>
      <c r="AM707" s="336" t="s">
        <v>69</v>
      </c>
      <c r="AN707" s="336" t="s">
        <v>70</v>
      </c>
      <c r="AO707" s="314">
        <f t="shared" si="1442"/>
        <v>0.218761574074074</v>
      </c>
      <c r="AP707" s="315">
        <f t="shared" si="1443"/>
        <v>228</v>
      </c>
      <c r="AQ707" s="316" t="str">
        <f t="shared" si="1444"/>
        <v>MICRO</v>
      </c>
    </row>
    <row r="708" ht="29.25" customHeight="1" outlineLevel="1" spans="1:43">
      <c r="B708" s="317">
        <v>0.208344907407407</v>
      </c>
      <c r="C708" s="293" t="str">
        <f t="shared" ref="C708:G708" si="1485">TEXT(IF($B708=0," ",$B708-C$6),"hh:mm am/pm")</f>
        <v>03:00 001/p1</v>
      </c>
      <c r="D708" s="293" t="str">
        <f t="shared" si="1485"/>
        <v>01:00 001/p1</v>
      </c>
      <c r="E708" s="293" t="str">
        <f t="shared" si="1485"/>
        <v>02:00 001/p1</v>
      </c>
      <c r="F708" s="293" t="str">
        <f t="shared" si="1485"/>
        <v>03:00 001/p1</v>
      </c>
      <c r="G708" s="293" t="str">
        <f t="shared" si="1485"/>
        <v>04:00 001/p1</v>
      </c>
      <c r="H708" s="293" t="str">
        <f t="shared" ref="H708:I708" si="1486">TEXT(IF($B708=0," ",$B708+H$6),"hh:mm am/pm")</f>
        <v>11:00 001/p1</v>
      </c>
      <c r="I708" s="293" t="str">
        <f t="shared" si="1486"/>
        <v>16:00 001/p1</v>
      </c>
      <c r="J708" s="294" t="s">
        <v>132</v>
      </c>
      <c r="K708" s="295"/>
      <c r="L708" s="337" t="s">
        <v>133</v>
      </c>
      <c r="M708" s="338" t="s">
        <v>71</v>
      </c>
      <c r="N708" s="339" t="s">
        <v>57</v>
      </c>
      <c r="O708" s="340" t="s">
        <v>58</v>
      </c>
      <c r="P708" s="341" t="s">
        <v>59</v>
      </c>
      <c r="Q708" s="342">
        <v>100</v>
      </c>
      <c r="R708" s="343" t="s">
        <v>60</v>
      </c>
      <c r="S708" s="344"/>
      <c r="T708" s="345" t="s">
        <v>61</v>
      </c>
      <c r="U708" s="339" t="s">
        <v>62</v>
      </c>
      <c r="V708" s="339">
        <v>1.6</v>
      </c>
      <c r="W708" s="339">
        <v>1.6</v>
      </c>
      <c r="X708" s="354"/>
      <c r="Y708" s="347" t="s">
        <v>63</v>
      </c>
      <c r="Z708" s="344"/>
      <c r="AA708" s="348" t="s">
        <v>64</v>
      </c>
      <c r="AB708" s="348" t="s">
        <v>65</v>
      </c>
      <c r="AC708" s="349">
        <v>0.1</v>
      </c>
      <c r="AD708" s="349">
        <v>0</v>
      </c>
      <c r="AE708" s="348" t="s">
        <v>66</v>
      </c>
      <c r="AF708" s="346">
        <v>30000</v>
      </c>
      <c r="AG708" s="350">
        <v>8</v>
      </c>
      <c r="AH708" s="350">
        <v>7</v>
      </c>
      <c r="AI708" s="350">
        <v>7</v>
      </c>
      <c r="AJ708" s="345">
        <v>13</v>
      </c>
      <c r="AK708" s="352" t="s">
        <v>67</v>
      </c>
      <c r="AL708" s="352" t="s">
        <v>68</v>
      </c>
      <c r="AM708" s="353" t="s">
        <v>69</v>
      </c>
      <c r="AN708" s="353" t="s">
        <v>70</v>
      </c>
      <c r="AO708" s="314">
        <f t="shared" si="1442"/>
        <v>0.284039351851852</v>
      </c>
      <c r="AP708" s="315">
        <f t="shared" si="1443"/>
        <v>70</v>
      </c>
      <c r="AQ708" s="316" t="str">
        <f t="shared" si="1444"/>
        <v>MICRO</v>
      </c>
    </row>
    <row r="709" ht="29.25" customHeight="1" outlineLevel="1" spans="1:43">
      <c r="B709" s="317">
        <v>0.215289351851852</v>
      </c>
      <c r="C709" s="293" t="str">
        <f t="shared" ref="C709:G709" si="1487">TEXT(IF($B709=0," ",$B709-C$6),"hh:mm am/pm")</f>
        <v>03:10 001/p1</v>
      </c>
      <c r="D709" s="293" t="str">
        <f t="shared" si="1487"/>
        <v>01:10 001/p1</v>
      </c>
      <c r="E709" s="293" t="str">
        <f t="shared" si="1487"/>
        <v>02:10 001/p1</v>
      </c>
      <c r="F709" s="293" t="str">
        <f t="shared" si="1487"/>
        <v>03:10 001/p1</v>
      </c>
      <c r="G709" s="293" t="str">
        <f t="shared" si="1487"/>
        <v>04:10 001/p1</v>
      </c>
      <c r="H709" s="293" t="str">
        <f t="shared" ref="H709:I709" si="1488">TEXT(IF($B709=0," ",$B709+H$6),"hh:mm am/pm")</f>
        <v>11:10 001/p1</v>
      </c>
      <c r="I709" s="293" t="str">
        <f t="shared" si="1488"/>
        <v>16:10 001/p1</v>
      </c>
      <c r="J709" s="294" t="s">
        <v>134</v>
      </c>
      <c r="K709" s="295"/>
      <c r="L709" s="319" t="s">
        <v>114</v>
      </c>
      <c r="M709" s="320" t="s">
        <v>71</v>
      </c>
      <c r="N709" s="321" t="s">
        <v>57</v>
      </c>
      <c r="O709" s="322" t="s">
        <v>74</v>
      </c>
      <c r="P709" s="323" t="s">
        <v>59</v>
      </c>
      <c r="Q709" s="324">
        <v>200</v>
      </c>
      <c r="R709" s="375" t="s">
        <v>60</v>
      </c>
      <c r="S709" s="326"/>
      <c r="T709" s="327" t="s">
        <v>115</v>
      </c>
      <c r="U709" s="321" t="s">
        <v>62</v>
      </c>
      <c r="V709" s="321">
        <v>2</v>
      </c>
      <c r="W709" s="321">
        <v>2</v>
      </c>
      <c r="X709" s="328"/>
      <c r="Y709" s="329" t="s">
        <v>79</v>
      </c>
      <c r="Z709" s="321">
        <v>2</v>
      </c>
      <c r="AA709" s="330">
        <v>75000</v>
      </c>
      <c r="AB709" s="330" t="s">
        <v>65</v>
      </c>
      <c r="AC709" s="331">
        <v>0.1</v>
      </c>
      <c r="AD709" s="331">
        <v>0</v>
      </c>
      <c r="AE709" s="327" t="s">
        <v>88</v>
      </c>
      <c r="AF709" s="332">
        <v>30000</v>
      </c>
      <c r="AG709" s="333">
        <v>6</v>
      </c>
      <c r="AH709" s="333">
        <v>6</v>
      </c>
      <c r="AI709" s="333">
        <v>6</v>
      </c>
      <c r="AJ709" s="327">
        <v>12</v>
      </c>
      <c r="AK709" s="335" t="s">
        <v>67</v>
      </c>
      <c r="AL709" s="335" t="s">
        <v>68</v>
      </c>
      <c r="AM709" s="336" t="s">
        <v>69</v>
      </c>
      <c r="AN709" s="336" t="s">
        <v>70</v>
      </c>
      <c r="AO709" s="314">
        <f t="shared" si="1442"/>
        <v>0.268761574074074</v>
      </c>
      <c r="AP709" s="315">
        <f t="shared" si="1443"/>
        <v>112</v>
      </c>
      <c r="AQ709" s="316" t="str">
        <f t="shared" si="1444"/>
        <v>MICRO</v>
      </c>
    </row>
    <row r="710" ht="29.25" customHeight="1" outlineLevel="1" spans="1:43">
      <c r="A710" s="363" t="s">
        <v>410</v>
      </c>
      <c r="B710" s="317">
        <v>0.229178240740741</v>
      </c>
      <c r="C710" s="293" t="str">
        <f t="shared" ref="C710:G710" si="1489">TEXT(IF($B710=0," ",$B710-C$6),"hh:mm am/pm")</f>
        <v>03:30 001/p1</v>
      </c>
      <c r="D710" s="293" t="str">
        <f t="shared" si="1489"/>
        <v>01:30 001/p1</v>
      </c>
      <c r="E710" s="293" t="str">
        <f t="shared" si="1489"/>
        <v>02:30 001/p1</v>
      </c>
      <c r="F710" s="293" t="str">
        <f t="shared" si="1489"/>
        <v>03:30 001/p1</v>
      </c>
      <c r="G710" s="293" t="str">
        <f t="shared" si="1489"/>
        <v>04:30 001/p1</v>
      </c>
      <c r="H710" s="293" t="str">
        <f t="shared" ref="H710:I710" si="1490">TEXT(IF($B710=0," ",$B710+H$6),"hh:mm am/pm")</f>
        <v>11:30 001/p1</v>
      </c>
      <c r="I710" s="293" t="str">
        <f t="shared" si="1490"/>
        <v>16:30 001/p1</v>
      </c>
      <c r="J710" s="294" t="s">
        <v>422</v>
      </c>
      <c r="K710" s="295"/>
      <c r="L710" s="337" t="s">
        <v>124</v>
      </c>
      <c r="M710" s="338" t="s">
        <v>71</v>
      </c>
      <c r="N710" s="339" t="s">
        <v>122</v>
      </c>
      <c r="O710" s="340" t="s">
        <v>82</v>
      </c>
      <c r="P710" s="341" t="s">
        <v>59</v>
      </c>
      <c r="Q710" s="342">
        <v>60</v>
      </c>
      <c r="R710" s="343" t="s">
        <v>60</v>
      </c>
      <c r="S710" s="344"/>
      <c r="T710" s="345" t="s">
        <v>61</v>
      </c>
      <c r="U710" s="339" t="s">
        <v>62</v>
      </c>
      <c r="V710" s="339">
        <v>0.6</v>
      </c>
      <c r="W710" s="339">
        <v>0.6</v>
      </c>
      <c r="X710" s="354"/>
      <c r="Y710" s="347" t="s">
        <v>63</v>
      </c>
      <c r="Z710" s="344"/>
      <c r="AA710" s="348" t="s">
        <v>64</v>
      </c>
      <c r="AB710" s="348" t="s">
        <v>65</v>
      </c>
      <c r="AC710" s="349">
        <v>0.1</v>
      </c>
      <c r="AD710" s="349">
        <v>0</v>
      </c>
      <c r="AE710" s="345" t="s">
        <v>66</v>
      </c>
      <c r="AF710" s="346">
        <v>50000</v>
      </c>
      <c r="AG710" s="350">
        <v>6</v>
      </c>
      <c r="AH710" s="350">
        <v>5</v>
      </c>
      <c r="AI710" s="350">
        <v>5</v>
      </c>
      <c r="AJ710" s="345">
        <v>15</v>
      </c>
      <c r="AK710" s="352" t="s">
        <v>67</v>
      </c>
      <c r="AL710" s="352" t="s">
        <v>68</v>
      </c>
      <c r="AM710" s="353" t="s">
        <v>69</v>
      </c>
      <c r="AN710" s="353" t="s">
        <v>70</v>
      </c>
      <c r="AO710" s="314">
        <f t="shared" si="1442"/>
        <v>0.295150462962963</v>
      </c>
      <c r="AP710" s="315">
        <f t="shared" si="1443"/>
        <v>112</v>
      </c>
      <c r="AQ710" s="316" t="str">
        <f t="shared" si="1444"/>
        <v>MICRO</v>
      </c>
    </row>
    <row r="711" ht="29.25" customHeight="1" outlineLevel="1" spans="1:43">
      <c r="B711" s="317">
        <v>0.256956018518519</v>
      </c>
      <c r="C711" s="293" t="str">
        <f t="shared" ref="C711:G711" si="1491">TEXT(IF($B711=0," ",$B711-C$6),"hh:mm am/pm")</f>
        <v>04:10 001/p1</v>
      </c>
      <c r="D711" s="293" t="str">
        <f t="shared" si="1491"/>
        <v>02:10 001/p1</v>
      </c>
      <c r="E711" s="293" t="str">
        <f t="shared" si="1491"/>
        <v>03:10 001/p1</v>
      </c>
      <c r="F711" s="293" t="str">
        <f t="shared" si="1491"/>
        <v>04:10 001/p1</v>
      </c>
      <c r="G711" s="293" t="str">
        <f t="shared" si="1491"/>
        <v>05:10 001/p1</v>
      </c>
      <c r="H711" s="293" t="str">
        <f t="shared" ref="H711:I711" si="1492">TEXT(IF($B711=0," ",$B711+H$6),"hh:mm am/pm")</f>
        <v>12:10 001/p1</v>
      </c>
      <c r="I711" s="293" t="str">
        <f t="shared" si="1492"/>
        <v>17:10 001/p1</v>
      </c>
      <c r="J711" s="537" t="s">
        <v>318</v>
      </c>
      <c r="K711" s="295"/>
      <c r="L711" s="319" t="s">
        <v>114</v>
      </c>
      <c r="M711" s="320" t="s">
        <v>71</v>
      </c>
      <c r="N711" s="321" t="s">
        <v>57</v>
      </c>
      <c r="O711" s="322" t="s">
        <v>74</v>
      </c>
      <c r="P711" s="323" t="s">
        <v>75</v>
      </c>
      <c r="Q711" s="324">
        <v>120</v>
      </c>
      <c r="R711" s="375" t="s">
        <v>60</v>
      </c>
      <c r="S711" s="326"/>
      <c r="T711" s="327" t="s">
        <v>115</v>
      </c>
      <c r="U711" s="321" t="s">
        <v>62</v>
      </c>
      <c r="V711" s="321">
        <v>1</v>
      </c>
      <c r="W711" s="321">
        <v>1</v>
      </c>
      <c r="X711" s="328"/>
      <c r="Y711" s="329" t="s">
        <v>79</v>
      </c>
      <c r="Z711" s="321">
        <v>1</v>
      </c>
      <c r="AA711" s="330">
        <v>75000</v>
      </c>
      <c r="AB711" s="330" t="s">
        <v>65</v>
      </c>
      <c r="AC711" s="331">
        <v>0.1</v>
      </c>
      <c r="AD711" s="331">
        <v>0</v>
      </c>
      <c r="AE711" s="327" t="s">
        <v>88</v>
      </c>
      <c r="AF711" s="332">
        <v>30000</v>
      </c>
      <c r="AG711" s="333">
        <v>5</v>
      </c>
      <c r="AH711" s="333">
        <v>5</v>
      </c>
      <c r="AI711" s="333">
        <v>5</v>
      </c>
      <c r="AJ711" s="327">
        <v>12</v>
      </c>
      <c r="AK711" s="335" t="s">
        <v>67</v>
      </c>
      <c r="AL711" s="335" t="s">
        <v>68</v>
      </c>
      <c r="AM711" s="336" t="s">
        <v>69</v>
      </c>
      <c r="AN711" s="336" t="s">
        <v>70</v>
      </c>
      <c r="AO711" s="314">
        <f t="shared" si="1442"/>
        <v>0.302094907407407</v>
      </c>
      <c r="AP711" s="315">
        <f t="shared" si="1443"/>
        <v>134</v>
      </c>
      <c r="AQ711" s="316" t="str">
        <f t="shared" si="1444"/>
        <v>MICRO</v>
      </c>
    </row>
    <row r="712" ht="29.25" customHeight="1" outlineLevel="1" spans="1:43">
      <c r="B712" s="317">
        <v>0.298622685185185</v>
      </c>
      <c r="C712" s="293" t="str">
        <f t="shared" ref="C712:G712" si="1493">TEXT(IF($B712=0," ",$B712-C$6),"hh:mm am/pm")</f>
        <v>05:10 001/p1</v>
      </c>
      <c r="D712" s="293" t="str">
        <f t="shared" si="1493"/>
        <v>03:10 001/p1</v>
      </c>
      <c r="E712" s="293" t="str">
        <f t="shared" si="1493"/>
        <v>04:10 001/p1</v>
      </c>
      <c r="F712" s="293" t="str">
        <f t="shared" si="1493"/>
        <v>05:10 001/p1</v>
      </c>
      <c r="G712" s="293" t="str">
        <f t="shared" si="1493"/>
        <v>06:10 001/p1</v>
      </c>
      <c r="H712" s="293" t="str">
        <f t="shared" ref="H712:I712" si="1494">TEXT(IF($B712=0," ",$B712+H$6),"hh:mm am/pm")</f>
        <v>13:10 001/p1</v>
      </c>
      <c r="I712" s="293" t="str">
        <f t="shared" si="1494"/>
        <v>18:10 001/p1</v>
      </c>
      <c r="J712" s="294" t="s">
        <v>137</v>
      </c>
      <c r="K712" s="295"/>
      <c r="L712" s="337" t="s">
        <v>129</v>
      </c>
      <c r="M712" s="338" t="s">
        <v>71</v>
      </c>
      <c r="N712" s="339" t="s">
        <v>100</v>
      </c>
      <c r="O712" s="340" t="s">
        <v>74</v>
      </c>
      <c r="P712" s="341" t="s">
        <v>101</v>
      </c>
      <c r="Q712" s="342">
        <v>100</v>
      </c>
      <c r="R712" s="343" t="s">
        <v>60</v>
      </c>
      <c r="S712" s="344"/>
      <c r="T712" s="345" t="s">
        <v>61</v>
      </c>
      <c r="U712" s="339" t="s">
        <v>62</v>
      </c>
      <c r="V712" s="339">
        <v>1</v>
      </c>
      <c r="W712" s="339">
        <v>1</v>
      </c>
      <c r="X712" s="354"/>
      <c r="Y712" s="347" t="s">
        <v>79</v>
      </c>
      <c r="Z712" s="339">
        <v>1</v>
      </c>
      <c r="AA712" s="348">
        <v>75000</v>
      </c>
      <c r="AB712" s="348" t="s">
        <v>65</v>
      </c>
      <c r="AC712" s="349">
        <v>0.1</v>
      </c>
      <c r="AD712" s="349">
        <v>0</v>
      </c>
      <c r="AE712" s="345" t="s">
        <v>88</v>
      </c>
      <c r="AF712" s="346">
        <v>30000</v>
      </c>
      <c r="AG712" s="350">
        <v>5</v>
      </c>
      <c r="AH712" s="350">
        <v>5</v>
      </c>
      <c r="AI712" s="350">
        <v>5</v>
      </c>
      <c r="AJ712" s="345">
        <v>12</v>
      </c>
      <c r="AK712" s="352" t="s">
        <v>67</v>
      </c>
      <c r="AL712" s="352" t="s">
        <v>68</v>
      </c>
      <c r="AM712" s="353" t="s">
        <v>69</v>
      </c>
      <c r="AN712" s="353" t="s">
        <v>70</v>
      </c>
      <c r="AO712" s="314">
        <f t="shared" si="1442"/>
        <v>0.343761574074074</v>
      </c>
      <c r="AP712" s="315">
        <f t="shared" si="1443"/>
        <v>112</v>
      </c>
      <c r="AQ712" s="316" t="str">
        <f t="shared" si="1444"/>
        <v>MICRO</v>
      </c>
    </row>
    <row r="713" ht="29.25" customHeight="1" outlineLevel="1" spans="1:43">
      <c r="A713" s="363" t="s">
        <v>410</v>
      </c>
      <c r="B713" s="317">
        <v>0.312511574074074</v>
      </c>
      <c r="C713" s="293" t="str">
        <f t="shared" ref="C713:G713" si="1495">TEXT(IF($B713=0," ",$B713-C$6),"hh:mm am/pm")</f>
        <v>05:30 001/p1</v>
      </c>
      <c r="D713" s="293" t="str">
        <f t="shared" si="1495"/>
        <v>03:30 001/p1</v>
      </c>
      <c r="E713" s="293" t="str">
        <f t="shared" si="1495"/>
        <v>04:30 001/p1</v>
      </c>
      <c r="F713" s="293" t="str">
        <f t="shared" si="1495"/>
        <v>05:30 001/p1</v>
      </c>
      <c r="G713" s="293" t="str">
        <f t="shared" si="1495"/>
        <v>06:30 001/p1</v>
      </c>
      <c r="H713" s="293" t="str">
        <f t="shared" ref="H713:I713" si="1496">TEXT(IF($B713=0," ",$B713+H$6),"hh:mm am/pm")</f>
        <v>13:30 001/p1</v>
      </c>
      <c r="I713" s="293" t="str">
        <f t="shared" si="1496"/>
        <v>18:30 001/p1</v>
      </c>
      <c r="J713" s="294" t="s">
        <v>239</v>
      </c>
      <c r="K713" s="295"/>
      <c r="L713" s="319" t="s">
        <v>240</v>
      </c>
      <c r="M713" s="320" t="s">
        <v>71</v>
      </c>
      <c r="N713" s="321" t="s">
        <v>57</v>
      </c>
      <c r="O713" s="322" t="s">
        <v>109</v>
      </c>
      <c r="P713" s="323" t="s">
        <v>59</v>
      </c>
      <c r="Q713" s="324">
        <v>100</v>
      </c>
      <c r="R713" s="375" t="s">
        <v>60</v>
      </c>
      <c r="S713" s="326"/>
      <c r="T713" s="327" t="s">
        <v>61</v>
      </c>
      <c r="U713" s="321" t="s">
        <v>62</v>
      </c>
      <c r="V713" s="321">
        <v>1</v>
      </c>
      <c r="W713" s="321">
        <v>1</v>
      </c>
      <c r="X713" s="328"/>
      <c r="Y713" s="329" t="s">
        <v>63</v>
      </c>
      <c r="Z713" s="326"/>
      <c r="AA713" s="330" t="s">
        <v>64</v>
      </c>
      <c r="AB713" s="330" t="s">
        <v>65</v>
      </c>
      <c r="AC713" s="331">
        <v>0.1</v>
      </c>
      <c r="AD713" s="331">
        <v>0</v>
      </c>
      <c r="AE713" s="327" t="s">
        <v>66</v>
      </c>
      <c r="AF713" s="332">
        <v>30000</v>
      </c>
      <c r="AG713" s="333">
        <v>8</v>
      </c>
      <c r="AH713" s="333">
        <v>7</v>
      </c>
      <c r="AI713" s="333">
        <v>7</v>
      </c>
      <c r="AJ713" s="327">
        <v>13</v>
      </c>
      <c r="AK713" s="335" t="s">
        <v>67</v>
      </c>
      <c r="AL713" s="335" t="s">
        <v>68</v>
      </c>
      <c r="AM713" s="336" t="s">
        <v>69</v>
      </c>
      <c r="AN713" s="336" t="s">
        <v>70</v>
      </c>
      <c r="AO713" s="314">
        <f t="shared" si="1442"/>
        <v>0.388206018518519</v>
      </c>
      <c r="AP713" s="315">
        <f t="shared" si="1443"/>
        <v>112</v>
      </c>
      <c r="AQ713" s="316" t="str">
        <f t="shared" si="1444"/>
        <v>MICRO</v>
      </c>
    </row>
    <row r="714" ht="29.25" customHeight="1" outlineLevel="1" spans="1:43">
      <c r="B714" s="317">
        <v>0.322928240740741</v>
      </c>
      <c r="C714" s="293" t="str">
        <f t="shared" ref="C714:G714" si="1497">TEXT(IF($B714=0," ",$B714-C$6),"hh:mm am/pm")</f>
        <v>05:45 001/p1</v>
      </c>
      <c r="D714" s="293" t="str">
        <f t="shared" si="1497"/>
        <v>03:45 001/p1</v>
      </c>
      <c r="E714" s="293" t="str">
        <f t="shared" si="1497"/>
        <v>04:45 001/p1</v>
      </c>
      <c r="F714" s="293" t="str">
        <f t="shared" si="1497"/>
        <v>05:45 001/p1</v>
      </c>
      <c r="G714" s="293" t="str">
        <f t="shared" si="1497"/>
        <v>06:45 001/p1</v>
      </c>
      <c r="H714" s="293" t="str">
        <f t="shared" ref="H714:I714" si="1498">TEXT(IF($B714=0," ",$B714+H$6),"hh:mm am/pm")</f>
        <v>13:45 001/p1</v>
      </c>
      <c r="I714" s="293" t="str">
        <f t="shared" si="1498"/>
        <v>18:45 001/p1</v>
      </c>
      <c r="J714" s="294" t="s">
        <v>138</v>
      </c>
      <c r="K714" s="295"/>
      <c r="L714" s="337" t="s">
        <v>139</v>
      </c>
      <c r="M714" s="338" t="s">
        <v>71</v>
      </c>
      <c r="N714" s="339" t="s">
        <v>122</v>
      </c>
      <c r="O714" s="340" t="s">
        <v>82</v>
      </c>
      <c r="P714" s="341" t="s">
        <v>101</v>
      </c>
      <c r="Q714" s="342">
        <v>300</v>
      </c>
      <c r="R714" s="343" t="s">
        <v>60</v>
      </c>
      <c r="S714" s="344"/>
      <c r="T714" s="345" t="s">
        <v>61</v>
      </c>
      <c r="U714" s="339" t="s">
        <v>62</v>
      </c>
      <c r="V714" s="339">
        <v>3</v>
      </c>
      <c r="W714" s="339">
        <v>3</v>
      </c>
      <c r="X714" s="354"/>
      <c r="Y714" s="347" t="s">
        <v>63</v>
      </c>
      <c r="Z714" s="344"/>
      <c r="AA714" s="348" t="s">
        <v>64</v>
      </c>
      <c r="AB714" s="348" t="s">
        <v>65</v>
      </c>
      <c r="AC714" s="349">
        <v>0.1</v>
      </c>
      <c r="AD714" s="349">
        <v>0.02</v>
      </c>
      <c r="AE714" s="345" t="s">
        <v>66</v>
      </c>
      <c r="AF714" s="346">
        <v>40000</v>
      </c>
      <c r="AG714" s="350">
        <v>10</v>
      </c>
      <c r="AH714" s="350">
        <v>8</v>
      </c>
      <c r="AI714" s="350">
        <v>8</v>
      </c>
      <c r="AJ714" s="345">
        <v>14</v>
      </c>
      <c r="AK714" s="352" t="s">
        <v>67</v>
      </c>
      <c r="AL714" s="352" t="s">
        <v>68</v>
      </c>
      <c r="AM714" s="353" t="s">
        <v>69</v>
      </c>
      <c r="AN714" s="353" t="s">
        <v>70</v>
      </c>
      <c r="AO714" s="314">
        <f t="shared" si="1442"/>
        <v>0.427094907407407</v>
      </c>
      <c r="AP714" s="315">
        <f t="shared" si="1443"/>
        <v>114</v>
      </c>
      <c r="AQ714" s="316" t="str">
        <f t="shared" si="1444"/>
        <v>MICRO</v>
      </c>
    </row>
    <row r="715" ht="29.25" customHeight="1" outlineLevel="1" spans="1:43">
      <c r="B715" s="317">
        <v>0.333344907407407</v>
      </c>
      <c r="C715" s="293" t="str">
        <f t="shared" ref="C715:G715" si="1499">TEXT(IF($B715=0," ",$B715-C$6),"hh:mm am/pm")</f>
        <v>06:00 001/p1</v>
      </c>
      <c r="D715" s="293" t="str">
        <f t="shared" si="1499"/>
        <v>04:00 001/p1</v>
      </c>
      <c r="E715" s="293" t="str">
        <f t="shared" si="1499"/>
        <v>05:00 001/p1</v>
      </c>
      <c r="F715" s="293" t="str">
        <f t="shared" si="1499"/>
        <v>06:00 001/p1</v>
      </c>
      <c r="G715" s="293" t="str">
        <f t="shared" si="1499"/>
        <v>07:00 001/p1</v>
      </c>
      <c r="H715" s="293" t="str">
        <f t="shared" ref="H715:I715" si="1500">TEXT(IF($B715=0," ",$B715+H$6),"hh:mm am/pm")</f>
        <v>14:00 001/p1</v>
      </c>
      <c r="I715" s="293" t="str">
        <f t="shared" si="1500"/>
        <v>19:00 001/p1</v>
      </c>
      <c r="J715" s="294" t="s">
        <v>421</v>
      </c>
      <c r="K715" s="295"/>
      <c r="L715" s="319" t="s">
        <v>119</v>
      </c>
      <c r="M715" s="320" t="s">
        <v>71</v>
      </c>
      <c r="N715" s="321" t="s">
        <v>57</v>
      </c>
      <c r="O715" s="322" t="s">
        <v>74</v>
      </c>
      <c r="P715" s="323" t="s">
        <v>75</v>
      </c>
      <c r="Q715" s="324">
        <v>400</v>
      </c>
      <c r="R715" s="375" t="s">
        <v>60</v>
      </c>
      <c r="S715" s="326"/>
      <c r="T715" s="327" t="s">
        <v>115</v>
      </c>
      <c r="U715" s="321" t="s">
        <v>62</v>
      </c>
      <c r="V715" s="321">
        <v>1</v>
      </c>
      <c r="W715" s="321">
        <v>1</v>
      </c>
      <c r="X715" s="328"/>
      <c r="Y715" s="329" t="s">
        <v>79</v>
      </c>
      <c r="Z715" s="321">
        <v>1</v>
      </c>
      <c r="AA715" s="330">
        <v>100000</v>
      </c>
      <c r="AB715" s="330" t="s">
        <v>65</v>
      </c>
      <c r="AC715" s="331">
        <v>0.1</v>
      </c>
      <c r="AD715" s="331">
        <v>0.02</v>
      </c>
      <c r="AE715" s="327" t="s">
        <v>66</v>
      </c>
      <c r="AF715" s="332">
        <v>40000</v>
      </c>
      <c r="AG715" s="333">
        <v>8</v>
      </c>
      <c r="AH715" s="333">
        <v>7</v>
      </c>
      <c r="AI715" s="333">
        <v>7</v>
      </c>
      <c r="AJ715" s="327">
        <v>15</v>
      </c>
      <c r="AK715" s="335" t="s">
        <v>67</v>
      </c>
      <c r="AL715" s="335" t="s">
        <v>68</v>
      </c>
      <c r="AM715" s="336" t="s">
        <v>69</v>
      </c>
      <c r="AN715" s="336" t="s">
        <v>70</v>
      </c>
      <c r="AO715" s="314">
        <f t="shared" si="1442"/>
        <v>0.423622685185185</v>
      </c>
      <c r="AP715" s="315">
        <f t="shared" si="1443"/>
        <v>455</v>
      </c>
      <c r="AQ715" s="316" t="str">
        <f t="shared" si="1444"/>
        <v>MICRO</v>
      </c>
    </row>
    <row r="716" ht="29.25" customHeight="1" outlineLevel="1" spans="1:43">
      <c r="A716" s="363"/>
      <c r="B716" s="317">
        <v>0.375011574074074</v>
      </c>
      <c r="C716" s="293" t="str">
        <f t="shared" ref="C716:G716" si="1501">TEXT(IF($B716=0," ",$B716-C$6),"hh:mm am/pm")</f>
        <v>07:00 001/p1</v>
      </c>
      <c r="D716" s="293" t="str">
        <f t="shared" si="1501"/>
        <v>05:00 001/p1</v>
      </c>
      <c r="E716" s="293" t="str">
        <f t="shared" si="1501"/>
        <v>06:00 001/p1</v>
      </c>
      <c r="F716" s="293" t="str">
        <f t="shared" si="1501"/>
        <v>07:00 001/p1</v>
      </c>
      <c r="G716" s="293" t="str">
        <f t="shared" si="1501"/>
        <v>08:00 001/p1</v>
      </c>
      <c r="H716" s="293" t="str">
        <f t="shared" ref="H716:I716" si="1502">TEXT(IF($B716=0," ",$B716+H$6),"hh:mm am/pm")</f>
        <v>15:00 001/p1</v>
      </c>
      <c r="I716" s="293" t="str">
        <f t="shared" si="1502"/>
        <v>20:00 001/p1</v>
      </c>
      <c r="J716" s="294" t="s">
        <v>142</v>
      </c>
      <c r="K716" s="295"/>
      <c r="L716" s="337" t="s">
        <v>133</v>
      </c>
      <c r="M716" s="338" t="s">
        <v>71</v>
      </c>
      <c r="N716" s="339" t="s">
        <v>57</v>
      </c>
      <c r="O716" s="340" t="s">
        <v>58</v>
      </c>
      <c r="P716" s="341" t="s">
        <v>59</v>
      </c>
      <c r="Q716" s="342">
        <v>150</v>
      </c>
      <c r="R716" s="343" t="s">
        <v>60</v>
      </c>
      <c r="S716" s="344"/>
      <c r="T716" s="345" t="s">
        <v>61</v>
      </c>
      <c r="U716" s="339" t="s">
        <v>62</v>
      </c>
      <c r="V716" s="339">
        <v>1.5</v>
      </c>
      <c r="W716" s="339">
        <v>1.5</v>
      </c>
      <c r="X716" s="346">
        <v>60000</v>
      </c>
      <c r="Y716" s="347" t="s">
        <v>63</v>
      </c>
      <c r="Z716" s="344"/>
      <c r="AA716" s="348" t="s">
        <v>64</v>
      </c>
      <c r="AB716" s="348" t="s">
        <v>65</v>
      </c>
      <c r="AC716" s="349">
        <v>0.1</v>
      </c>
      <c r="AD716" s="349">
        <v>0</v>
      </c>
      <c r="AE716" s="345" t="s">
        <v>66</v>
      </c>
      <c r="AF716" s="346">
        <v>50000</v>
      </c>
      <c r="AG716" s="350">
        <v>8</v>
      </c>
      <c r="AH716" s="350">
        <v>8</v>
      </c>
      <c r="AI716" s="350">
        <v>8</v>
      </c>
      <c r="AJ716" s="345">
        <v>15</v>
      </c>
      <c r="AK716" s="352" t="s">
        <v>67</v>
      </c>
      <c r="AL716" s="352" t="s">
        <v>68</v>
      </c>
      <c r="AM716" s="353" t="s">
        <v>69</v>
      </c>
      <c r="AN716" s="353" t="s">
        <v>70</v>
      </c>
      <c r="AO716" s="314">
        <f t="shared" si="1442"/>
        <v>0.465289351851852</v>
      </c>
      <c r="AP716" s="315">
        <f t="shared" si="1443"/>
        <v>112</v>
      </c>
      <c r="AQ716" s="316" t="str">
        <f t="shared" si="1444"/>
        <v>MICRO</v>
      </c>
    </row>
    <row r="717" ht="29.25" customHeight="1" outlineLevel="1" spans="1:43">
      <c r="B717" s="317">
        <v>0.375011574074074</v>
      </c>
      <c r="C717" s="293" t="str">
        <f t="shared" ref="C717:G717" si="1503">TEXT(IF($B717=0," ",$B717-C$6),"hh:mm am/pm")</f>
        <v>07:00 001/p1</v>
      </c>
      <c r="D717" s="293" t="str">
        <f t="shared" si="1503"/>
        <v>05:00 001/p1</v>
      </c>
      <c r="E717" s="293" t="str">
        <f t="shared" si="1503"/>
        <v>06:00 001/p1</v>
      </c>
      <c r="F717" s="293" t="str">
        <f t="shared" si="1503"/>
        <v>07:00 001/p1</v>
      </c>
      <c r="G717" s="293" t="str">
        <f t="shared" si="1503"/>
        <v>08:00 001/p1</v>
      </c>
      <c r="H717" s="293" t="str">
        <f t="shared" ref="H717:I717" si="1504">TEXT(IF($B717=0," ",$B717+H$6),"hh:mm am/pm")</f>
        <v>15:00 001/p1</v>
      </c>
      <c r="I717" s="293" t="str">
        <f t="shared" si="1504"/>
        <v>20:00 001/p1</v>
      </c>
      <c r="J717" s="294" t="s">
        <v>137</v>
      </c>
      <c r="K717" s="295"/>
      <c r="L717" s="319" t="s">
        <v>129</v>
      </c>
      <c r="M717" s="320" t="s">
        <v>71</v>
      </c>
      <c r="N717" s="321" t="s">
        <v>122</v>
      </c>
      <c r="O717" s="322" t="s">
        <v>74</v>
      </c>
      <c r="P717" s="323" t="s">
        <v>101</v>
      </c>
      <c r="Q717" s="324">
        <v>100</v>
      </c>
      <c r="R717" s="375" t="s">
        <v>60</v>
      </c>
      <c r="S717" s="326"/>
      <c r="T717" s="327" t="s">
        <v>61</v>
      </c>
      <c r="U717" s="321" t="s">
        <v>62</v>
      </c>
      <c r="V717" s="321">
        <v>1</v>
      </c>
      <c r="W717" s="321">
        <v>1</v>
      </c>
      <c r="X717" s="328"/>
      <c r="Y717" s="329" t="s">
        <v>79</v>
      </c>
      <c r="Z717" s="321">
        <v>1</v>
      </c>
      <c r="AA717" s="330">
        <v>75000</v>
      </c>
      <c r="AB717" s="330" t="s">
        <v>65</v>
      </c>
      <c r="AC717" s="331">
        <v>0.1</v>
      </c>
      <c r="AD717" s="331">
        <v>0</v>
      </c>
      <c r="AE717" s="327" t="s">
        <v>88</v>
      </c>
      <c r="AF717" s="332">
        <v>30000</v>
      </c>
      <c r="AG717" s="333">
        <v>6</v>
      </c>
      <c r="AH717" s="333">
        <v>6</v>
      </c>
      <c r="AI717" s="333">
        <v>6</v>
      </c>
      <c r="AJ717" s="327">
        <v>12</v>
      </c>
      <c r="AK717" s="335" t="s">
        <v>67</v>
      </c>
      <c r="AL717" s="335" t="s">
        <v>68</v>
      </c>
      <c r="AM717" s="336" t="s">
        <v>69</v>
      </c>
      <c r="AN717" s="336" t="s">
        <v>70</v>
      </c>
      <c r="AO717" s="314">
        <f t="shared" si="1442"/>
        <v>0.428483796296296</v>
      </c>
      <c r="AP717" s="315">
        <f t="shared" si="1443"/>
        <v>112</v>
      </c>
      <c r="AQ717" s="316" t="str">
        <f t="shared" si="1444"/>
        <v>MICRO</v>
      </c>
    </row>
    <row r="718" ht="29.25" customHeight="1" outlineLevel="1" spans="1:43">
      <c r="A718" s="363" t="s">
        <v>410</v>
      </c>
      <c r="B718" s="317">
        <v>0.416678240740741</v>
      </c>
      <c r="C718" s="293" t="str">
        <f t="shared" ref="C718:G718" si="1505">TEXT(IF($B718=0," ",$B718-C$6),"hh:mm am/pm")</f>
        <v>08:00 001/p1</v>
      </c>
      <c r="D718" s="293" t="str">
        <f t="shared" si="1505"/>
        <v>06:00 001/p1</v>
      </c>
      <c r="E718" s="293" t="str">
        <f t="shared" si="1505"/>
        <v>07:00 001/p1</v>
      </c>
      <c r="F718" s="293" t="str">
        <f t="shared" si="1505"/>
        <v>08:00 001/p1</v>
      </c>
      <c r="G718" s="293" t="str">
        <f t="shared" si="1505"/>
        <v>09:00 001/p1</v>
      </c>
      <c r="H718" s="293" t="str">
        <f t="shared" ref="H718:I718" si="1506">TEXT(IF($B718=0," ",$B718+H$6),"hh:mm am/pm")</f>
        <v>16:00 001/p1</v>
      </c>
      <c r="I718" s="293" t="str">
        <f t="shared" si="1506"/>
        <v>21:00 001/p1</v>
      </c>
      <c r="J718" s="537" t="s">
        <v>143</v>
      </c>
      <c r="K718" s="295"/>
      <c r="L718" s="337" t="s">
        <v>126</v>
      </c>
      <c r="M718" s="338" t="s">
        <v>71</v>
      </c>
      <c r="N718" s="339" t="s">
        <v>57</v>
      </c>
      <c r="O718" s="340" t="s">
        <v>144</v>
      </c>
      <c r="P718" s="341" t="s">
        <v>59</v>
      </c>
      <c r="Q718" s="342">
        <v>800</v>
      </c>
      <c r="R718" s="343" t="s">
        <v>60</v>
      </c>
      <c r="S718" s="344"/>
      <c r="T718" s="345" t="s">
        <v>61</v>
      </c>
      <c r="U718" s="339" t="s">
        <v>62</v>
      </c>
      <c r="V718" s="339">
        <v>6</v>
      </c>
      <c r="W718" s="339">
        <v>6</v>
      </c>
      <c r="X718" s="354"/>
      <c r="Y718" s="347" t="s">
        <v>63</v>
      </c>
      <c r="Z718" s="344"/>
      <c r="AA718" s="348" t="s">
        <v>64</v>
      </c>
      <c r="AB718" s="348" t="s">
        <v>65</v>
      </c>
      <c r="AC718" s="349">
        <v>0.1</v>
      </c>
      <c r="AD718" s="349">
        <v>0.02</v>
      </c>
      <c r="AE718" s="345" t="s">
        <v>66</v>
      </c>
      <c r="AF718" s="346">
        <v>40000</v>
      </c>
      <c r="AG718" s="350">
        <v>10</v>
      </c>
      <c r="AH718" s="350">
        <v>8</v>
      </c>
      <c r="AI718" s="350">
        <v>8</v>
      </c>
      <c r="AJ718" s="345">
        <v>14</v>
      </c>
      <c r="AK718" s="352" t="s">
        <v>67</v>
      </c>
      <c r="AL718" s="352" t="s">
        <v>68</v>
      </c>
      <c r="AM718" s="353" t="s">
        <v>69</v>
      </c>
      <c r="AN718" s="353" t="s">
        <v>70</v>
      </c>
      <c r="AO718" s="314">
        <f t="shared" si="1442"/>
        <v>0.520844907407407</v>
      </c>
      <c r="AP718" s="315">
        <f t="shared" si="1443"/>
        <v>152</v>
      </c>
      <c r="AQ718" s="316" t="str">
        <f t="shared" si="1444"/>
        <v>LOW</v>
      </c>
    </row>
    <row r="719" ht="29.25" customHeight="1" outlineLevel="1" spans="1:43">
      <c r="B719" s="317">
        <v>0.416678240740741</v>
      </c>
      <c r="C719" s="293" t="str">
        <f t="shared" ref="C719:G719" si="1507">TEXT(IF($B719=0," ",$B719-C$6),"hh:mm am/pm")</f>
        <v>08:00 001/p1</v>
      </c>
      <c r="D719" s="293" t="str">
        <f t="shared" si="1507"/>
        <v>06:00 001/p1</v>
      </c>
      <c r="E719" s="293" t="str">
        <f t="shared" si="1507"/>
        <v>07:00 001/p1</v>
      </c>
      <c r="F719" s="293" t="str">
        <f t="shared" si="1507"/>
        <v>08:00 001/p1</v>
      </c>
      <c r="G719" s="293" t="str">
        <f t="shared" si="1507"/>
        <v>09:00 001/p1</v>
      </c>
      <c r="H719" s="293" t="str">
        <f t="shared" ref="H719:I719" si="1508">TEXT(IF($B719=0," ",$B719+H$6),"hh:mm am/pm")</f>
        <v>16:00 001/p1</v>
      </c>
      <c r="I719" s="293" t="str">
        <f t="shared" si="1508"/>
        <v>21:00 001/p1</v>
      </c>
      <c r="J719" s="537" t="s">
        <v>134</v>
      </c>
      <c r="K719" s="295"/>
      <c r="L719" s="319" t="s">
        <v>114</v>
      </c>
      <c r="M719" s="320" t="s">
        <v>71</v>
      </c>
      <c r="N719" s="321" t="s">
        <v>57</v>
      </c>
      <c r="O719" s="322" t="s">
        <v>74</v>
      </c>
      <c r="P719" s="323" t="s">
        <v>75</v>
      </c>
      <c r="Q719" s="324">
        <v>200</v>
      </c>
      <c r="R719" s="375" t="s">
        <v>60</v>
      </c>
      <c r="S719" s="326"/>
      <c r="T719" s="327" t="s">
        <v>115</v>
      </c>
      <c r="U719" s="321" t="s">
        <v>62</v>
      </c>
      <c r="V719" s="321">
        <v>0.4</v>
      </c>
      <c r="W719" s="321">
        <v>0.4</v>
      </c>
      <c r="X719" s="328"/>
      <c r="Y719" s="329" t="s">
        <v>79</v>
      </c>
      <c r="Z719" s="321">
        <v>0.6</v>
      </c>
      <c r="AA719" s="330">
        <v>80000</v>
      </c>
      <c r="AB719" s="330" t="s">
        <v>65</v>
      </c>
      <c r="AC719" s="331">
        <v>0.1</v>
      </c>
      <c r="AD719" s="331">
        <v>0</v>
      </c>
      <c r="AE719" s="327" t="s">
        <v>66</v>
      </c>
      <c r="AF719" s="332">
        <v>40000</v>
      </c>
      <c r="AG719" s="333">
        <v>7</v>
      </c>
      <c r="AH719" s="333">
        <v>6</v>
      </c>
      <c r="AI719" s="333">
        <v>5</v>
      </c>
      <c r="AJ719" s="327">
        <v>15</v>
      </c>
      <c r="AK719" s="335" t="s">
        <v>67</v>
      </c>
      <c r="AL719" s="335" t="s">
        <v>68</v>
      </c>
      <c r="AM719" s="336" t="s">
        <v>69</v>
      </c>
      <c r="AN719" s="336" t="s">
        <v>70</v>
      </c>
      <c r="AO719" s="314">
        <f t="shared" si="1442"/>
        <v>0.49306712962963</v>
      </c>
      <c r="AP719" s="315">
        <f t="shared" si="1443"/>
        <v>556</v>
      </c>
      <c r="AQ719" s="316" t="str">
        <f t="shared" si="1444"/>
        <v>MICRO</v>
      </c>
    </row>
    <row r="720" ht="29.25" customHeight="1" outlineLevel="1" spans="1:43">
      <c r="B720" s="317">
        <v>0.416678240740741</v>
      </c>
      <c r="C720" s="293" t="str">
        <f t="shared" ref="C720:G720" si="1509">TEXT(IF($B720=0," ",$B720-C$6),"hh:mm am/pm")</f>
        <v>08:00 001/p1</v>
      </c>
      <c r="D720" s="293" t="str">
        <f t="shared" si="1509"/>
        <v>06:00 001/p1</v>
      </c>
      <c r="E720" s="293" t="str">
        <f t="shared" si="1509"/>
        <v>07:00 001/p1</v>
      </c>
      <c r="F720" s="293" t="str">
        <f t="shared" si="1509"/>
        <v>08:00 001/p1</v>
      </c>
      <c r="G720" s="293" t="str">
        <f t="shared" si="1509"/>
        <v>09:00 001/p1</v>
      </c>
      <c r="H720" s="293" t="str">
        <f t="shared" ref="H720:I720" si="1510">TEXT(IF($B720=0," ",$B720+H$6),"hh:mm am/pm")</f>
        <v>16:00 001/p1</v>
      </c>
      <c r="I720" s="293" t="str">
        <f t="shared" si="1510"/>
        <v>21:00 001/p1</v>
      </c>
      <c r="J720" s="537" t="s">
        <v>145</v>
      </c>
      <c r="K720" s="295"/>
      <c r="L720" s="337" t="s">
        <v>119</v>
      </c>
      <c r="M720" s="338" t="s">
        <v>71</v>
      </c>
      <c r="N720" s="339" t="s">
        <v>57</v>
      </c>
      <c r="O720" s="340" t="s">
        <v>74</v>
      </c>
      <c r="P720" s="341" t="s">
        <v>75</v>
      </c>
      <c r="Q720" s="342">
        <v>600</v>
      </c>
      <c r="R720" s="343" t="s">
        <v>60</v>
      </c>
      <c r="S720" s="344"/>
      <c r="T720" s="345" t="s">
        <v>115</v>
      </c>
      <c r="U720" s="339" t="s">
        <v>62</v>
      </c>
      <c r="V720" s="339">
        <v>1.6</v>
      </c>
      <c r="W720" s="339">
        <v>1.6</v>
      </c>
      <c r="X720" s="354"/>
      <c r="Y720" s="346" t="s">
        <v>79</v>
      </c>
      <c r="Z720" s="339">
        <v>1.6</v>
      </c>
      <c r="AA720" s="348">
        <v>160000</v>
      </c>
      <c r="AB720" s="348" t="s">
        <v>65</v>
      </c>
      <c r="AC720" s="349">
        <v>0.1</v>
      </c>
      <c r="AD720" s="349">
        <v>0.02</v>
      </c>
      <c r="AE720" s="345" t="s">
        <v>66</v>
      </c>
      <c r="AF720" s="346">
        <v>40000</v>
      </c>
      <c r="AG720" s="350">
        <v>8</v>
      </c>
      <c r="AH720" s="350">
        <v>7</v>
      </c>
      <c r="AI720" s="350">
        <v>7</v>
      </c>
      <c r="AJ720" s="345">
        <v>15</v>
      </c>
      <c r="AK720" s="352" t="s">
        <v>67</v>
      </c>
      <c r="AL720" s="352" t="s">
        <v>68</v>
      </c>
      <c r="AM720" s="353" t="s">
        <v>69</v>
      </c>
      <c r="AN720" s="353" t="s">
        <v>70</v>
      </c>
      <c r="AO720" s="314">
        <f t="shared" si="1442"/>
        <v>0.506956018518518</v>
      </c>
      <c r="AP720" s="315">
        <f t="shared" si="1443"/>
        <v>427</v>
      </c>
      <c r="AQ720" s="316" t="str">
        <f t="shared" si="1444"/>
        <v>MICRO</v>
      </c>
    </row>
    <row r="721" ht="29.25" customHeight="1" outlineLevel="1" spans="1:43">
      <c r="A721" s="363" t="s">
        <v>410</v>
      </c>
      <c r="B721" s="317">
        <v>0.437511574074074</v>
      </c>
      <c r="C721" s="293" t="str">
        <f t="shared" ref="C721:G721" si="1511">TEXT(IF($B721=0," ",$B721-C$6),"hh:mm am/pm")</f>
        <v>08:30 001/p1</v>
      </c>
      <c r="D721" s="293" t="str">
        <f t="shared" si="1511"/>
        <v>06:30 001/p1</v>
      </c>
      <c r="E721" s="293" t="str">
        <f t="shared" si="1511"/>
        <v>07:30 001/p1</v>
      </c>
      <c r="F721" s="293" t="str">
        <f t="shared" si="1511"/>
        <v>08:30 001/p1</v>
      </c>
      <c r="G721" s="293" t="str">
        <f t="shared" si="1511"/>
        <v>09:30 001/p1</v>
      </c>
      <c r="H721" s="293" t="str">
        <f t="shared" ref="H721:I721" si="1512">TEXT(IF($B721=0," ",$B721+H$6),"hh:mm am/pm")</f>
        <v>16:30 001/p1</v>
      </c>
      <c r="I721" s="293" t="str">
        <f t="shared" si="1512"/>
        <v>21:30 001/p1</v>
      </c>
      <c r="J721" s="294" t="s">
        <v>146</v>
      </c>
      <c r="K721" s="295"/>
      <c r="L721" s="319" t="s">
        <v>117</v>
      </c>
      <c r="M721" s="320" t="s">
        <v>71</v>
      </c>
      <c r="N721" s="321" t="s">
        <v>100</v>
      </c>
      <c r="O721" s="322" t="s">
        <v>74</v>
      </c>
      <c r="P721" s="323" t="s">
        <v>101</v>
      </c>
      <c r="Q721" s="324">
        <v>400</v>
      </c>
      <c r="R721" s="375" t="s">
        <v>60</v>
      </c>
      <c r="S721" s="326"/>
      <c r="T721" s="327" t="s">
        <v>61</v>
      </c>
      <c r="U721" s="321" t="s">
        <v>62</v>
      </c>
      <c r="V721" s="321">
        <v>3</v>
      </c>
      <c r="W721" s="321">
        <v>3</v>
      </c>
      <c r="X721" s="328"/>
      <c r="Y721" s="332" t="s">
        <v>79</v>
      </c>
      <c r="Z721" s="321">
        <v>3</v>
      </c>
      <c r="AA721" s="330">
        <v>80000</v>
      </c>
      <c r="AB721" s="330" t="s">
        <v>65</v>
      </c>
      <c r="AC721" s="331">
        <v>0.1</v>
      </c>
      <c r="AD721" s="331">
        <v>0.02</v>
      </c>
      <c r="AE721" s="327" t="s">
        <v>88</v>
      </c>
      <c r="AF721" s="332">
        <v>40000</v>
      </c>
      <c r="AG721" s="333">
        <v>8</v>
      </c>
      <c r="AH721" s="333">
        <v>7</v>
      </c>
      <c r="AI721" s="333">
        <v>7</v>
      </c>
      <c r="AJ721" s="327">
        <v>13</v>
      </c>
      <c r="AK721" s="335" t="s">
        <v>67</v>
      </c>
      <c r="AL721" s="335" t="s">
        <v>68</v>
      </c>
      <c r="AM721" s="336" t="s">
        <v>69</v>
      </c>
      <c r="AN721" s="336" t="s">
        <v>70</v>
      </c>
      <c r="AO721" s="314">
        <f t="shared" si="1442"/>
        <v>0.513206018518519</v>
      </c>
      <c r="AP721" s="315">
        <f t="shared" si="1443"/>
        <v>152</v>
      </c>
      <c r="AQ721" s="316" t="str">
        <f t="shared" si="1444"/>
        <v>MICRO</v>
      </c>
    </row>
    <row r="722" ht="29.25" customHeight="1" outlineLevel="1" spans="1:43">
      <c r="B722" s="317">
        <v>0.437511574074074</v>
      </c>
      <c r="C722" s="293" t="str">
        <f t="shared" ref="C722:G722" si="1513">TEXT(IF($B722=0," ",$B722-C$6),"hh:mm am/pm")</f>
        <v>08:30 001/p1</v>
      </c>
      <c r="D722" s="293" t="str">
        <f t="shared" si="1513"/>
        <v>06:30 001/p1</v>
      </c>
      <c r="E722" s="293" t="str">
        <f t="shared" si="1513"/>
        <v>07:30 001/p1</v>
      </c>
      <c r="F722" s="293" t="str">
        <f t="shared" si="1513"/>
        <v>08:30 001/p1</v>
      </c>
      <c r="G722" s="293" t="str">
        <f t="shared" si="1513"/>
        <v>09:30 001/p1</v>
      </c>
      <c r="H722" s="293" t="str">
        <f t="shared" ref="H722:I722" si="1514">TEXT(IF($B722=0," ",$B722+H$6),"hh:mm am/pm")</f>
        <v>16:30 001/p1</v>
      </c>
      <c r="I722" s="293" t="str">
        <f t="shared" si="1514"/>
        <v>21:30 001/p1</v>
      </c>
      <c r="J722" s="294" t="s">
        <v>423</v>
      </c>
      <c r="K722" s="295"/>
      <c r="L722" s="337" t="s">
        <v>240</v>
      </c>
      <c r="M722" s="338" t="s">
        <v>71</v>
      </c>
      <c r="N722" s="339" t="s">
        <v>57</v>
      </c>
      <c r="O722" s="340" t="s">
        <v>109</v>
      </c>
      <c r="P722" s="341" t="s">
        <v>59</v>
      </c>
      <c r="Q722" s="342">
        <v>60</v>
      </c>
      <c r="R722" s="343" t="s">
        <v>60</v>
      </c>
      <c r="S722" s="344"/>
      <c r="T722" s="345" t="s">
        <v>61</v>
      </c>
      <c r="U722" s="339" t="s">
        <v>62</v>
      </c>
      <c r="V722" s="339">
        <v>0.4</v>
      </c>
      <c r="W722" s="339">
        <v>0.4</v>
      </c>
      <c r="X722" s="354"/>
      <c r="Y722" s="346" t="s">
        <v>63</v>
      </c>
      <c r="Z722" s="344"/>
      <c r="AA722" s="348" t="s">
        <v>64</v>
      </c>
      <c r="AB722" s="348" t="s">
        <v>65</v>
      </c>
      <c r="AC722" s="349">
        <v>0.1</v>
      </c>
      <c r="AD722" s="349">
        <v>0</v>
      </c>
      <c r="AE722" s="345" t="s">
        <v>88</v>
      </c>
      <c r="AF722" s="346">
        <v>40000</v>
      </c>
      <c r="AG722" s="350">
        <v>7</v>
      </c>
      <c r="AH722" s="350">
        <v>6</v>
      </c>
      <c r="AI722" s="350">
        <v>6</v>
      </c>
      <c r="AJ722" s="345">
        <v>12</v>
      </c>
      <c r="AK722" s="352" t="s">
        <v>67</v>
      </c>
      <c r="AL722" s="352" t="s">
        <v>68</v>
      </c>
      <c r="AM722" s="353" t="s">
        <v>69</v>
      </c>
      <c r="AN722" s="353" t="s">
        <v>70</v>
      </c>
      <c r="AO722" s="314">
        <f t="shared" si="1442"/>
        <v>0.49931712962963</v>
      </c>
      <c r="AP722" s="315">
        <f t="shared" si="1443"/>
        <v>167</v>
      </c>
      <c r="AQ722" s="316" t="str">
        <f t="shared" si="1444"/>
        <v>MICRO</v>
      </c>
    </row>
    <row r="723" ht="29.25" customHeight="1" outlineLevel="1" spans="1:43">
      <c r="B723" s="317">
        <v>0.458344907407407</v>
      </c>
      <c r="C723" s="293" t="str">
        <f t="shared" ref="C723:G723" si="1515">TEXT(IF($B723=0," ",$B723-C$6),"hh:mm am/pm")</f>
        <v>09:00 001/p1</v>
      </c>
      <c r="D723" s="293" t="str">
        <f t="shared" si="1515"/>
        <v>07:00 001/p1</v>
      </c>
      <c r="E723" s="293" t="str">
        <f t="shared" si="1515"/>
        <v>08:00 001/p1</v>
      </c>
      <c r="F723" s="293" t="str">
        <f t="shared" si="1515"/>
        <v>09:00 001/p1</v>
      </c>
      <c r="G723" s="293" t="str">
        <f t="shared" si="1515"/>
        <v>10:00 001/p1</v>
      </c>
      <c r="H723" s="293" t="str">
        <f t="shared" ref="H723:I723" si="1516">TEXT(IF($B723=0," ",$B723+H$6),"hh:mm am/pm")</f>
        <v>17:00 001/p1</v>
      </c>
      <c r="I723" s="293" t="str">
        <f t="shared" si="1516"/>
        <v>22:00 001/p1</v>
      </c>
      <c r="J723" s="540" t="s">
        <v>147</v>
      </c>
      <c r="K723" s="295"/>
      <c r="L723" s="319" t="s">
        <v>73</v>
      </c>
      <c r="M723" s="320" t="s">
        <v>71</v>
      </c>
      <c r="N723" s="321" t="s">
        <v>57</v>
      </c>
      <c r="O723" s="322" t="s">
        <v>74</v>
      </c>
      <c r="P723" s="323" t="s">
        <v>75</v>
      </c>
      <c r="Q723" s="324">
        <v>3200</v>
      </c>
      <c r="R723" s="325" t="s">
        <v>76</v>
      </c>
      <c r="S723" s="326"/>
      <c r="T723" s="327" t="s">
        <v>115</v>
      </c>
      <c r="U723" s="321" t="s">
        <v>62</v>
      </c>
      <c r="V723" s="321">
        <v>3</v>
      </c>
      <c r="W723" s="321">
        <v>3</v>
      </c>
      <c r="X723" s="328"/>
      <c r="Y723" s="329" t="s">
        <v>79</v>
      </c>
      <c r="Z723" s="321">
        <v>4</v>
      </c>
      <c r="AA723" s="330">
        <v>160000</v>
      </c>
      <c r="AB723" s="330" t="s">
        <v>65</v>
      </c>
      <c r="AC723" s="331">
        <v>0.1</v>
      </c>
      <c r="AD723" s="331">
        <v>0.02</v>
      </c>
      <c r="AE723" s="327" t="s">
        <v>66</v>
      </c>
      <c r="AF723" s="332">
        <v>40000</v>
      </c>
      <c r="AG723" s="333">
        <v>10</v>
      </c>
      <c r="AH723" s="333">
        <v>8</v>
      </c>
      <c r="AI723" s="333">
        <v>8</v>
      </c>
      <c r="AJ723" s="327">
        <v>15</v>
      </c>
      <c r="AK723" s="335" t="s">
        <v>67</v>
      </c>
      <c r="AL723" s="335" t="s">
        <v>68</v>
      </c>
      <c r="AM723" s="336" t="s">
        <v>69</v>
      </c>
      <c r="AN723" s="336" t="s">
        <v>70</v>
      </c>
      <c r="AO723" s="314">
        <f t="shared" si="1442"/>
        <v>0.569456018518518</v>
      </c>
      <c r="AP723" s="315">
        <f t="shared" si="1443"/>
        <v>1213</v>
      </c>
      <c r="AQ723" s="316" t="str">
        <f t="shared" si="1444"/>
        <v>MICRO</v>
      </c>
    </row>
    <row r="724" ht="29.25" customHeight="1" outlineLevel="1" spans="1:43">
      <c r="A724" s="363" t="s">
        <v>410</v>
      </c>
      <c r="B724" s="317">
        <v>0.458344907407407</v>
      </c>
      <c r="C724" s="293" t="str">
        <f t="shared" ref="C724:G724" si="1517">TEXT(IF($B724=0," ",$B724-C$6),"hh:mm am/pm")</f>
        <v>09:00 001/p1</v>
      </c>
      <c r="D724" s="293" t="str">
        <f t="shared" si="1517"/>
        <v>07:00 001/p1</v>
      </c>
      <c r="E724" s="293" t="str">
        <f t="shared" si="1517"/>
        <v>08:00 001/p1</v>
      </c>
      <c r="F724" s="293" t="str">
        <f t="shared" si="1517"/>
        <v>09:00 001/p1</v>
      </c>
      <c r="G724" s="293" t="str">
        <f t="shared" si="1517"/>
        <v>10:00 001/p1</v>
      </c>
      <c r="H724" s="293" t="str">
        <f t="shared" ref="H724:I724" si="1518">TEXT(IF($B724=0," ",$B724+H$6),"hh:mm am/pm")</f>
        <v>17:00 001/p1</v>
      </c>
      <c r="I724" s="293" t="str">
        <f t="shared" si="1518"/>
        <v>22:00 001/p1</v>
      </c>
      <c r="J724" s="537" t="s">
        <v>148</v>
      </c>
      <c r="K724" s="295"/>
      <c r="L724" s="337" t="s">
        <v>129</v>
      </c>
      <c r="M724" s="338" t="s">
        <v>71</v>
      </c>
      <c r="N724" s="339" t="s">
        <v>122</v>
      </c>
      <c r="O724" s="340" t="s">
        <v>74</v>
      </c>
      <c r="P724" s="341" t="s">
        <v>101</v>
      </c>
      <c r="Q724" s="342">
        <v>120</v>
      </c>
      <c r="R724" s="343" t="s">
        <v>60</v>
      </c>
      <c r="S724" s="344"/>
      <c r="T724" s="345" t="s">
        <v>61</v>
      </c>
      <c r="U724" s="339" t="s">
        <v>62</v>
      </c>
      <c r="V724" s="339">
        <v>0.8</v>
      </c>
      <c r="W724" s="339">
        <v>0.8</v>
      </c>
      <c r="X724" s="354"/>
      <c r="Y724" s="347" t="s">
        <v>79</v>
      </c>
      <c r="Z724" s="339">
        <v>0.8</v>
      </c>
      <c r="AA724" s="348">
        <v>80000</v>
      </c>
      <c r="AB724" s="348" t="s">
        <v>65</v>
      </c>
      <c r="AC724" s="349">
        <v>0.1</v>
      </c>
      <c r="AD724" s="349">
        <v>0</v>
      </c>
      <c r="AE724" s="345" t="s">
        <v>88</v>
      </c>
      <c r="AF724" s="346">
        <v>40000</v>
      </c>
      <c r="AG724" s="350">
        <v>8</v>
      </c>
      <c r="AH724" s="350">
        <v>7</v>
      </c>
      <c r="AI724" s="350">
        <v>7</v>
      </c>
      <c r="AJ724" s="345">
        <v>12</v>
      </c>
      <c r="AK724" s="352" t="s">
        <v>67</v>
      </c>
      <c r="AL724" s="352" t="s">
        <v>68</v>
      </c>
      <c r="AM724" s="353" t="s">
        <v>69</v>
      </c>
      <c r="AN724" s="353" t="s">
        <v>70</v>
      </c>
      <c r="AO724" s="314">
        <f t="shared" si="1442"/>
        <v>0.528483796296296</v>
      </c>
      <c r="AP724" s="315">
        <f t="shared" si="1443"/>
        <v>167</v>
      </c>
      <c r="AQ724" s="316" t="str">
        <f t="shared" si="1444"/>
        <v>MICRO</v>
      </c>
    </row>
    <row r="725" ht="29.25" customHeight="1" outlineLevel="1" spans="1:43">
      <c r="B725" s="317">
        <v>0.458344907407407</v>
      </c>
      <c r="C725" s="293" t="str">
        <f t="shared" ref="C725:G725" si="1519">TEXT(IF($B725=0," ",$B725-C$6),"hh:mm am/pm")</f>
        <v>09:00 001/p1</v>
      </c>
      <c r="D725" s="293" t="str">
        <f t="shared" si="1519"/>
        <v>07:00 001/p1</v>
      </c>
      <c r="E725" s="293" t="str">
        <f t="shared" si="1519"/>
        <v>08:00 001/p1</v>
      </c>
      <c r="F725" s="293" t="str">
        <f t="shared" si="1519"/>
        <v>09:00 001/p1</v>
      </c>
      <c r="G725" s="293" t="str">
        <f t="shared" si="1519"/>
        <v>10:00 001/p1</v>
      </c>
      <c r="H725" s="293" t="str">
        <f t="shared" ref="H725:I725" si="1520">TEXT(IF($B725=0," ",$B725+H$6),"hh:mm am/pm")</f>
        <v>17:00 001/p1</v>
      </c>
      <c r="I725" s="293" t="str">
        <f t="shared" si="1520"/>
        <v>22:00 001/p1</v>
      </c>
      <c r="J725" s="537" t="s">
        <v>149</v>
      </c>
      <c r="K725" s="295"/>
      <c r="L725" s="319" t="s">
        <v>149</v>
      </c>
      <c r="M725" s="320" t="s">
        <v>71</v>
      </c>
      <c r="N725" s="321" t="s">
        <v>57</v>
      </c>
      <c r="O725" s="322" t="s">
        <v>74</v>
      </c>
      <c r="P725" s="323" t="s">
        <v>75</v>
      </c>
      <c r="Q725" s="324">
        <v>30</v>
      </c>
      <c r="R725" s="375" t="s">
        <v>60</v>
      </c>
      <c r="S725" s="326"/>
      <c r="T725" s="327" t="s">
        <v>61</v>
      </c>
      <c r="U725" s="321" t="s">
        <v>62</v>
      </c>
      <c r="V725" s="321">
        <v>0.6</v>
      </c>
      <c r="W725" s="321">
        <v>0.6</v>
      </c>
      <c r="X725" s="328"/>
      <c r="Y725" s="329" t="s">
        <v>63</v>
      </c>
      <c r="Z725" s="321">
        <v>0.6</v>
      </c>
      <c r="AA725" s="330">
        <v>30000</v>
      </c>
      <c r="AB725" s="330" t="s">
        <v>65</v>
      </c>
      <c r="AC725" s="331">
        <v>0.1</v>
      </c>
      <c r="AD725" s="331">
        <v>0</v>
      </c>
      <c r="AE725" s="327" t="s">
        <v>112</v>
      </c>
      <c r="AF725" s="332">
        <v>20000</v>
      </c>
      <c r="AG725" s="333">
        <v>5</v>
      </c>
      <c r="AH725" s="333">
        <v>5</v>
      </c>
      <c r="AI725" s="333">
        <v>5</v>
      </c>
      <c r="AJ725" s="327">
        <v>15</v>
      </c>
      <c r="AK725" s="335" t="s">
        <v>150</v>
      </c>
      <c r="AL725" s="335" t="s">
        <v>68</v>
      </c>
      <c r="AM725" s="336" t="s">
        <v>69</v>
      </c>
      <c r="AN725" s="336" t="s">
        <v>70</v>
      </c>
      <c r="AO725" s="314">
        <f t="shared" si="1442"/>
        <v>0.513900462962963</v>
      </c>
      <c r="AP725" s="315">
        <f t="shared" si="1443"/>
        <v>56</v>
      </c>
      <c r="AQ725" s="316" t="str">
        <f t="shared" si="1444"/>
        <v>MICRO</v>
      </c>
    </row>
    <row r="726" ht="29.25" customHeight="1" outlineLevel="1" spans="1:43">
      <c r="B726" s="317">
        <v>0.500011574074074</v>
      </c>
      <c r="C726" s="293" t="str">
        <f t="shared" ref="C726:G726" si="1521">TEXT(IF($B726=0," ",$B726-C$6),"hh:mm am/pm")</f>
        <v>10:00 001/p1</v>
      </c>
      <c r="D726" s="293" t="str">
        <f t="shared" si="1521"/>
        <v>08:00 001/p1</v>
      </c>
      <c r="E726" s="293" t="str">
        <f t="shared" si="1521"/>
        <v>09:00 001/p1</v>
      </c>
      <c r="F726" s="293" t="str">
        <f t="shared" si="1521"/>
        <v>10:00 001/p1</v>
      </c>
      <c r="G726" s="293" t="str">
        <f t="shared" si="1521"/>
        <v>11:00 001/p1</v>
      </c>
      <c r="H726" s="293" t="str">
        <f t="shared" ref="H726:I726" si="1522">TEXT(IF($B726=0," ",$B726+H$6),"hh:mm am/pm")</f>
        <v>18:00 001/p1</v>
      </c>
      <c r="I726" s="293" t="str">
        <f t="shared" si="1522"/>
        <v>23:00 001/p1</v>
      </c>
      <c r="J726" s="537" t="s">
        <v>151</v>
      </c>
      <c r="K726" s="295"/>
      <c r="L726" s="337" t="s">
        <v>152</v>
      </c>
      <c r="M726" s="338" t="s">
        <v>71</v>
      </c>
      <c r="N726" s="339" t="s">
        <v>57</v>
      </c>
      <c r="O726" s="340" t="s">
        <v>104</v>
      </c>
      <c r="P726" s="341" t="s">
        <v>75</v>
      </c>
      <c r="Q726" s="342">
        <v>600</v>
      </c>
      <c r="R726" s="343" t="s">
        <v>60</v>
      </c>
      <c r="S726" s="344"/>
      <c r="T726" s="345" t="s">
        <v>61</v>
      </c>
      <c r="U726" s="339" t="s">
        <v>62</v>
      </c>
      <c r="V726" s="339">
        <v>2</v>
      </c>
      <c r="W726" s="339">
        <v>2</v>
      </c>
      <c r="X726" s="354"/>
      <c r="Y726" s="347" t="s">
        <v>63</v>
      </c>
      <c r="Z726" s="344"/>
      <c r="AA726" s="348" t="s">
        <v>64</v>
      </c>
      <c r="AB726" s="348" t="s">
        <v>65</v>
      </c>
      <c r="AC726" s="349">
        <v>0.1</v>
      </c>
      <c r="AD726" s="349">
        <v>0.02</v>
      </c>
      <c r="AE726" s="345" t="s">
        <v>88</v>
      </c>
      <c r="AF726" s="346">
        <v>60000</v>
      </c>
      <c r="AG726" s="350">
        <v>10</v>
      </c>
      <c r="AH726" s="350">
        <v>8</v>
      </c>
      <c r="AI726" s="350">
        <v>8</v>
      </c>
      <c r="AJ726" s="345">
        <v>14</v>
      </c>
      <c r="AK726" s="352" t="s">
        <v>67</v>
      </c>
      <c r="AL726" s="352" t="s">
        <v>68</v>
      </c>
      <c r="AM726" s="353" t="s">
        <v>69</v>
      </c>
      <c r="AN726" s="353" t="s">
        <v>70</v>
      </c>
      <c r="AO726" s="314">
        <f t="shared" si="1442"/>
        <v>0.604178240740741</v>
      </c>
      <c r="AP726" s="315">
        <f t="shared" si="1443"/>
        <v>341</v>
      </c>
      <c r="AQ726" s="316" t="str">
        <f t="shared" si="1444"/>
        <v>MICRO</v>
      </c>
    </row>
    <row r="727" ht="29.25" customHeight="1" outlineLevel="1" spans="1:43">
      <c r="A727" s="363" t="s">
        <v>410</v>
      </c>
      <c r="B727" s="317">
        <v>0.500011574074074</v>
      </c>
      <c r="C727" s="293" t="str">
        <f t="shared" ref="C727:G727" si="1523">TEXT(IF($B727=0," ",$B727-C$6),"hh:mm am/pm")</f>
        <v>10:00 001/p1</v>
      </c>
      <c r="D727" s="293" t="str">
        <f t="shared" si="1523"/>
        <v>08:00 001/p1</v>
      </c>
      <c r="E727" s="293" t="str">
        <f t="shared" si="1523"/>
        <v>09:00 001/p1</v>
      </c>
      <c r="F727" s="293" t="str">
        <f t="shared" si="1523"/>
        <v>10:00 001/p1</v>
      </c>
      <c r="G727" s="293" t="str">
        <f t="shared" si="1523"/>
        <v>11:00 001/p1</v>
      </c>
      <c r="H727" s="293" t="str">
        <f t="shared" ref="H727:I727" si="1524">TEXT(IF($B727=0," ",$B727+H$6),"hh:mm am/pm")</f>
        <v>18:00 001/p1</v>
      </c>
      <c r="I727" s="293" t="str">
        <f t="shared" si="1524"/>
        <v>23:00 001/p1</v>
      </c>
      <c r="J727" s="540" t="s">
        <v>314</v>
      </c>
      <c r="K727" s="295"/>
      <c r="L727" s="319" t="s">
        <v>315</v>
      </c>
      <c r="M727" s="320" t="s">
        <v>71</v>
      </c>
      <c r="N727" s="321" t="s">
        <v>57</v>
      </c>
      <c r="O727" s="322" t="s">
        <v>74</v>
      </c>
      <c r="P727" s="323" t="s">
        <v>75</v>
      </c>
      <c r="Q727" s="324">
        <v>330</v>
      </c>
      <c r="R727" s="377" t="s">
        <v>181</v>
      </c>
      <c r="S727" s="326"/>
      <c r="T727" s="327" t="s">
        <v>115</v>
      </c>
      <c r="U727" s="321" t="s">
        <v>62</v>
      </c>
      <c r="V727" s="321">
        <v>0.6</v>
      </c>
      <c r="W727" s="321">
        <v>0.6</v>
      </c>
      <c r="X727" s="328"/>
      <c r="Y727" s="329" t="s">
        <v>79</v>
      </c>
      <c r="Z727" s="321">
        <v>0.6</v>
      </c>
      <c r="AA727" s="330">
        <v>100000</v>
      </c>
      <c r="AB727" s="330" t="s">
        <v>65</v>
      </c>
      <c r="AC727" s="331">
        <v>0.1</v>
      </c>
      <c r="AD727" s="331">
        <v>0</v>
      </c>
      <c r="AE727" s="327" t="s">
        <v>66</v>
      </c>
      <c r="AF727" s="332">
        <v>40000</v>
      </c>
      <c r="AG727" s="333">
        <v>7</v>
      </c>
      <c r="AH727" s="333">
        <v>6</v>
      </c>
      <c r="AI727" s="333">
        <v>7</v>
      </c>
      <c r="AJ727" s="327">
        <v>15</v>
      </c>
      <c r="AK727" s="335" t="s">
        <v>67</v>
      </c>
      <c r="AL727" s="335" t="s">
        <v>68</v>
      </c>
      <c r="AM727" s="336" t="s">
        <v>69</v>
      </c>
      <c r="AN727" s="336" t="s">
        <v>70</v>
      </c>
      <c r="AO727" s="314">
        <f t="shared" si="1442"/>
        <v>0.576400462962963</v>
      </c>
      <c r="AP727" s="315">
        <f t="shared" si="1443"/>
        <v>612</v>
      </c>
      <c r="AQ727" s="316" t="str">
        <f t="shared" si="1444"/>
        <v>MICRO</v>
      </c>
    </row>
    <row r="728" ht="29.25" customHeight="1" outlineLevel="1" spans="1:43">
      <c r="B728" s="317">
        <v>0.500011574074074</v>
      </c>
      <c r="C728" s="293" t="str">
        <f t="shared" ref="C728:G728" si="1525">TEXT(IF($B728=0," ",$B728-C$6),"hh:mm am/pm")</f>
        <v>10:00 001/p1</v>
      </c>
      <c r="D728" s="293" t="str">
        <f t="shared" si="1525"/>
        <v>08:00 001/p1</v>
      </c>
      <c r="E728" s="293" t="str">
        <f t="shared" si="1525"/>
        <v>09:00 001/p1</v>
      </c>
      <c r="F728" s="293" t="str">
        <f t="shared" si="1525"/>
        <v>10:00 001/p1</v>
      </c>
      <c r="G728" s="293" t="str">
        <f t="shared" si="1525"/>
        <v>11:00 001/p1</v>
      </c>
      <c r="H728" s="293" t="str">
        <f t="shared" ref="H728:I728" si="1526">TEXT(IF($B728=0," ",$B728+H$6),"hh:mm am/pm")</f>
        <v>18:00 001/p1</v>
      </c>
      <c r="I728" s="293" t="str">
        <f t="shared" si="1526"/>
        <v>23:00 001/p1</v>
      </c>
      <c r="J728" s="537" t="s">
        <v>424</v>
      </c>
      <c r="K728" s="295"/>
      <c r="L728" s="337" t="s">
        <v>155</v>
      </c>
      <c r="M728" s="338" t="s">
        <v>71</v>
      </c>
      <c r="N728" s="339" t="s">
        <v>57</v>
      </c>
      <c r="O728" s="340" t="s">
        <v>74</v>
      </c>
      <c r="P728" s="341" t="s">
        <v>59</v>
      </c>
      <c r="Q728" s="342">
        <v>1000</v>
      </c>
      <c r="R728" s="343" t="s">
        <v>60</v>
      </c>
      <c r="S728" s="344"/>
      <c r="T728" s="345" t="s">
        <v>61</v>
      </c>
      <c r="U728" s="339" t="s">
        <v>62</v>
      </c>
      <c r="V728" s="339">
        <v>15</v>
      </c>
      <c r="W728" s="339">
        <v>15</v>
      </c>
      <c r="X728" s="354"/>
      <c r="Y728" s="347" t="s">
        <v>63</v>
      </c>
      <c r="Z728" s="344"/>
      <c r="AA728" s="348" t="s">
        <v>64</v>
      </c>
      <c r="AB728" s="348" t="s">
        <v>65</v>
      </c>
      <c r="AC728" s="349">
        <v>0.1</v>
      </c>
      <c r="AD728" s="349">
        <v>0.02</v>
      </c>
      <c r="AE728" s="345" t="s">
        <v>88</v>
      </c>
      <c r="AF728" s="346">
        <v>80000</v>
      </c>
      <c r="AG728" s="350">
        <v>10</v>
      </c>
      <c r="AH728" s="350">
        <v>10</v>
      </c>
      <c r="AI728" s="350">
        <v>10</v>
      </c>
      <c r="AJ728" s="345">
        <v>15</v>
      </c>
      <c r="AK728" s="352" t="s">
        <v>67</v>
      </c>
      <c r="AL728" s="352" t="s">
        <v>68</v>
      </c>
      <c r="AM728" s="353" t="s">
        <v>69</v>
      </c>
      <c r="AN728" s="353" t="s">
        <v>70</v>
      </c>
      <c r="AO728" s="314">
        <f t="shared" si="1442"/>
        <v>0.611122685185185</v>
      </c>
      <c r="AP728" s="315">
        <f t="shared" si="1443"/>
        <v>76</v>
      </c>
      <c r="AQ728" s="316" t="str">
        <f t="shared" si="1444"/>
        <v>LOW</v>
      </c>
    </row>
    <row r="729" ht="29.25" customHeight="1" outlineLevel="1" spans="1:43">
      <c r="B729" s="317">
        <v>0.520844907407407</v>
      </c>
      <c r="C729" s="293" t="str">
        <f t="shared" ref="C729:G729" si="1527">TEXT(IF($B729=0," ",$B729-C$6),"hh:mm am/pm")</f>
        <v>10:30 001/p1</v>
      </c>
      <c r="D729" s="293" t="str">
        <f t="shared" si="1527"/>
        <v>08:30 001/p1</v>
      </c>
      <c r="E729" s="293" t="str">
        <f t="shared" si="1527"/>
        <v>09:30 001/p1</v>
      </c>
      <c r="F729" s="293" t="str">
        <f t="shared" si="1527"/>
        <v>10:30 001/p1</v>
      </c>
      <c r="G729" s="293" t="str">
        <f t="shared" si="1527"/>
        <v>11:30 001/p1</v>
      </c>
      <c r="H729" s="293" t="str">
        <f t="shared" ref="H729:I729" si="1528">TEXT(IF($B729=0," ",$B729+H$6),"hh:mm am/pm")</f>
        <v>18:30 001/p1</v>
      </c>
      <c r="I729" s="293" t="str">
        <f t="shared" si="1528"/>
        <v>23:30 001/p1</v>
      </c>
      <c r="J729" s="537" t="s">
        <v>425</v>
      </c>
      <c r="K729" s="295"/>
      <c r="L729" s="319" t="s">
        <v>139</v>
      </c>
      <c r="M729" s="320" t="s">
        <v>71</v>
      </c>
      <c r="N729" s="321" t="s">
        <v>122</v>
      </c>
      <c r="O729" s="322" t="s">
        <v>82</v>
      </c>
      <c r="P729" s="323" t="s">
        <v>101</v>
      </c>
      <c r="Q729" s="324">
        <v>1000</v>
      </c>
      <c r="R729" s="375" t="s">
        <v>60</v>
      </c>
      <c r="S729" s="326"/>
      <c r="T729" s="327" t="s">
        <v>92</v>
      </c>
      <c r="U729" s="321" t="s">
        <v>62</v>
      </c>
      <c r="V729" s="321">
        <v>11</v>
      </c>
      <c r="W729" s="321">
        <v>11</v>
      </c>
      <c r="X729" s="328"/>
      <c r="Y729" s="329" t="s">
        <v>63</v>
      </c>
      <c r="Z729" s="326"/>
      <c r="AA729" s="330" t="s">
        <v>64</v>
      </c>
      <c r="AB729" s="330" t="s">
        <v>65</v>
      </c>
      <c r="AC729" s="331">
        <v>0.1</v>
      </c>
      <c r="AD729" s="331">
        <v>0.02</v>
      </c>
      <c r="AE729" s="327" t="s">
        <v>88</v>
      </c>
      <c r="AF729" s="332">
        <v>80000</v>
      </c>
      <c r="AG729" s="333">
        <v>10</v>
      </c>
      <c r="AH729" s="333">
        <v>10</v>
      </c>
      <c r="AI729" s="333">
        <v>10</v>
      </c>
      <c r="AJ729" s="327">
        <v>15</v>
      </c>
      <c r="AK729" s="335" t="s">
        <v>67</v>
      </c>
      <c r="AL729" s="335" t="s">
        <v>68</v>
      </c>
      <c r="AM729" s="336" t="s">
        <v>69</v>
      </c>
      <c r="AN729" s="336" t="s">
        <v>70</v>
      </c>
      <c r="AO729" s="314">
        <f t="shared" si="1442"/>
        <v>0.631956018518518</v>
      </c>
      <c r="AP729" s="315">
        <f t="shared" si="1443"/>
        <v>104</v>
      </c>
      <c r="AQ729" s="316" t="str">
        <f t="shared" si="1444"/>
        <v>LOW</v>
      </c>
    </row>
    <row r="730" ht="29.25" customHeight="1" outlineLevel="1" spans="1:43">
      <c r="A730" s="363"/>
      <c r="B730" s="317">
        <v>0.541678240740741</v>
      </c>
      <c r="C730" s="293" t="str">
        <f t="shared" ref="C730:G730" si="1529">TEXT(IF($B730=0," ",$B730-C$6),"hh:mm am/pm")</f>
        <v>11:00 001/p1</v>
      </c>
      <c r="D730" s="293" t="str">
        <f t="shared" si="1529"/>
        <v>09:00 001/p1</v>
      </c>
      <c r="E730" s="293" t="str">
        <f t="shared" si="1529"/>
        <v>10:00 001/p1</v>
      </c>
      <c r="F730" s="293" t="str">
        <f t="shared" si="1529"/>
        <v>11:00 001/p1</v>
      </c>
      <c r="G730" s="293" t="str">
        <f t="shared" si="1529"/>
        <v>12:00 001/p1</v>
      </c>
      <c r="H730" s="293" t="str">
        <f t="shared" ref="H730:I730" si="1530">TEXT(IF($B730=0," ",$B730+H$6),"hh:mm am/pm")</f>
        <v>19:00 001/p1</v>
      </c>
      <c r="I730" s="293" t="str">
        <f t="shared" si="1530"/>
        <v>00:00 001/p1</v>
      </c>
      <c r="J730" s="537" t="s">
        <v>243</v>
      </c>
      <c r="K730" s="295"/>
      <c r="L730" s="337" t="s">
        <v>126</v>
      </c>
      <c r="M730" s="338" t="s">
        <v>71</v>
      </c>
      <c r="N730" s="339" t="s">
        <v>57</v>
      </c>
      <c r="O730" s="340" t="s">
        <v>144</v>
      </c>
      <c r="P730" s="341" t="s">
        <v>59</v>
      </c>
      <c r="Q730" s="342">
        <v>1600</v>
      </c>
      <c r="R730" s="343" t="s">
        <v>60</v>
      </c>
      <c r="S730" s="344"/>
      <c r="T730" s="345" t="s">
        <v>61</v>
      </c>
      <c r="U730" s="339" t="s">
        <v>62</v>
      </c>
      <c r="V730" s="339">
        <v>5</v>
      </c>
      <c r="W730" s="339">
        <v>5</v>
      </c>
      <c r="X730" s="354"/>
      <c r="Y730" s="347" t="s">
        <v>63</v>
      </c>
      <c r="Z730" s="344"/>
      <c r="AA730" s="348" t="s">
        <v>64</v>
      </c>
      <c r="AB730" s="348" t="s">
        <v>65</v>
      </c>
      <c r="AC730" s="349">
        <v>0.1</v>
      </c>
      <c r="AD730" s="349">
        <v>0.02</v>
      </c>
      <c r="AE730" s="345" t="s">
        <v>88</v>
      </c>
      <c r="AF730" s="346">
        <v>80000</v>
      </c>
      <c r="AG730" s="350">
        <v>10</v>
      </c>
      <c r="AH730" s="350">
        <v>8</v>
      </c>
      <c r="AI730" s="350">
        <v>10</v>
      </c>
      <c r="AJ730" s="345">
        <v>15</v>
      </c>
      <c r="AK730" s="352" t="s">
        <v>67</v>
      </c>
      <c r="AL730" s="352" t="s">
        <v>68</v>
      </c>
      <c r="AM730" s="353" t="s">
        <v>69</v>
      </c>
      <c r="AN730" s="353" t="s">
        <v>70</v>
      </c>
      <c r="AO730" s="314">
        <f t="shared" si="1442"/>
        <v>0.652789351851852</v>
      </c>
      <c r="AP730" s="315">
        <f t="shared" si="1443"/>
        <v>364</v>
      </c>
      <c r="AQ730" s="316" t="str">
        <f t="shared" si="1444"/>
        <v>MICRO</v>
      </c>
    </row>
    <row r="731" ht="29.25" customHeight="1" outlineLevel="1" spans="1:43">
      <c r="B731" s="317">
        <v>0.552094907407407</v>
      </c>
      <c r="C731" s="293" t="str">
        <f t="shared" ref="C731:G731" si="1531">TEXT(IF($B731=0," ",$B731-C$6),"hh:mm am/pm")</f>
        <v>11:15 001/p1</v>
      </c>
      <c r="D731" s="293" t="str">
        <f t="shared" si="1531"/>
        <v>09:15 001/p1</v>
      </c>
      <c r="E731" s="293" t="str">
        <f t="shared" si="1531"/>
        <v>10:15 001/p1</v>
      </c>
      <c r="F731" s="293" t="str">
        <f t="shared" si="1531"/>
        <v>11:15 001/p1</v>
      </c>
      <c r="G731" s="293" t="str">
        <f t="shared" si="1531"/>
        <v>12:15 001/p1</v>
      </c>
      <c r="H731" s="293" t="str">
        <f t="shared" ref="H731:I731" si="1532">TEXT(IF($B731=0," ",$B731+H$6),"hh:mm am/pm")</f>
        <v>19:15 001/p1</v>
      </c>
      <c r="I731" s="293" t="str">
        <f t="shared" si="1532"/>
        <v>00:15 001/p1</v>
      </c>
      <c r="J731" s="537" t="s">
        <v>244</v>
      </c>
      <c r="K731" s="295"/>
      <c r="L731" s="319" t="s">
        <v>160</v>
      </c>
      <c r="M731" s="320" t="s">
        <v>71</v>
      </c>
      <c r="N731" s="321" t="s">
        <v>57</v>
      </c>
      <c r="O731" s="322" t="s">
        <v>74</v>
      </c>
      <c r="P731" s="323" t="s">
        <v>59</v>
      </c>
      <c r="Q731" s="324">
        <v>700</v>
      </c>
      <c r="R731" s="375" t="s">
        <v>60</v>
      </c>
      <c r="S731" s="326"/>
      <c r="T731" s="327" t="s">
        <v>61</v>
      </c>
      <c r="U731" s="321" t="s">
        <v>62</v>
      </c>
      <c r="V731" s="321">
        <v>7</v>
      </c>
      <c r="W731" s="326"/>
      <c r="X731" s="328"/>
      <c r="Y731" s="329" t="s">
        <v>161</v>
      </c>
      <c r="Z731" s="326"/>
      <c r="AA731" s="330" t="s">
        <v>162</v>
      </c>
      <c r="AB731" s="330" t="s">
        <v>65</v>
      </c>
      <c r="AC731" s="331">
        <v>0.1</v>
      </c>
      <c r="AD731" s="331">
        <v>0.02</v>
      </c>
      <c r="AE731" s="327" t="s">
        <v>66</v>
      </c>
      <c r="AF731" s="332">
        <v>40000</v>
      </c>
      <c r="AG731" s="333">
        <v>10</v>
      </c>
      <c r="AH731" s="333">
        <v>10</v>
      </c>
      <c r="AI731" s="333">
        <v>10</v>
      </c>
      <c r="AJ731" s="327">
        <v>14</v>
      </c>
      <c r="AK731" s="335" t="s">
        <v>67</v>
      </c>
      <c r="AL731" s="335" t="s">
        <v>68</v>
      </c>
      <c r="AM731" s="336" t="s">
        <v>69</v>
      </c>
      <c r="AN731" s="336" t="s">
        <v>70</v>
      </c>
      <c r="AO731" s="314">
        <f t="shared" si="1442"/>
        <v>0.656261574074074</v>
      </c>
      <c r="AP731" s="315">
        <f t="shared" si="1443"/>
        <v>114</v>
      </c>
      <c r="AQ731" s="316" t="str">
        <f t="shared" si="1444"/>
        <v>LOW</v>
      </c>
    </row>
    <row r="732" ht="29.25" customHeight="1" outlineLevel="1" spans="1:43">
      <c r="A732" s="363" t="s">
        <v>410</v>
      </c>
      <c r="B732" s="317">
        <v>0.55556712962963</v>
      </c>
      <c r="C732" s="293" t="str">
        <f t="shared" ref="C732:G732" si="1533">TEXT(IF($B732=0," ",$B732-C$6),"hh:mm am/pm")</f>
        <v>11:20 001/p1</v>
      </c>
      <c r="D732" s="293" t="str">
        <f t="shared" si="1533"/>
        <v>09:20 001/p1</v>
      </c>
      <c r="E732" s="293" t="str">
        <f t="shared" si="1533"/>
        <v>10:20 001/p1</v>
      </c>
      <c r="F732" s="293" t="str">
        <f t="shared" si="1533"/>
        <v>11:20 001/p1</v>
      </c>
      <c r="G732" s="293" t="str">
        <f t="shared" si="1533"/>
        <v>12:20 001/p1</v>
      </c>
      <c r="H732" s="293" t="str">
        <f t="shared" ref="H732:I732" si="1534">TEXT(IF($B732=0," ",$B732+H$6),"hh:mm am/pm")</f>
        <v>19:20 001/p1</v>
      </c>
      <c r="I732" s="293" t="str">
        <f t="shared" si="1534"/>
        <v>00:20 001/p1</v>
      </c>
      <c r="J732" s="537" t="s">
        <v>134</v>
      </c>
      <c r="K732" s="295"/>
      <c r="L732" s="337" t="s">
        <v>114</v>
      </c>
      <c r="M732" s="338" t="s">
        <v>71</v>
      </c>
      <c r="N732" s="339" t="s">
        <v>57</v>
      </c>
      <c r="O732" s="340" t="s">
        <v>74</v>
      </c>
      <c r="P732" s="341" t="s">
        <v>75</v>
      </c>
      <c r="Q732" s="342">
        <v>200</v>
      </c>
      <c r="R732" s="343" t="s">
        <v>60</v>
      </c>
      <c r="S732" s="344"/>
      <c r="T732" s="345" t="s">
        <v>77</v>
      </c>
      <c r="U732" s="339" t="s">
        <v>62</v>
      </c>
      <c r="V732" s="339">
        <v>0.2</v>
      </c>
      <c r="W732" s="339">
        <v>0.4</v>
      </c>
      <c r="X732" s="354"/>
      <c r="Y732" s="347" t="s">
        <v>79</v>
      </c>
      <c r="Z732" s="339">
        <v>0.8</v>
      </c>
      <c r="AA732" s="348">
        <v>100000</v>
      </c>
      <c r="AB732" s="348" t="s">
        <v>65</v>
      </c>
      <c r="AC732" s="349">
        <v>0.1</v>
      </c>
      <c r="AD732" s="349">
        <v>0</v>
      </c>
      <c r="AE732" s="345" t="s">
        <v>66</v>
      </c>
      <c r="AF732" s="346">
        <v>40000</v>
      </c>
      <c r="AG732" s="350">
        <v>7</v>
      </c>
      <c r="AH732" s="350">
        <v>6</v>
      </c>
      <c r="AI732" s="350">
        <v>6</v>
      </c>
      <c r="AJ732" s="345">
        <v>15</v>
      </c>
      <c r="AK732" s="352" t="s">
        <v>67</v>
      </c>
      <c r="AL732" s="352" t="s">
        <v>68</v>
      </c>
      <c r="AM732" s="353" t="s">
        <v>69</v>
      </c>
      <c r="AN732" s="353" t="s">
        <v>70</v>
      </c>
      <c r="AO732" s="314">
        <f t="shared" si="1442"/>
        <v>0.631956018518518</v>
      </c>
      <c r="AP732" s="315">
        <f t="shared" si="1443"/>
        <v>1112</v>
      </c>
      <c r="AQ732" s="316" t="str">
        <f t="shared" si="1444"/>
        <v>MICRO</v>
      </c>
    </row>
    <row r="733" ht="29.25" customHeight="1" outlineLevel="1" spans="1:43">
      <c r="B733" s="317">
        <v>0.562511574074074</v>
      </c>
      <c r="C733" s="293" t="str">
        <f t="shared" ref="C733:G733" si="1535">TEXT(IF($B733=0," ",$B733-C$6),"hh:mm am/pm")</f>
        <v>11:30 001/p1</v>
      </c>
      <c r="D733" s="293" t="str">
        <f t="shared" si="1535"/>
        <v>09:30 001/p1</v>
      </c>
      <c r="E733" s="293" t="str">
        <f t="shared" si="1535"/>
        <v>10:30 001/p1</v>
      </c>
      <c r="F733" s="293" t="str">
        <f t="shared" si="1535"/>
        <v>11:30 001/p1</v>
      </c>
      <c r="G733" s="293" t="str">
        <f t="shared" si="1535"/>
        <v>12:30 001/p1</v>
      </c>
      <c r="H733" s="293" t="str">
        <f t="shared" ref="H733:I733" si="1536">TEXT(IF($B733=0," ",$B733+H$6),"hh:mm am/pm")</f>
        <v>19:30 001/p1</v>
      </c>
      <c r="I733" s="293" t="str">
        <f t="shared" si="1536"/>
        <v>00:30 001/p1</v>
      </c>
      <c r="J733" s="294" t="s">
        <v>323</v>
      </c>
      <c r="K733" s="295"/>
      <c r="L733" s="319" t="s">
        <v>139</v>
      </c>
      <c r="M733" s="320" t="s">
        <v>71</v>
      </c>
      <c r="N733" s="321" t="s">
        <v>165</v>
      </c>
      <c r="O733" s="322" t="s">
        <v>82</v>
      </c>
      <c r="P733" s="323" t="s">
        <v>101</v>
      </c>
      <c r="Q733" s="324">
        <v>400</v>
      </c>
      <c r="R733" s="375" t="s">
        <v>60</v>
      </c>
      <c r="S733" s="326"/>
      <c r="T733" s="327" t="s">
        <v>61</v>
      </c>
      <c r="U733" s="321" t="s">
        <v>62</v>
      </c>
      <c r="V733" s="321">
        <v>2</v>
      </c>
      <c r="W733" s="321">
        <v>2</v>
      </c>
      <c r="X733" s="328"/>
      <c r="Y733" s="329" t="s">
        <v>63</v>
      </c>
      <c r="Z733" s="326"/>
      <c r="AA733" s="330" t="s">
        <v>64</v>
      </c>
      <c r="AB733" s="330" t="s">
        <v>65</v>
      </c>
      <c r="AC733" s="331">
        <v>0.1</v>
      </c>
      <c r="AD733" s="331">
        <v>0.02</v>
      </c>
      <c r="AE733" s="327" t="s">
        <v>66</v>
      </c>
      <c r="AF733" s="332">
        <v>50000</v>
      </c>
      <c r="AG733" s="333">
        <v>8</v>
      </c>
      <c r="AH733" s="333">
        <v>7</v>
      </c>
      <c r="AI733" s="333">
        <v>6</v>
      </c>
      <c r="AJ733" s="327">
        <v>15</v>
      </c>
      <c r="AK733" s="335" t="s">
        <v>67</v>
      </c>
      <c r="AL733" s="335" t="s">
        <v>68</v>
      </c>
      <c r="AM733" s="336" t="s">
        <v>69</v>
      </c>
      <c r="AN733" s="336" t="s">
        <v>70</v>
      </c>
      <c r="AO733" s="314">
        <f t="shared" si="1442"/>
        <v>0.652789351851852</v>
      </c>
      <c r="AP733" s="315">
        <f t="shared" si="1443"/>
        <v>228</v>
      </c>
      <c r="AQ733" s="316" t="str">
        <f t="shared" si="1444"/>
        <v>MICRO</v>
      </c>
    </row>
    <row r="734" ht="29.25" customHeight="1" outlineLevel="1" spans="1:43">
      <c r="A734" s="363" t="s">
        <v>410</v>
      </c>
      <c r="B734" s="317">
        <v>0.583344907407407</v>
      </c>
      <c r="C734" s="293" t="str">
        <f t="shared" ref="C734:G734" si="1537">TEXT(IF($B734=0," ",$B734-C$6),"hh:mm am/pm")</f>
        <v>12:00 001/p1</v>
      </c>
      <c r="D734" s="293" t="str">
        <f t="shared" si="1537"/>
        <v>10:00 001/p1</v>
      </c>
      <c r="E734" s="293" t="str">
        <f t="shared" si="1537"/>
        <v>11:00 001/p1</v>
      </c>
      <c r="F734" s="293" t="str">
        <f t="shared" si="1537"/>
        <v>12:00 001/p1</v>
      </c>
      <c r="G734" s="293" t="str">
        <f t="shared" si="1537"/>
        <v>13:00 001/p1</v>
      </c>
      <c r="H734" s="293" t="str">
        <f t="shared" ref="H734:I734" si="1538">TEXT(IF($B734=0," ",$B734+H$6),"hh:mm am/pm")</f>
        <v>20:00 001/p1</v>
      </c>
      <c r="I734" s="293" t="str">
        <f t="shared" si="1538"/>
        <v>01:00 001/p1</v>
      </c>
      <c r="J734" s="540" t="s">
        <v>176</v>
      </c>
      <c r="K734" s="295"/>
      <c r="L734" s="562" t="s">
        <v>177</v>
      </c>
      <c r="M734" s="338" t="s">
        <v>71</v>
      </c>
      <c r="N734" s="339" t="s">
        <v>57</v>
      </c>
      <c r="O734" s="340" t="s">
        <v>74</v>
      </c>
      <c r="P734" s="341" t="s">
        <v>75</v>
      </c>
      <c r="Q734" s="342">
        <v>1700</v>
      </c>
      <c r="R734" s="325" t="s">
        <v>76</v>
      </c>
      <c r="S734" s="344"/>
      <c r="T734" s="345" t="s">
        <v>77</v>
      </c>
      <c r="U734" s="339" t="s">
        <v>78</v>
      </c>
      <c r="V734" s="339">
        <v>1</v>
      </c>
      <c r="W734" s="339">
        <v>1</v>
      </c>
      <c r="X734" s="354"/>
      <c r="Y734" s="347" t="s">
        <v>79</v>
      </c>
      <c r="Z734" s="339">
        <v>1</v>
      </c>
      <c r="AA734" s="348">
        <v>160000</v>
      </c>
      <c r="AB734" s="348" t="s">
        <v>65</v>
      </c>
      <c r="AC734" s="349">
        <v>0.1</v>
      </c>
      <c r="AD734" s="349">
        <v>0.02</v>
      </c>
      <c r="AE734" s="348" t="s">
        <v>66</v>
      </c>
      <c r="AF734" s="346">
        <v>40000</v>
      </c>
      <c r="AG734" s="350">
        <v>8</v>
      </c>
      <c r="AH734" s="350">
        <v>7</v>
      </c>
      <c r="AI734" s="350">
        <v>8</v>
      </c>
      <c r="AJ734" s="345">
        <v>15</v>
      </c>
      <c r="AK734" s="352" t="s">
        <v>67</v>
      </c>
      <c r="AL734" s="352" t="s">
        <v>68</v>
      </c>
      <c r="AM734" s="353" t="s">
        <v>69</v>
      </c>
      <c r="AN734" s="353" t="s">
        <v>70</v>
      </c>
      <c r="AO734" s="314">
        <f t="shared" si="1442"/>
        <v>0.673622685185185</v>
      </c>
      <c r="AP734" s="315">
        <f t="shared" si="1443"/>
        <v>1932</v>
      </c>
      <c r="AQ734" s="316" t="str">
        <f t="shared" si="1444"/>
        <v>MICRO</v>
      </c>
    </row>
    <row r="735" ht="29.25" customHeight="1" outlineLevel="1" spans="1:43">
      <c r="B735" s="317">
        <v>0.593761574074074</v>
      </c>
      <c r="C735" s="293" t="str">
        <f t="shared" ref="C735:G735" si="1539">TEXT(IF($B735=0," ",$B735-C$6),"hh:mm am/pm")</f>
        <v>12:15 001/p1</v>
      </c>
      <c r="D735" s="293" t="str">
        <f t="shared" si="1539"/>
        <v>10:15 001/p1</v>
      </c>
      <c r="E735" s="293" t="str">
        <f t="shared" si="1539"/>
        <v>11:15 001/p1</v>
      </c>
      <c r="F735" s="293" t="str">
        <f t="shared" si="1539"/>
        <v>12:15 001/p1</v>
      </c>
      <c r="G735" s="293" t="str">
        <f t="shared" si="1539"/>
        <v>13:15 001/p1</v>
      </c>
      <c r="H735" s="293" t="str">
        <f t="shared" ref="H735:I735" si="1540">TEXT(IF($B735=0," ",$B735+H$6),"hh:mm am/pm")</f>
        <v>20:15 001/p1</v>
      </c>
      <c r="I735" s="293" t="str">
        <f t="shared" si="1540"/>
        <v>01:15 001/p1</v>
      </c>
      <c r="J735" s="537" t="s">
        <v>149</v>
      </c>
      <c r="K735" s="295"/>
      <c r="L735" s="563" t="s">
        <v>149</v>
      </c>
      <c r="M735" s="320" t="s">
        <v>71</v>
      </c>
      <c r="N735" s="321" t="s">
        <v>57</v>
      </c>
      <c r="O735" s="322" t="s">
        <v>74</v>
      </c>
      <c r="P735" s="323" t="s">
        <v>75</v>
      </c>
      <c r="Q735" s="324">
        <v>40</v>
      </c>
      <c r="R735" s="375" t="s">
        <v>60</v>
      </c>
      <c r="S735" s="326"/>
      <c r="T735" s="327" t="s">
        <v>61</v>
      </c>
      <c r="U735" s="321" t="s">
        <v>62</v>
      </c>
      <c r="V735" s="321">
        <v>0.6</v>
      </c>
      <c r="W735" s="321">
        <v>0.6</v>
      </c>
      <c r="X735" s="328"/>
      <c r="Y735" s="329" t="s">
        <v>63</v>
      </c>
      <c r="Z735" s="321">
        <v>0.6</v>
      </c>
      <c r="AA735" s="330">
        <v>30000</v>
      </c>
      <c r="AB735" s="330" t="s">
        <v>65</v>
      </c>
      <c r="AC735" s="331">
        <v>0.1</v>
      </c>
      <c r="AD735" s="331">
        <v>0</v>
      </c>
      <c r="AE735" s="327" t="s">
        <v>112</v>
      </c>
      <c r="AF735" s="332">
        <v>20000</v>
      </c>
      <c r="AG735" s="333">
        <v>5</v>
      </c>
      <c r="AH735" s="333">
        <v>5</v>
      </c>
      <c r="AI735" s="333">
        <v>5</v>
      </c>
      <c r="AJ735" s="327">
        <v>15</v>
      </c>
      <c r="AK735" s="335" t="s">
        <v>150</v>
      </c>
      <c r="AL735" s="335" t="s">
        <v>68</v>
      </c>
      <c r="AM735" s="336" t="s">
        <v>69</v>
      </c>
      <c r="AN735" s="336" t="s">
        <v>70</v>
      </c>
      <c r="AO735" s="314">
        <f t="shared" si="1442"/>
        <v>0.64931712962963</v>
      </c>
      <c r="AP735" s="315">
        <f t="shared" si="1443"/>
        <v>75</v>
      </c>
      <c r="AQ735" s="316" t="str">
        <f t="shared" si="1444"/>
        <v>MICRO</v>
      </c>
    </row>
    <row r="736" ht="29.25" customHeight="1" outlineLevel="1" spans="1:43">
      <c r="B736" s="317">
        <v>0.645844907407407</v>
      </c>
      <c r="C736" s="293" t="str">
        <f t="shared" ref="C736:G736" si="1541">TEXT(IF($B736=0," ",$B736-C$6),"hh:mm am/pm")</f>
        <v>13:30 001/p1</v>
      </c>
      <c r="D736" s="293" t="str">
        <f t="shared" si="1541"/>
        <v>11:30 001/p1</v>
      </c>
      <c r="E736" s="293" t="str">
        <f t="shared" si="1541"/>
        <v>12:30 001/p1</v>
      </c>
      <c r="F736" s="293" t="str">
        <f t="shared" si="1541"/>
        <v>13:30 001/p1</v>
      </c>
      <c r="G736" s="293" t="str">
        <f t="shared" si="1541"/>
        <v>14:30 001/p1</v>
      </c>
      <c r="H736" s="293" t="str">
        <f t="shared" ref="H736:I736" si="1542">TEXT(IF($B736=0," ",$B736+H$6),"hh:mm am/pm")</f>
        <v>21:30 001/p1</v>
      </c>
      <c r="I736" s="293" t="str">
        <f t="shared" si="1542"/>
        <v>02:30 001/p1</v>
      </c>
      <c r="J736" s="294" t="s">
        <v>394</v>
      </c>
      <c r="K736" s="295"/>
      <c r="L736" s="337" t="s">
        <v>395</v>
      </c>
      <c r="M736" s="338" t="s">
        <v>71</v>
      </c>
      <c r="N736" s="339" t="s">
        <v>57</v>
      </c>
      <c r="O736" s="340" t="s">
        <v>82</v>
      </c>
      <c r="P736" s="341" t="s">
        <v>75</v>
      </c>
      <c r="Q736" s="342">
        <v>200</v>
      </c>
      <c r="R736" s="343" t="s">
        <v>60</v>
      </c>
      <c r="S736" s="344"/>
      <c r="T736" s="345" t="s">
        <v>61</v>
      </c>
      <c r="U736" s="339" t="s">
        <v>62</v>
      </c>
      <c r="V736" s="339">
        <v>1</v>
      </c>
      <c r="W736" s="339">
        <v>1</v>
      </c>
      <c r="X736" s="354"/>
      <c r="Y736" s="347" t="s">
        <v>63</v>
      </c>
      <c r="Z736" s="344"/>
      <c r="AA736" s="348" t="s">
        <v>64</v>
      </c>
      <c r="AB736" s="348" t="s">
        <v>65</v>
      </c>
      <c r="AC736" s="349">
        <v>0.1</v>
      </c>
      <c r="AD736" s="349">
        <v>0</v>
      </c>
      <c r="AE736" s="345" t="s">
        <v>66</v>
      </c>
      <c r="AF736" s="346">
        <v>50000</v>
      </c>
      <c r="AG736" s="350">
        <v>7</v>
      </c>
      <c r="AH736" s="350">
        <v>6</v>
      </c>
      <c r="AI736" s="350">
        <v>6</v>
      </c>
      <c r="AJ736" s="345">
        <v>15</v>
      </c>
      <c r="AK736" s="352" t="s">
        <v>67</v>
      </c>
      <c r="AL736" s="352" t="s">
        <v>68</v>
      </c>
      <c r="AM736" s="353" t="s">
        <v>69</v>
      </c>
      <c r="AN736" s="353" t="s">
        <v>70</v>
      </c>
      <c r="AO736" s="314">
        <f t="shared" si="1442"/>
        <v>0.722233796296296</v>
      </c>
      <c r="AP736" s="315">
        <f t="shared" si="1443"/>
        <v>223</v>
      </c>
      <c r="AQ736" s="316" t="str">
        <f t="shared" si="1444"/>
        <v>MICRO</v>
      </c>
    </row>
    <row r="737" ht="29.25" customHeight="1" outlineLevel="1" spans="1:43">
      <c r="A737" s="363" t="s">
        <v>410</v>
      </c>
      <c r="B737" s="317">
        <v>0.666678240740741</v>
      </c>
      <c r="C737" s="293" t="str">
        <f t="shared" ref="C737:G737" si="1543">TEXT(IF($B737=0," ",$B737-C$6),"hh:mm am/pm")</f>
        <v>14:00 001/p1</v>
      </c>
      <c r="D737" s="293" t="str">
        <f t="shared" si="1543"/>
        <v>12:00 001/p1</v>
      </c>
      <c r="E737" s="293" t="str">
        <f t="shared" si="1543"/>
        <v>13:00 001/p1</v>
      </c>
      <c r="F737" s="293" t="str">
        <f t="shared" si="1543"/>
        <v>14:00 001/p1</v>
      </c>
      <c r="G737" s="293" t="str">
        <f t="shared" si="1543"/>
        <v>15:00 001/p1</v>
      </c>
      <c r="H737" s="293" t="str">
        <f t="shared" ref="H737:I737" si="1544">TEXT(IF($B737=0," ",$B737+H$6),"hh:mm am/pm")</f>
        <v>22:00 001/p1</v>
      </c>
      <c r="I737" s="293" t="str">
        <f t="shared" si="1544"/>
        <v>03:00 001/p1</v>
      </c>
      <c r="J737" s="294" t="s">
        <v>371</v>
      </c>
      <c r="K737" s="295"/>
      <c r="L737" s="319" t="s">
        <v>81</v>
      </c>
      <c r="M737" s="320" t="s">
        <v>71</v>
      </c>
      <c r="N737" s="321" t="s">
        <v>57</v>
      </c>
      <c r="O737" s="322" t="s">
        <v>82</v>
      </c>
      <c r="P737" s="323" t="s">
        <v>59</v>
      </c>
      <c r="Q737" s="324">
        <v>1000</v>
      </c>
      <c r="R737" s="375" t="s">
        <v>60</v>
      </c>
      <c r="S737" s="326"/>
      <c r="T737" s="327" t="s">
        <v>61</v>
      </c>
      <c r="U737" s="321" t="s">
        <v>62</v>
      </c>
      <c r="V737" s="321">
        <v>6</v>
      </c>
      <c r="W737" s="321">
        <v>6</v>
      </c>
      <c r="X737" s="328"/>
      <c r="Y737" s="329" t="s">
        <v>63</v>
      </c>
      <c r="Z737" s="326"/>
      <c r="AA737" s="330" t="s">
        <v>64</v>
      </c>
      <c r="AB737" s="330" t="s">
        <v>65</v>
      </c>
      <c r="AC737" s="331">
        <v>0.1</v>
      </c>
      <c r="AD737" s="331">
        <v>0.02</v>
      </c>
      <c r="AE737" s="327" t="s">
        <v>88</v>
      </c>
      <c r="AF737" s="332">
        <v>80000</v>
      </c>
      <c r="AG737" s="333">
        <v>10</v>
      </c>
      <c r="AH737" s="333">
        <v>8</v>
      </c>
      <c r="AI737" s="333">
        <v>10</v>
      </c>
      <c r="AJ737" s="327">
        <v>15</v>
      </c>
      <c r="AK737" s="335" t="s">
        <v>67</v>
      </c>
      <c r="AL737" s="335" t="s">
        <v>68</v>
      </c>
      <c r="AM737" s="336" t="s">
        <v>69</v>
      </c>
      <c r="AN737" s="336" t="s">
        <v>70</v>
      </c>
      <c r="AO737" s="314">
        <f t="shared" si="1442"/>
        <v>0.777789351851852</v>
      </c>
      <c r="AP737" s="315">
        <f t="shared" si="1443"/>
        <v>190</v>
      </c>
      <c r="AQ737" s="316" t="str">
        <f t="shared" si="1444"/>
        <v>LOW</v>
      </c>
    </row>
    <row r="738" ht="29.25" customHeight="1" outlineLevel="1" spans="1:43">
      <c r="B738" s="317">
        <v>0.666678240740741</v>
      </c>
      <c r="C738" s="293" t="str">
        <f t="shared" ref="C738:G738" si="1545">TEXT(IF($B738=0," ",$B738-C$6),"hh:mm am/pm")</f>
        <v>14:00 001/p1</v>
      </c>
      <c r="D738" s="293" t="str">
        <f t="shared" si="1545"/>
        <v>12:00 001/p1</v>
      </c>
      <c r="E738" s="293" t="str">
        <f t="shared" si="1545"/>
        <v>13:00 001/p1</v>
      </c>
      <c r="F738" s="293" t="str">
        <f t="shared" si="1545"/>
        <v>14:00 001/p1</v>
      </c>
      <c r="G738" s="293" t="str">
        <f t="shared" si="1545"/>
        <v>15:00 001/p1</v>
      </c>
      <c r="H738" s="293" t="str">
        <f t="shared" ref="H738:I738" si="1546">TEXT(IF($B738=0," ",$B738+H$6),"hh:mm am/pm")</f>
        <v>22:00 001/p1</v>
      </c>
      <c r="I738" s="293" t="str">
        <f t="shared" si="1546"/>
        <v>03:00 001/p1</v>
      </c>
      <c r="J738" s="294" t="s">
        <v>137</v>
      </c>
      <c r="K738" s="295"/>
      <c r="L738" s="337" t="s">
        <v>129</v>
      </c>
      <c r="M738" s="338" t="s">
        <v>71</v>
      </c>
      <c r="N738" s="339" t="s">
        <v>122</v>
      </c>
      <c r="O738" s="340" t="s">
        <v>74</v>
      </c>
      <c r="P738" s="341" t="s">
        <v>101</v>
      </c>
      <c r="Q738" s="342">
        <v>100</v>
      </c>
      <c r="R738" s="343" t="s">
        <v>60</v>
      </c>
      <c r="S738" s="344"/>
      <c r="T738" s="345" t="s">
        <v>61</v>
      </c>
      <c r="U738" s="339" t="s">
        <v>62</v>
      </c>
      <c r="V738" s="339">
        <v>0.8</v>
      </c>
      <c r="W738" s="339">
        <v>0.8</v>
      </c>
      <c r="X738" s="354"/>
      <c r="Y738" s="347" t="s">
        <v>79</v>
      </c>
      <c r="Z738" s="339">
        <v>0.8</v>
      </c>
      <c r="AA738" s="348">
        <v>80000</v>
      </c>
      <c r="AB738" s="348" t="s">
        <v>65</v>
      </c>
      <c r="AC738" s="349">
        <v>0.1</v>
      </c>
      <c r="AD738" s="349">
        <v>0</v>
      </c>
      <c r="AE738" s="345" t="s">
        <v>88</v>
      </c>
      <c r="AF738" s="346">
        <v>40000</v>
      </c>
      <c r="AG738" s="350">
        <v>8</v>
      </c>
      <c r="AH738" s="350">
        <v>7</v>
      </c>
      <c r="AI738" s="350">
        <v>7</v>
      </c>
      <c r="AJ738" s="345">
        <v>12</v>
      </c>
      <c r="AK738" s="352" t="s">
        <v>67</v>
      </c>
      <c r="AL738" s="352" t="s">
        <v>68</v>
      </c>
      <c r="AM738" s="353" t="s">
        <v>69</v>
      </c>
      <c r="AN738" s="353" t="s">
        <v>70</v>
      </c>
      <c r="AO738" s="314">
        <f t="shared" si="1442"/>
        <v>0.73681712962963</v>
      </c>
      <c r="AP738" s="315">
        <f t="shared" si="1443"/>
        <v>139</v>
      </c>
      <c r="AQ738" s="316" t="str">
        <f t="shared" si="1444"/>
        <v>MICRO</v>
      </c>
    </row>
    <row r="739" ht="29.25" customHeight="1" outlineLevel="1" spans="1:43">
      <c r="B739" s="317">
        <v>0.666678240740741</v>
      </c>
      <c r="C739" s="293" t="str">
        <f t="shared" ref="C739:G739" si="1547">TEXT(IF($B739=0," ",$B739-C$6),"hh:mm am/pm")</f>
        <v>14:00 001/p1</v>
      </c>
      <c r="D739" s="293" t="str">
        <f t="shared" si="1547"/>
        <v>12:00 001/p1</v>
      </c>
      <c r="E739" s="293" t="str">
        <f t="shared" si="1547"/>
        <v>13:00 001/p1</v>
      </c>
      <c r="F739" s="293" t="str">
        <f t="shared" si="1547"/>
        <v>14:00 001/p1</v>
      </c>
      <c r="G739" s="293" t="str">
        <f t="shared" si="1547"/>
        <v>15:00 001/p1</v>
      </c>
      <c r="H739" s="293" t="str">
        <f t="shared" ref="H739:I739" si="1548">TEXT(IF($B739=0," ",$B739+H$6),"hh:mm am/pm")</f>
        <v>22:00 001/p1</v>
      </c>
      <c r="I739" s="293" t="str">
        <f t="shared" si="1548"/>
        <v>03:00 001/p1</v>
      </c>
      <c r="J739" s="540" t="s">
        <v>314</v>
      </c>
      <c r="K739" s="295"/>
      <c r="L739" s="319" t="s">
        <v>315</v>
      </c>
      <c r="M739" s="320" t="s">
        <v>71</v>
      </c>
      <c r="N739" s="321" t="s">
        <v>57</v>
      </c>
      <c r="O739" s="322" t="s">
        <v>74</v>
      </c>
      <c r="P739" s="323" t="s">
        <v>75</v>
      </c>
      <c r="Q739" s="324">
        <v>330</v>
      </c>
      <c r="R739" s="377" t="s">
        <v>181</v>
      </c>
      <c r="S739" s="326"/>
      <c r="T739" s="327" t="s">
        <v>115</v>
      </c>
      <c r="U739" s="321" t="s">
        <v>62</v>
      </c>
      <c r="V739" s="321">
        <v>0.4</v>
      </c>
      <c r="W739" s="321">
        <v>0.4</v>
      </c>
      <c r="X739" s="328"/>
      <c r="Y739" s="329" t="s">
        <v>79</v>
      </c>
      <c r="Z739" s="321">
        <v>0.6</v>
      </c>
      <c r="AA739" s="330">
        <v>40000</v>
      </c>
      <c r="AB739" s="330" t="s">
        <v>65</v>
      </c>
      <c r="AC739" s="331">
        <v>0.1</v>
      </c>
      <c r="AD739" s="331">
        <v>0</v>
      </c>
      <c r="AE739" s="327" t="s">
        <v>66</v>
      </c>
      <c r="AF739" s="332">
        <v>20000</v>
      </c>
      <c r="AG739" s="333">
        <v>8</v>
      </c>
      <c r="AH739" s="333">
        <v>7</v>
      </c>
      <c r="AI739" s="333">
        <v>7</v>
      </c>
      <c r="AJ739" s="327">
        <v>12</v>
      </c>
      <c r="AK739" s="335" t="s">
        <v>67</v>
      </c>
      <c r="AL739" s="335" t="s">
        <v>68</v>
      </c>
      <c r="AM739" s="336" t="s">
        <v>69</v>
      </c>
      <c r="AN739" s="336" t="s">
        <v>70</v>
      </c>
      <c r="AO739" s="314">
        <f t="shared" si="1442"/>
        <v>0.73681712962963</v>
      </c>
      <c r="AP739" s="315">
        <f t="shared" si="1443"/>
        <v>917</v>
      </c>
      <c r="AQ739" s="316" t="str">
        <f t="shared" si="1444"/>
        <v>MICRO</v>
      </c>
    </row>
    <row r="740" ht="29.25" customHeight="1" outlineLevel="1" spans="1:43">
      <c r="A740" s="363" t="s">
        <v>410</v>
      </c>
      <c r="B740" s="317">
        <v>0.666678240740741</v>
      </c>
      <c r="C740" s="293" t="str">
        <f t="shared" ref="C740:G740" si="1549">TEXT(IF($B740=0," ",$B740-C$6),"hh:mm am/pm")</f>
        <v>14:00 001/p1</v>
      </c>
      <c r="D740" s="293" t="str">
        <f t="shared" si="1549"/>
        <v>12:00 001/p1</v>
      </c>
      <c r="E740" s="293" t="str">
        <f t="shared" si="1549"/>
        <v>13:00 001/p1</v>
      </c>
      <c r="F740" s="293" t="str">
        <f t="shared" si="1549"/>
        <v>14:00 001/p1</v>
      </c>
      <c r="G740" s="293" t="str">
        <f t="shared" si="1549"/>
        <v>15:00 001/p1</v>
      </c>
      <c r="H740" s="293" t="str">
        <f t="shared" ref="H740:I740" si="1550">TEXT(IF($B740=0," ",$B740+H$6),"hh:mm am/pm")</f>
        <v>22:00 001/p1</v>
      </c>
      <c r="I740" s="293" t="str">
        <f t="shared" si="1550"/>
        <v>03:00 001/p1</v>
      </c>
      <c r="J740" s="294" t="s">
        <v>425</v>
      </c>
      <c r="K740" s="295"/>
      <c r="L740" s="337" t="s">
        <v>139</v>
      </c>
      <c r="M740" s="338" t="s">
        <v>71</v>
      </c>
      <c r="N740" s="339" t="s">
        <v>100</v>
      </c>
      <c r="O740" s="340" t="s">
        <v>82</v>
      </c>
      <c r="P740" s="341" t="s">
        <v>101</v>
      </c>
      <c r="Q740" s="342">
        <v>1000</v>
      </c>
      <c r="R740" s="343" t="s">
        <v>60</v>
      </c>
      <c r="S740" s="344"/>
      <c r="T740" s="345" t="s">
        <v>61</v>
      </c>
      <c r="U740" s="339" t="s">
        <v>62</v>
      </c>
      <c r="V740" s="339">
        <v>12</v>
      </c>
      <c r="W740" s="339">
        <v>12</v>
      </c>
      <c r="X740" s="354"/>
      <c r="Y740" s="347" t="s">
        <v>63</v>
      </c>
      <c r="Z740" s="344"/>
      <c r="AA740" s="348" t="s">
        <v>64</v>
      </c>
      <c r="AB740" s="348" t="s">
        <v>65</v>
      </c>
      <c r="AC740" s="349">
        <v>0.1</v>
      </c>
      <c r="AD740" s="349">
        <v>0.02</v>
      </c>
      <c r="AE740" s="348" t="s">
        <v>66</v>
      </c>
      <c r="AF740" s="346">
        <v>50000</v>
      </c>
      <c r="AG740" s="350">
        <v>10</v>
      </c>
      <c r="AH740" s="350">
        <v>10</v>
      </c>
      <c r="AI740" s="350">
        <v>10</v>
      </c>
      <c r="AJ740" s="345">
        <v>14</v>
      </c>
      <c r="AK740" s="352" t="s">
        <v>67</v>
      </c>
      <c r="AL740" s="352" t="s">
        <v>68</v>
      </c>
      <c r="AM740" s="353" t="s">
        <v>69</v>
      </c>
      <c r="AN740" s="353" t="s">
        <v>70</v>
      </c>
      <c r="AO740" s="314">
        <f t="shared" si="1442"/>
        <v>0.770844907407407</v>
      </c>
      <c r="AP740" s="315">
        <f t="shared" si="1443"/>
        <v>95</v>
      </c>
      <c r="AQ740" s="316" t="str">
        <f t="shared" si="1444"/>
        <v>LOW</v>
      </c>
    </row>
    <row r="741" ht="29.25" customHeight="1" outlineLevel="1" spans="1:43">
      <c r="B741" s="317">
        <v>0.708344907407407</v>
      </c>
      <c r="C741" s="293" t="str">
        <f t="shared" ref="C741:G741" si="1551">TEXT(IF($B741=0," ",$B741-C$6),"hh:mm am/pm")</f>
        <v>15:00 001/p1</v>
      </c>
      <c r="D741" s="293" t="str">
        <f t="shared" si="1551"/>
        <v>13:00 001/p1</v>
      </c>
      <c r="E741" s="293" t="str">
        <f t="shared" si="1551"/>
        <v>14:00 001/p1</v>
      </c>
      <c r="F741" s="293" t="str">
        <f t="shared" si="1551"/>
        <v>15:00 001/p1</v>
      </c>
      <c r="G741" s="293" t="str">
        <f t="shared" si="1551"/>
        <v>16:00 001/p1</v>
      </c>
      <c r="H741" s="293" t="str">
        <f t="shared" ref="H741:I741" si="1552">TEXT(IF($B741=0," ",$B741+H$6),"hh:mm am/pm")</f>
        <v>23:00 001/p1</v>
      </c>
      <c r="I741" s="293" t="str">
        <f t="shared" si="1552"/>
        <v>04:00 001/p1</v>
      </c>
      <c r="J741" s="294" t="s">
        <v>426</v>
      </c>
      <c r="K741" s="295"/>
      <c r="L741" s="319" t="s">
        <v>240</v>
      </c>
      <c r="M741" s="320" t="s">
        <v>71</v>
      </c>
      <c r="N741" s="321" t="s">
        <v>57</v>
      </c>
      <c r="O741" s="322" t="s">
        <v>109</v>
      </c>
      <c r="P741" s="323" t="s">
        <v>75</v>
      </c>
      <c r="Q741" s="324">
        <v>160</v>
      </c>
      <c r="R741" s="375" t="s">
        <v>60</v>
      </c>
      <c r="S741" s="326"/>
      <c r="T741" s="327" t="s">
        <v>61</v>
      </c>
      <c r="U741" s="321" t="s">
        <v>62</v>
      </c>
      <c r="V741" s="321">
        <v>2</v>
      </c>
      <c r="W741" s="321">
        <v>2</v>
      </c>
      <c r="X741" s="328"/>
      <c r="Y741" s="329" t="s">
        <v>63</v>
      </c>
      <c r="Z741" s="326"/>
      <c r="AA741" s="330" t="s">
        <v>64</v>
      </c>
      <c r="AB741" s="330" t="s">
        <v>65</v>
      </c>
      <c r="AC741" s="331">
        <v>0.1</v>
      </c>
      <c r="AD741" s="331">
        <v>0</v>
      </c>
      <c r="AE741" s="327" t="s">
        <v>66</v>
      </c>
      <c r="AF741" s="332">
        <v>30000</v>
      </c>
      <c r="AG741" s="333">
        <v>10</v>
      </c>
      <c r="AH741" s="333">
        <v>8</v>
      </c>
      <c r="AI741" s="333">
        <v>8</v>
      </c>
      <c r="AJ741" s="327">
        <v>13</v>
      </c>
      <c r="AK741" s="335" t="s">
        <v>67</v>
      </c>
      <c r="AL741" s="335" t="s">
        <v>68</v>
      </c>
      <c r="AM741" s="336" t="s">
        <v>69</v>
      </c>
      <c r="AN741" s="336" t="s">
        <v>70</v>
      </c>
      <c r="AO741" s="314">
        <f t="shared" si="1442"/>
        <v>0.80556712962963</v>
      </c>
      <c r="AP741" s="315">
        <f t="shared" si="1443"/>
        <v>89</v>
      </c>
      <c r="AQ741" s="316" t="str">
        <f t="shared" si="1444"/>
        <v>MICRO</v>
      </c>
    </row>
    <row r="742" ht="29.25" customHeight="1" outlineLevel="1" spans="1:43">
      <c r="A742" s="363" t="s">
        <v>410</v>
      </c>
      <c r="B742" s="317">
        <v>0.708344907407407</v>
      </c>
      <c r="C742" s="293" t="str">
        <f t="shared" ref="C742:G742" si="1553">TEXT(IF($B742=0," ",$B742-C$6),"hh:mm am/pm")</f>
        <v>15:00 001/p1</v>
      </c>
      <c r="D742" s="293" t="str">
        <f t="shared" si="1553"/>
        <v>13:00 001/p1</v>
      </c>
      <c r="E742" s="293" t="str">
        <f t="shared" si="1553"/>
        <v>14:00 001/p1</v>
      </c>
      <c r="F742" s="293" t="str">
        <f t="shared" si="1553"/>
        <v>15:00 001/p1</v>
      </c>
      <c r="G742" s="293" t="str">
        <f t="shared" si="1553"/>
        <v>16:00 001/p1</v>
      </c>
      <c r="H742" s="293" t="str">
        <f t="shared" ref="H742:I742" si="1554">TEXT(IF($B742=0," ",$B742+H$6),"hh:mm am/pm")</f>
        <v>23:00 001/p1</v>
      </c>
      <c r="I742" s="293" t="str">
        <f t="shared" si="1554"/>
        <v>04:00 001/p1</v>
      </c>
      <c r="J742" s="294" t="s">
        <v>149</v>
      </c>
      <c r="K742" s="295"/>
      <c r="L742" s="337" t="s">
        <v>149</v>
      </c>
      <c r="M742" s="338" t="s">
        <v>71</v>
      </c>
      <c r="N742" s="339" t="s">
        <v>57</v>
      </c>
      <c r="O742" s="340" t="s">
        <v>74</v>
      </c>
      <c r="P742" s="341" t="s">
        <v>75</v>
      </c>
      <c r="Q742" s="342">
        <v>40</v>
      </c>
      <c r="R742" s="343" t="s">
        <v>60</v>
      </c>
      <c r="S742" s="344"/>
      <c r="T742" s="345" t="s">
        <v>61</v>
      </c>
      <c r="U742" s="339" t="s">
        <v>62</v>
      </c>
      <c r="V742" s="339">
        <v>0.6</v>
      </c>
      <c r="W742" s="339">
        <v>0.6</v>
      </c>
      <c r="X742" s="354"/>
      <c r="Y742" s="347" t="s">
        <v>63</v>
      </c>
      <c r="Z742" s="339">
        <v>0.6</v>
      </c>
      <c r="AA742" s="348">
        <v>30000</v>
      </c>
      <c r="AB742" s="348" t="s">
        <v>65</v>
      </c>
      <c r="AC742" s="349">
        <v>0.1</v>
      </c>
      <c r="AD742" s="349">
        <v>0</v>
      </c>
      <c r="AE742" s="345" t="s">
        <v>112</v>
      </c>
      <c r="AF742" s="346">
        <v>20000</v>
      </c>
      <c r="AG742" s="350">
        <v>5</v>
      </c>
      <c r="AH742" s="350">
        <v>5</v>
      </c>
      <c r="AI742" s="350">
        <v>5</v>
      </c>
      <c r="AJ742" s="345">
        <v>15</v>
      </c>
      <c r="AK742" s="352" t="s">
        <v>150</v>
      </c>
      <c r="AL742" s="352" t="s">
        <v>68</v>
      </c>
      <c r="AM742" s="353" t="s">
        <v>69</v>
      </c>
      <c r="AN742" s="353" t="s">
        <v>70</v>
      </c>
      <c r="AO742" s="314">
        <f t="shared" si="1442"/>
        <v>0.763900462962963</v>
      </c>
      <c r="AP742" s="315">
        <f t="shared" si="1443"/>
        <v>75</v>
      </c>
      <c r="AQ742" s="316" t="str">
        <f t="shared" si="1444"/>
        <v>MICRO</v>
      </c>
    </row>
    <row r="743" ht="29.25" customHeight="1" outlineLevel="1" spans="1:43">
      <c r="B743" s="317">
        <v>0.708344907407407</v>
      </c>
      <c r="C743" s="293" t="str">
        <f t="shared" ref="C743:G743" si="1555">TEXT(IF($B743=0," ",$B743-C$6),"hh:mm am/pm")</f>
        <v>15:00 001/p1</v>
      </c>
      <c r="D743" s="293" t="str">
        <f t="shared" si="1555"/>
        <v>13:00 001/p1</v>
      </c>
      <c r="E743" s="293" t="str">
        <f t="shared" si="1555"/>
        <v>14:00 001/p1</v>
      </c>
      <c r="F743" s="293" t="str">
        <f t="shared" si="1555"/>
        <v>15:00 001/p1</v>
      </c>
      <c r="G743" s="293" t="str">
        <f t="shared" si="1555"/>
        <v>16:00 001/p1</v>
      </c>
      <c r="H743" s="293" t="str">
        <f t="shared" ref="H743:I743" si="1556">TEXT(IF($B743=0," ",$B743+H$6),"hh:mm am/pm")</f>
        <v>23:00 001/p1</v>
      </c>
      <c r="I743" s="293" t="str">
        <f t="shared" si="1556"/>
        <v>04:00 001/p1</v>
      </c>
      <c r="J743" s="294" t="s">
        <v>329</v>
      </c>
      <c r="K743" s="295"/>
      <c r="L743" s="319" t="s">
        <v>124</v>
      </c>
      <c r="M743" s="320" t="s">
        <v>71</v>
      </c>
      <c r="N743" s="321" t="s">
        <v>165</v>
      </c>
      <c r="O743" s="322" t="s">
        <v>58</v>
      </c>
      <c r="P743" s="323" t="s">
        <v>101</v>
      </c>
      <c r="Q743" s="324">
        <v>200</v>
      </c>
      <c r="R743" s="375" t="s">
        <v>60</v>
      </c>
      <c r="S743" s="326"/>
      <c r="T743" s="327" t="s">
        <v>61</v>
      </c>
      <c r="U743" s="321" t="s">
        <v>62</v>
      </c>
      <c r="V743" s="321">
        <v>1</v>
      </c>
      <c r="W743" s="321">
        <v>1</v>
      </c>
      <c r="X743" s="328"/>
      <c r="Y743" s="329" t="s">
        <v>63</v>
      </c>
      <c r="Z743" s="326"/>
      <c r="AA743" s="330" t="s">
        <v>64</v>
      </c>
      <c r="AB743" s="330" t="s">
        <v>65</v>
      </c>
      <c r="AC743" s="331">
        <v>0.1</v>
      </c>
      <c r="AD743" s="331">
        <v>0</v>
      </c>
      <c r="AE743" s="327" t="s">
        <v>66</v>
      </c>
      <c r="AF743" s="332">
        <v>50000</v>
      </c>
      <c r="AG743" s="333">
        <v>8</v>
      </c>
      <c r="AH743" s="333">
        <v>7</v>
      </c>
      <c r="AI743" s="333">
        <v>6</v>
      </c>
      <c r="AJ743" s="327">
        <v>15</v>
      </c>
      <c r="AK743" s="335" t="s">
        <v>67</v>
      </c>
      <c r="AL743" s="335" t="s">
        <v>68</v>
      </c>
      <c r="AM743" s="336" t="s">
        <v>69</v>
      </c>
      <c r="AN743" s="336" t="s">
        <v>70</v>
      </c>
      <c r="AO743" s="314">
        <f t="shared" si="1442"/>
        <v>0.798622685185185</v>
      </c>
      <c r="AP743" s="315">
        <f t="shared" si="1443"/>
        <v>223</v>
      </c>
      <c r="AQ743" s="316" t="str">
        <f t="shared" si="1444"/>
        <v>MICRO</v>
      </c>
    </row>
    <row r="744" ht="29.25" customHeight="1" outlineLevel="1" spans="1:43">
      <c r="B744" s="317">
        <v>0.729178240740741</v>
      </c>
      <c r="C744" s="293" t="str">
        <f t="shared" ref="C744:G744" si="1557">TEXT(IF($B744=0," ",$B744-C$6),"hh:mm am/pm")</f>
        <v>15:30 001/p1</v>
      </c>
      <c r="D744" s="293" t="str">
        <f t="shared" si="1557"/>
        <v>13:30 001/p1</v>
      </c>
      <c r="E744" s="293" t="str">
        <f t="shared" si="1557"/>
        <v>14:30 001/p1</v>
      </c>
      <c r="F744" s="293" t="str">
        <f t="shared" si="1557"/>
        <v>15:30 001/p1</v>
      </c>
      <c r="G744" s="293" t="str">
        <f t="shared" si="1557"/>
        <v>16:30 001/p1</v>
      </c>
      <c r="H744" s="293" t="str">
        <f t="shared" ref="H744:I744" si="1558">TEXT(IF($B744=0," ",$B744+H$6),"hh:mm am/pm")</f>
        <v>23:30 001/p1</v>
      </c>
      <c r="I744" s="293" t="str">
        <f t="shared" si="1558"/>
        <v>04:30 001/p1</v>
      </c>
      <c r="J744" s="294" t="s">
        <v>427</v>
      </c>
      <c r="K744" s="295"/>
      <c r="L744" s="337" t="s">
        <v>427</v>
      </c>
      <c r="M744" s="338" t="s">
        <v>71</v>
      </c>
      <c r="N744" s="339" t="s">
        <v>100</v>
      </c>
      <c r="O744" s="340" t="s">
        <v>74</v>
      </c>
      <c r="P744" s="341" t="s">
        <v>101</v>
      </c>
      <c r="Q744" s="342">
        <v>100</v>
      </c>
      <c r="R744" s="343" t="s">
        <v>60</v>
      </c>
      <c r="S744" s="344"/>
      <c r="T744" s="345" t="s">
        <v>61</v>
      </c>
      <c r="U744" s="339" t="s">
        <v>62</v>
      </c>
      <c r="V744" s="339">
        <v>0</v>
      </c>
      <c r="W744" s="339">
        <v>0.6</v>
      </c>
      <c r="X744" s="346">
        <v>30000</v>
      </c>
      <c r="Y744" s="346" t="s">
        <v>79</v>
      </c>
      <c r="Z744" s="339">
        <v>1</v>
      </c>
      <c r="AA744" s="348">
        <v>60000</v>
      </c>
      <c r="AB744" s="348" t="s">
        <v>65</v>
      </c>
      <c r="AC744" s="349">
        <v>0.05</v>
      </c>
      <c r="AD744" s="349">
        <v>0</v>
      </c>
      <c r="AE744" s="345" t="s">
        <v>112</v>
      </c>
      <c r="AF744" s="346">
        <v>15000</v>
      </c>
      <c r="AG744" s="350">
        <v>6</v>
      </c>
      <c r="AH744" s="350">
        <v>5</v>
      </c>
      <c r="AI744" s="350">
        <v>4</v>
      </c>
      <c r="AJ744" s="345">
        <v>15</v>
      </c>
      <c r="AK744" s="352">
        <v>1132285</v>
      </c>
      <c r="AL744" s="378"/>
      <c r="AM744" s="353" t="s">
        <v>69</v>
      </c>
      <c r="AN744" s="353" t="s">
        <v>70</v>
      </c>
      <c r="AO744" s="314">
        <f t="shared" si="1442"/>
        <v>0.795150462962963</v>
      </c>
      <c r="AP744" s="315" t="e">
        <f t="shared" si="1443"/>
        <v>#DIV/0!</v>
      </c>
      <c r="AQ744" s="316" t="str">
        <f t="shared" si="1444"/>
        <v> </v>
      </c>
    </row>
    <row r="745" ht="29.25" customHeight="1" outlineLevel="1" spans="1:43">
      <c r="A745" s="363" t="s">
        <v>410</v>
      </c>
      <c r="B745" s="317">
        <v>0.770844907407407</v>
      </c>
      <c r="C745" s="293" t="str">
        <f t="shared" ref="C745:G745" si="1559">TEXT(IF($B745=0," ",$B745-C$6),"hh:mm am/pm")</f>
        <v>16:30 001/p1</v>
      </c>
      <c r="D745" s="293" t="str">
        <f t="shared" si="1559"/>
        <v>14:30 001/p1</v>
      </c>
      <c r="E745" s="293" t="str">
        <f t="shared" si="1559"/>
        <v>15:30 001/p1</v>
      </c>
      <c r="F745" s="293" t="str">
        <f t="shared" si="1559"/>
        <v>16:30 001/p1</v>
      </c>
      <c r="G745" s="293" t="str">
        <f t="shared" si="1559"/>
        <v>17:30 001/p1</v>
      </c>
      <c r="H745" s="293" t="str">
        <f t="shared" ref="H745:I745" si="1560">TEXT(IF($B745=0," ",$B745+H$6),"hh:mm am/pm")</f>
        <v>00:30 001/p1</v>
      </c>
      <c r="I745" s="293" t="str">
        <f t="shared" si="1560"/>
        <v>05:30 001/p1</v>
      </c>
      <c r="J745" s="540" t="s">
        <v>397</v>
      </c>
      <c r="K745" s="295"/>
      <c r="L745" s="319" t="s">
        <v>177</v>
      </c>
      <c r="M745" s="320" t="s">
        <v>71</v>
      </c>
      <c r="N745" s="321" t="s">
        <v>57</v>
      </c>
      <c r="O745" s="322" t="s">
        <v>74</v>
      </c>
      <c r="P745" s="323" t="s">
        <v>75</v>
      </c>
      <c r="Q745" s="324">
        <v>1600</v>
      </c>
      <c r="R745" s="325" t="s">
        <v>76</v>
      </c>
      <c r="S745" s="326"/>
      <c r="T745" s="327" t="s">
        <v>77</v>
      </c>
      <c r="U745" s="321" t="s">
        <v>78</v>
      </c>
      <c r="V745" s="321">
        <v>0.6</v>
      </c>
      <c r="W745" s="321">
        <v>0.6</v>
      </c>
      <c r="X745" s="328"/>
      <c r="Y745" s="329" t="s">
        <v>79</v>
      </c>
      <c r="Z745" s="321">
        <v>0.6</v>
      </c>
      <c r="AA745" s="330">
        <v>160000</v>
      </c>
      <c r="AB745" s="330" t="s">
        <v>65</v>
      </c>
      <c r="AC745" s="331">
        <v>0.1</v>
      </c>
      <c r="AD745" s="331">
        <v>0.02</v>
      </c>
      <c r="AE745" s="327" t="s">
        <v>66</v>
      </c>
      <c r="AF745" s="332">
        <v>40000</v>
      </c>
      <c r="AG745" s="333">
        <v>8</v>
      </c>
      <c r="AH745" s="333">
        <v>7</v>
      </c>
      <c r="AI745" s="333">
        <v>8</v>
      </c>
      <c r="AJ745" s="327">
        <v>15</v>
      </c>
      <c r="AK745" s="335" t="s">
        <v>67</v>
      </c>
      <c r="AL745" s="335" t="s">
        <v>68</v>
      </c>
      <c r="AM745" s="336" t="s">
        <v>69</v>
      </c>
      <c r="AN745" s="336" t="s">
        <v>70</v>
      </c>
      <c r="AO745" s="314">
        <f t="shared" si="1442"/>
        <v>0.861122685185185</v>
      </c>
      <c r="AP745" s="315">
        <f t="shared" si="1443"/>
        <v>3031</v>
      </c>
      <c r="AQ745" s="316" t="str">
        <f t="shared" si="1444"/>
        <v>MICRO</v>
      </c>
    </row>
    <row r="746" ht="29.25" customHeight="1" outlineLevel="1" spans="1:43">
      <c r="B746" s="317">
        <v>0.791678240740741</v>
      </c>
      <c r="C746" s="293" t="str">
        <f t="shared" ref="C746:G746" si="1561">TEXT(IF($B746=0," ",$B746-C$6),"hh:mm am/pm")</f>
        <v>17:00 001/p1</v>
      </c>
      <c r="D746" s="293" t="str">
        <f t="shared" si="1561"/>
        <v>15:00 001/p1</v>
      </c>
      <c r="E746" s="293" t="str">
        <f t="shared" si="1561"/>
        <v>16:00 001/p1</v>
      </c>
      <c r="F746" s="293" t="str">
        <f t="shared" si="1561"/>
        <v>17:00 001/p1</v>
      </c>
      <c r="G746" s="293" t="str">
        <f t="shared" si="1561"/>
        <v>18:00 001/p1</v>
      </c>
      <c r="H746" s="293" t="str">
        <f t="shared" ref="H746:I746" si="1562">TEXT(IF($B746=0," ",$B746+H$6),"hh:mm am/pm")</f>
        <v>01:00 001/p1</v>
      </c>
      <c r="I746" s="293" t="str">
        <f t="shared" si="1562"/>
        <v>06:00 001/p1</v>
      </c>
      <c r="J746" s="294" t="s">
        <v>169</v>
      </c>
      <c r="K746" s="295"/>
      <c r="L746" s="337" t="s">
        <v>157</v>
      </c>
      <c r="M746" s="338" t="s">
        <v>71</v>
      </c>
      <c r="N746" s="339" t="s">
        <v>100</v>
      </c>
      <c r="O746" s="340" t="s">
        <v>82</v>
      </c>
      <c r="P746" s="341" t="s">
        <v>101</v>
      </c>
      <c r="Q746" s="342">
        <v>2400</v>
      </c>
      <c r="R746" s="343" t="s">
        <v>60</v>
      </c>
      <c r="S746" s="344"/>
      <c r="T746" s="345" t="s">
        <v>92</v>
      </c>
      <c r="U746" s="339" t="s">
        <v>62</v>
      </c>
      <c r="V746" s="339">
        <v>15</v>
      </c>
      <c r="W746" s="339">
        <v>15</v>
      </c>
      <c r="X746" s="354"/>
      <c r="Y746" s="347" t="s">
        <v>63</v>
      </c>
      <c r="Z746" s="344"/>
      <c r="AA746" s="348" t="s">
        <v>64</v>
      </c>
      <c r="AB746" s="348" t="s">
        <v>65</v>
      </c>
      <c r="AC746" s="349">
        <v>0.1</v>
      </c>
      <c r="AD746" s="349">
        <v>0.02</v>
      </c>
      <c r="AE746" s="345" t="s">
        <v>66</v>
      </c>
      <c r="AF746" s="346">
        <v>50000</v>
      </c>
      <c r="AG746" s="350">
        <v>10</v>
      </c>
      <c r="AH746" s="350">
        <v>10</v>
      </c>
      <c r="AI746" s="350">
        <v>10</v>
      </c>
      <c r="AJ746" s="345">
        <v>15</v>
      </c>
      <c r="AK746" s="352" t="s">
        <v>67</v>
      </c>
      <c r="AL746" s="352" t="s">
        <v>68</v>
      </c>
      <c r="AM746" s="353" t="s">
        <v>69</v>
      </c>
      <c r="AN746" s="353" t="s">
        <v>70</v>
      </c>
      <c r="AO746" s="314">
        <f t="shared" si="1442"/>
        <v>0.902789351851852</v>
      </c>
      <c r="AP746" s="315">
        <f t="shared" si="1443"/>
        <v>182</v>
      </c>
      <c r="AQ746" s="316" t="str">
        <f t="shared" si="1444"/>
        <v>LOW</v>
      </c>
    </row>
    <row r="747" ht="29.25" customHeight="1" outlineLevel="1" spans="1:43">
      <c r="B747" s="317">
        <v>0.791678240740741</v>
      </c>
      <c r="C747" s="293" t="str">
        <f t="shared" ref="C747:G747" si="1563">TEXT(IF($B747=0," ",$B747-C$6),"hh:mm am/pm")</f>
        <v>17:00 001/p1</v>
      </c>
      <c r="D747" s="293" t="str">
        <f t="shared" si="1563"/>
        <v>15:00 001/p1</v>
      </c>
      <c r="E747" s="293" t="str">
        <f t="shared" si="1563"/>
        <v>16:00 001/p1</v>
      </c>
      <c r="F747" s="293" t="str">
        <f t="shared" si="1563"/>
        <v>17:00 001/p1</v>
      </c>
      <c r="G747" s="293" t="str">
        <f t="shared" si="1563"/>
        <v>18:00 001/p1</v>
      </c>
      <c r="H747" s="293" t="str">
        <f t="shared" ref="H747:I747" si="1564">TEXT(IF($B747=0," ",$B747+H$6),"hh:mm am/pm")</f>
        <v>01:00 001/p1</v>
      </c>
      <c r="I747" s="293" t="str">
        <f t="shared" si="1564"/>
        <v>06:00 001/p1</v>
      </c>
      <c r="J747" s="537" t="s">
        <v>406</v>
      </c>
      <c r="K747" s="295"/>
      <c r="L747" s="319" t="s">
        <v>179</v>
      </c>
      <c r="M747" s="320" t="s">
        <v>71</v>
      </c>
      <c r="N747" s="321" t="s">
        <v>57</v>
      </c>
      <c r="O747" s="322" t="s">
        <v>104</v>
      </c>
      <c r="P747" s="323" t="s">
        <v>59</v>
      </c>
      <c r="Q747" s="324">
        <v>800</v>
      </c>
      <c r="R747" s="375" t="s">
        <v>60</v>
      </c>
      <c r="S747" s="326"/>
      <c r="T747" s="327" t="s">
        <v>61</v>
      </c>
      <c r="U747" s="321" t="s">
        <v>62</v>
      </c>
      <c r="V747" s="321">
        <v>2</v>
      </c>
      <c r="W747" s="321">
        <v>2</v>
      </c>
      <c r="X747" s="328"/>
      <c r="Y747" s="329" t="s">
        <v>63</v>
      </c>
      <c r="Z747" s="321">
        <v>1</v>
      </c>
      <c r="AA747" s="330">
        <v>50000</v>
      </c>
      <c r="AB747" s="330" t="s">
        <v>65</v>
      </c>
      <c r="AC747" s="331">
        <v>0.1</v>
      </c>
      <c r="AD747" s="331">
        <v>0.02</v>
      </c>
      <c r="AE747" s="327" t="s">
        <v>66</v>
      </c>
      <c r="AF747" s="332">
        <v>50000</v>
      </c>
      <c r="AG747" s="333">
        <v>8</v>
      </c>
      <c r="AH747" s="333">
        <v>7</v>
      </c>
      <c r="AI747" s="333">
        <v>7</v>
      </c>
      <c r="AJ747" s="327">
        <v>15</v>
      </c>
      <c r="AK747" s="335" t="s">
        <v>67</v>
      </c>
      <c r="AL747" s="335" t="s">
        <v>68</v>
      </c>
      <c r="AM747" s="336" t="s">
        <v>69</v>
      </c>
      <c r="AN747" s="336" t="s">
        <v>70</v>
      </c>
      <c r="AO747" s="314">
        <f t="shared" si="1442"/>
        <v>0.881956018518519</v>
      </c>
      <c r="AP747" s="315">
        <f t="shared" si="1443"/>
        <v>455</v>
      </c>
      <c r="AQ747" s="316" t="str">
        <f t="shared" si="1444"/>
        <v>MICRO</v>
      </c>
    </row>
    <row r="748" ht="29.25" customHeight="1" outlineLevel="1" spans="1:43">
      <c r="A748" s="363" t="s">
        <v>410</v>
      </c>
      <c r="B748" s="317">
        <v>0.791678240740741</v>
      </c>
      <c r="C748" s="293" t="str">
        <f t="shared" ref="C748:G748" si="1565">TEXT(IF($B748=0," ",$B748-C$6),"hh:mm am/pm")</f>
        <v>17:00 001/p1</v>
      </c>
      <c r="D748" s="293" t="str">
        <f t="shared" si="1565"/>
        <v>15:00 001/p1</v>
      </c>
      <c r="E748" s="293" t="str">
        <f t="shared" si="1565"/>
        <v>16:00 001/p1</v>
      </c>
      <c r="F748" s="293" t="str">
        <f t="shared" si="1565"/>
        <v>17:00 001/p1</v>
      </c>
      <c r="G748" s="293" t="str">
        <f t="shared" si="1565"/>
        <v>18:00 001/p1</v>
      </c>
      <c r="H748" s="293" t="str">
        <f t="shared" ref="H748:I748" si="1566">TEXT(IF($B748=0," ",$B748+H$6),"hh:mm am/pm")</f>
        <v>01:00 001/p1</v>
      </c>
      <c r="I748" s="293" t="str">
        <f t="shared" si="1566"/>
        <v>06:00 001/p1</v>
      </c>
      <c r="J748" s="294" t="s">
        <v>252</v>
      </c>
      <c r="K748" s="295"/>
      <c r="L748" s="337" t="s">
        <v>121</v>
      </c>
      <c r="M748" s="338" t="s">
        <v>71</v>
      </c>
      <c r="N748" s="339" t="s">
        <v>100</v>
      </c>
      <c r="O748" s="340" t="s">
        <v>109</v>
      </c>
      <c r="P748" s="341" t="s">
        <v>101</v>
      </c>
      <c r="Q748" s="342">
        <v>400</v>
      </c>
      <c r="R748" s="343" t="s">
        <v>60</v>
      </c>
      <c r="S748" s="344"/>
      <c r="T748" s="345" t="s">
        <v>61</v>
      </c>
      <c r="U748" s="339" t="s">
        <v>62</v>
      </c>
      <c r="V748" s="339">
        <v>2</v>
      </c>
      <c r="W748" s="339">
        <v>2</v>
      </c>
      <c r="X748" s="354"/>
      <c r="Y748" s="347" t="s">
        <v>63</v>
      </c>
      <c r="Z748" s="344"/>
      <c r="AA748" s="348" t="s">
        <v>64</v>
      </c>
      <c r="AB748" s="348" t="s">
        <v>65</v>
      </c>
      <c r="AC748" s="349">
        <v>0.1</v>
      </c>
      <c r="AD748" s="349">
        <v>0.02</v>
      </c>
      <c r="AE748" s="345" t="s">
        <v>66</v>
      </c>
      <c r="AF748" s="346">
        <v>50000</v>
      </c>
      <c r="AG748" s="350">
        <v>10</v>
      </c>
      <c r="AH748" s="350">
        <v>8</v>
      </c>
      <c r="AI748" s="350">
        <v>8</v>
      </c>
      <c r="AJ748" s="345">
        <v>15</v>
      </c>
      <c r="AK748" s="352" t="s">
        <v>67</v>
      </c>
      <c r="AL748" s="352" t="s">
        <v>68</v>
      </c>
      <c r="AM748" s="353" t="s">
        <v>69</v>
      </c>
      <c r="AN748" s="353" t="s">
        <v>70</v>
      </c>
      <c r="AO748" s="314">
        <f t="shared" si="1442"/>
        <v>0.902789351851852</v>
      </c>
      <c r="AP748" s="315">
        <f t="shared" si="1443"/>
        <v>228</v>
      </c>
      <c r="AQ748" s="316" t="str">
        <f t="shared" si="1444"/>
        <v>MICRO</v>
      </c>
    </row>
    <row r="749" ht="29.25" customHeight="1" outlineLevel="1" spans="1:43">
      <c r="B749" s="317">
        <v>0.802094907407407</v>
      </c>
      <c r="C749" s="293" t="str">
        <f t="shared" ref="C749:G749" si="1567">TEXT(IF($B749=0," ",$B749-C$6),"hh:mm am/pm")</f>
        <v>17:15 001/p1</v>
      </c>
      <c r="D749" s="293" t="str">
        <f t="shared" si="1567"/>
        <v>15:15 001/p1</v>
      </c>
      <c r="E749" s="293" t="str">
        <f t="shared" si="1567"/>
        <v>16:15 001/p1</v>
      </c>
      <c r="F749" s="293" t="str">
        <f t="shared" si="1567"/>
        <v>17:15 001/p1</v>
      </c>
      <c r="G749" s="293" t="str">
        <f t="shared" si="1567"/>
        <v>18:15 001/p1</v>
      </c>
      <c r="H749" s="293" t="str">
        <f t="shared" ref="H749:I749" si="1568">TEXT(IF($B749=0," ",$B749+H$6),"hh:mm am/pm")</f>
        <v>01:15 001/p1</v>
      </c>
      <c r="I749" s="293" t="str">
        <f t="shared" si="1568"/>
        <v>06:15 001/p1</v>
      </c>
      <c r="J749" s="294" t="s">
        <v>149</v>
      </c>
      <c r="K749" s="295"/>
      <c r="L749" s="319" t="s">
        <v>149</v>
      </c>
      <c r="M749" s="320" t="s">
        <v>71</v>
      </c>
      <c r="N749" s="321" t="s">
        <v>57</v>
      </c>
      <c r="O749" s="322" t="s">
        <v>74</v>
      </c>
      <c r="P749" s="323" t="s">
        <v>75</v>
      </c>
      <c r="Q749" s="324">
        <v>40</v>
      </c>
      <c r="R749" s="375" t="s">
        <v>60</v>
      </c>
      <c r="S749" s="326"/>
      <c r="T749" s="327" t="s">
        <v>61</v>
      </c>
      <c r="U749" s="321" t="s">
        <v>62</v>
      </c>
      <c r="V749" s="321">
        <v>0.6</v>
      </c>
      <c r="W749" s="321">
        <v>0.6</v>
      </c>
      <c r="X749" s="328"/>
      <c r="Y749" s="329" t="s">
        <v>63</v>
      </c>
      <c r="Z749" s="321">
        <v>0.6</v>
      </c>
      <c r="AA749" s="330">
        <v>30000</v>
      </c>
      <c r="AB749" s="330" t="s">
        <v>65</v>
      </c>
      <c r="AC749" s="331">
        <v>0.1</v>
      </c>
      <c r="AD749" s="331">
        <v>0</v>
      </c>
      <c r="AE749" s="327" t="s">
        <v>112</v>
      </c>
      <c r="AF749" s="332">
        <v>20000</v>
      </c>
      <c r="AG749" s="333">
        <v>5</v>
      </c>
      <c r="AH749" s="333">
        <v>5</v>
      </c>
      <c r="AI749" s="333">
        <v>5</v>
      </c>
      <c r="AJ749" s="327">
        <v>15</v>
      </c>
      <c r="AK749" s="335" t="s">
        <v>150</v>
      </c>
      <c r="AL749" s="335" t="s">
        <v>68</v>
      </c>
      <c r="AM749" s="336" t="s">
        <v>69</v>
      </c>
      <c r="AN749" s="336" t="s">
        <v>70</v>
      </c>
      <c r="AO749" s="314">
        <f t="shared" si="1442"/>
        <v>0.857650462962963</v>
      </c>
      <c r="AP749" s="315">
        <f t="shared" si="1443"/>
        <v>75</v>
      </c>
      <c r="AQ749" s="316" t="str">
        <f t="shared" si="1444"/>
        <v>MICRO</v>
      </c>
    </row>
    <row r="750" ht="29.25" customHeight="1" outlineLevel="1" spans="1:43">
      <c r="A750" s="363" t="s">
        <v>410</v>
      </c>
      <c r="B750" s="317">
        <v>0.833344907407407</v>
      </c>
      <c r="C750" s="293" t="str">
        <f t="shared" ref="C750:G750" si="1569">TEXT(IF($B750=0," ",$B750-C$6),"hh:mm am/pm")</f>
        <v>18:00 001/p1</v>
      </c>
      <c r="D750" s="293" t="str">
        <f t="shared" si="1569"/>
        <v>16:00 001/p1</v>
      </c>
      <c r="E750" s="293" t="str">
        <f t="shared" si="1569"/>
        <v>17:00 001/p1</v>
      </c>
      <c r="F750" s="293" t="str">
        <f t="shared" si="1569"/>
        <v>18:00 001/p1</v>
      </c>
      <c r="G750" s="293" t="str">
        <f t="shared" si="1569"/>
        <v>19:00 001/p1</v>
      </c>
      <c r="H750" s="293" t="str">
        <f t="shared" ref="H750:I750" si="1570">TEXT(IF($B750=0," ",$B750+H$6),"hh:mm am/pm")</f>
        <v>02:00 001/p1</v>
      </c>
      <c r="I750" s="293" t="str">
        <f t="shared" si="1570"/>
        <v>07:00 001/p1</v>
      </c>
      <c r="J750" s="294" t="s">
        <v>399</v>
      </c>
      <c r="K750" s="295"/>
      <c r="L750" s="337" t="s">
        <v>133</v>
      </c>
      <c r="M750" s="338" t="s">
        <v>71</v>
      </c>
      <c r="N750" s="339" t="s">
        <v>57</v>
      </c>
      <c r="O750" s="340" t="s">
        <v>58</v>
      </c>
      <c r="P750" s="341" t="s">
        <v>59</v>
      </c>
      <c r="Q750" s="342">
        <v>120</v>
      </c>
      <c r="R750" s="343" t="s">
        <v>60</v>
      </c>
      <c r="S750" s="344"/>
      <c r="T750" s="345" t="s">
        <v>61</v>
      </c>
      <c r="U750" s="339" t="s">
        <v>62</v>
      </c>
      <c r="V750" s="339">
        <v>1.6</v>
      </c>
      <c r="W750" s="339">
        <v>1.6</v>
      </c>
      <c r="X750" s="354"/>
      <c r="Y750" s="347" t="s">
        <v>63</v>
      </c>
      <c r="Z750" s="344"/>
      <c r="AA750" s="348" t="s">
        <v>64</v>
      </c>
      <c r="AB750" s="348" t="s">
        <v>65</v>
      </c>
      <c r="AC750" s="349">
        <v>0.1</v>
      </c>
      <c r="AD750" s="349">
        <v>0</v>
      </c>
      <c r="AE750" s="345" t="s">
        <v>66</v>
      </c>
      <c r="AF750" s="346">
        <v>30000</v>
      </c>
      <c r="AG750" s="350">
        <v>10</v>
      </c>
      <c r="AH750" s="350">
        <v>8</v>
      </c>
      <c r="AI750" s="350">
        <v>6</v>
      </c>
      <c r="AJ750" s="345">
        <v>12</v>
      </c>
      <c r="AK750" s="352" t="s">
        <v>67</v>
      </c>
      <c r="AL750" s="352" t="s">
        <v>68</v>
      </c>
      <c r="AM750" s="353" t="s">
        <v>69</v>
      </c>
      <c r="AN750" s="353" t="s">
        <v>70</v>
      </c>
      <c r="AO750" s="314">
        <f t="shared" si="1442"/>
        <v>0.923622685185185</v>
      </c>
      <c r="AP750" s="315">
        <f t="shared" si="1443"/>
        <v>84</v>
      </c>
      <c r="AQ750" s="316" t="str">
        <f t="shared" si="1444"/>
        <v>MICRO</v>
      </c>
    </row>
    <row r="751" ht="29.25" customHeight="1" outlineLevel="1" spans="1:43">
      <c r="B751" s="317">
        <v>0.833344907407407</v>
      </c>
      <c r="C751" s="293" t="str">
        <f t="shared" ref="C751:G751" si="1571">TEXT(IF($B751=0," ",$B751-C$6),"hh:mm am/pm")</f>
        <v>18:00 001/p1</v>
      </c>
      <c r="D751" s="293" t="str">
        <f t="shared" si="1571"/>
        <v>16:00 001/p1</v>
      </c>
      <c r="E751" s="293" t="str">
        <f t="shared" si="1571"/>
        <v>17:00 001/p1</v>
      </c>
      <c r="F751" s="293" t="str">
        <f t="shared" si="1571"/>
        <v>18:00 001/p1</v>
      </c>
      <c r="G751" s="293" t="str">
        <f t="shared" si="1571"/>
        <v>19:00 001/p1</v>
      </c>
      <c r="H751" s="293" t="str">
        <f t="shared" ref="H751:I751" si="1572">TEXT(IF($B751=0," ",$B751+H$6),"hh:mm am/pm")</f>
        <v>02:00 001/p1</v>
      </c>
      <c r="I751" s="293" t="str">
        <f t="shared" si="1572"/>
        <v>07:00 001/p1</v>
      </c>
      <c r="J751" s="294" t="s">
        <v>164</v>
      </c>
      <c r="K751" s="295"/>
      <c r="L751" s="319" t="s">
        <v>129</v>
      </c>
      <c r="M751" s="320" t="s">
        <v>71</v>
      </c>
      <c r="N751" s="321" t="s">
        <v>165</v>
      </c>
      <c r="O751" s="322" t="s">
        <v>74</v>
      </c>
      <c r="P751" s="323" t="s">
        <v>101</v>
      </c>
      <c r="Q751" s="324">
        <v>200</v>
      </c>
      <c r="R751" s="375" t="s">
        <v>60</v>
      </c>
      <c r="S751" s="326"/>
      <c r="T751" s="327" t="s">
        <v>61</v>
      </c>
      <c r="U751" s="321" t="s">
        <v>62</v>
      </c>
      <c r="V751" s="321">
        <v>2</v>
      </c>
      <c r="W751" s="321">
        <v>2</v>
      </c>
      <c r="X751" s="328"/>
      <c r="Y751" s="329" t="s">
        <v>79</v>
      </c>
      <c r="Z751" s="321">
        <v>2</v>
      </c>
      <c r="AA751" s="330">
        <v>80000</v>
      </c>
      <c r="AB751" s="330" t="s">
        <v>65</v>
      </c>
      <c r="AC751" s="331">
        <v>0.1</v>
      </c>
      <c r="AD751" s="331">
        <v>0</v>
      </c>
      <c r="AE751" s="327" t="s">
        <v>88</v>
      </c>
      <c r="AF751" s="332">
        <v>40000</v>
      </c>
      <c r="AG751" s="333">
        <v>10</v>
      </c>
      <c r="AH751" s="333">
        <v>8</v>
      </c>
      <c r="AI751" s="333">
        <v>7</v>
      </c>
      <c r="AJ751" s="327">
        <v>12</v>
      </c>
      <c r="AK751" s="335" t="s">
        <v>67</v>
      </c>
      <c r="AL751" s="335" t="s">
        <v>68</v>
      </c>
      <c r="AM751" s="336" t="s">
        <v>69</v>
      </c>
      <c r="AN751" s="336" t="s">
        <v>70</v>
      </c>
      <c r="AO751" s="314">
        <f t="shared" si="1442"/>
        <v>0.923622685185185</v>
      </c>
      <c r="AP751" s="315">
        <f t="shared" si="1443"/>
        <v>112</v>
      </c>
      <c r="AQ751" s="316" t="str">
        <f t="shared" si="1444"/>
        <v>MICRO</v>
      </c>
    </row>
    <row r="752" ht="29.25" customHeight="1" outlineLevel="1" spans="1:43">
      <c r="B752" s="317">
        <v>0.833344907407407</v>
      </c>
      <c r="C752" s="293" t="str">
        <f t="shared" ref="C752:G752" si="1573">TEXT(IF($B752=0," ",$B752-C$6),"hh:mm am/pm")</f>
        <v>18:00 001/p1</v>
      </c>
      <c r="D752" s="293" t="str">
        <f t="shared" si="1573"/>
        <v>16:00 001/p1</v>
      </c>
      <c r="E752" s="293" t="str">
        <f t="shared" si="1573"/>
        <v>17:00 001/p1</v>
      </c>
      <c r="F752" s="293" t="str">
        <f t="shared" si="1573"/>
        <v>18:00 001/p1</v>
      </c>
      <c r="G752" s="293" t="str">
        <f t="shared" si="1573"/>
        <v>19:00 001/p1</v>
      </c>
      <c r="H752" s="293" t="str">
        <f t="shared" ref="H752:I752" si="1574">TEXT(IF($B752=0," ",$B752+H$6),"hh:mm am/pm")</f>
        <v>02:00 001/p1</v>
      </c>
      <c r="I752" s="293" t="str">
        <f t="shared" si="1574"/>
        <v>07:00 001/p1</v>
      </c>
      <c r="J752" s="537" t="s">
        <v>428</v>
      </c>
      <c r="K752" s="295"/>
      <c r="L752" s="337" t="s">
        <v>119</v>
      </c>
      <c r="M752" s="338" t="s">
        <v>71</v>
      </c>
      <c r="N752" s="339" t="s">
        <v>57</v>
      </c>
      <c r="O752" s="340" t="s">
        <v>74</v>
      </c>
      <c r="P752" s="341" t="s">
        <v>75</v>
      </c>
      <c r="Q752" s="342">
        <v>2400</v>
      </c>
      <c r="R752" s="343" t="s">
        <v>60</v>
      </c>
      <c r="S752" s="344"/>
      <c r="T752" s="345" t="s">
        <v>77</v>
      </c>
      <c r="U752" s="339" t="s">
        <v>78</v>
      </c>
      <c r="V752" s="339">
        <v>4</v>
      </c>
      <c r="W752" s="339">
        <v>4</v>
      </c>
      <c r="X752" s="354"/>
      <c r="Y752" s="347" t="s">
        <v>79</v>
      </c>
      <c r="Z752" s="339">
        <v>4</v>
      </c>
      <c r="AA752" s="348">
        <v>250000</v>
      </c>
      <c r="AB752" s="348" t="s">
        <v>65</v>
      </c>
      <c r="AC752" s="349">
        <v>0.1</v>
      </c>
      <c r="AD752" s="349">
        <v>0.02</v>
      </c>
      <c r="AE752" s="345" t="s">
        <v>88</v>
      </c>
      <c r="AF752" s="346">
        <v>50000</v>
      </c>
      <c r="AG752" s="350">
        <v>10</v>
      </c>
      <c r="AH752" s="350">
        <v>8</v>
      </c>
      <c r="AI752" s="350">
        <v>8</v>
      </c>
      <c r="AJ752" s="345">
        <v>15</v>
      </c>
      <c r="AK752" s="352" t="s">
        <v>67</v>
      </c>
      <c r="AL752" s="352" t="s">
        <v>68</v>
      </c>
      <c r="AM752" s="353" t="s">
        <v>69</v>
      </c>
      <c r="AN752" s="353" t="s">
        <v>70</v>
      </c>
      <c r="AO752" s="314">
        <f t="shared" si="1442"/>
        <v>0.944456018518518</v>
      </c>
      <c r="AP752" s="315">
        <f t="shared" si="1443"/>
        <v>682</v>
      </c>
      <c r="AQ752" s="316" t="str">
        <f t="shared" si="1444"/>
        <v>MICRO</v>
      </c>
    </row>
    <row r="753" ht="29.25" customHeight="1" outlineLevel="1" spans="1:43">
      <c r="A753" s="363" t="s">
        <v>410</v>
      </c>
      <c r="B753" s="317">
        <v>0.833344907407407</v>
      </c>
      <c r="C753" s="293" t="str">
        <f t="shared" ref="C753:G753" si="1575">TEXT(IF($B753=0," ",$B753-C$6),"hh:mm am/pm")</f>
        <v>18:00 001/p1</v>
      </c>
      <c r="D753" s="293" t="str">
        <f t="shared" si="1575"/>
        <v>16:00 001/p1</v>
      </c>
      <c r="E753" s="293" t="str">
        <f t="shared" si="1575"/>
        <v>17:00 001/p1</v>
      </c>
      <c r="F753" s="293" t="str">
        <f t="shared" si="1575"/>
        <v>18:00 001/p1</v>
      </c>
      <c r="G753" s="293" t="str">
        <f t="shared" si="1575"/>
        <v>19:00 001/p1</v>
      </c>
      <c r="H753" s="293" t="str">
        <f t="shared" ref="H753:I753" si="1576">TEXT(IF($B753=0," ",$B753+H$6),"hh:mm am/pm")</f>
        <v>02:00 001/p1</v>
      </c>
      <c r="I753" s="293" t="str">
        <f t="shared" si="1576"/>
        <v>07:00 001/p1</v>
      </c>
      <c r="J753" s="537" t="s">
        <v>125</v>
      </c>
      <c r="K753" s="295"/>
      <c r="L753" s="319" t="s">
        <v>126</v>
      </c>
      <c r="M753" s="320" t="s">
        <v>71</v>
      </c>
      <c r="N753" s="321" t="s">
        <v>57</v>
      </c>
      <c r="O753" s="322" t="s">
        <v>82</v>
      </c>
      <c r="P753" s="323" t="s">
        <v>75</v>
      </c>
      <c r="Q753" s="324">
        <v>1000</v>
      </c>
      <c r="R753" s="375" t="s">
        <v>60</v>
      </c>
      <c r="S753" s="326"/>
      <c r="T753" s="327" t="s">
        <v>61</v>
      </c>
      <c r="U753" s="321" t="s">
        <v>62</v>
      </c>
      <c r="V753" s="321">
        <v>5</v>
      </c>
      <c r="W753" s="321">
        <v>5</v>
      </c>
      <c r="X753" s="328"/>
      <c r="Y753" s="329" t="s">
        <v>63</v>
      </c>
      <c r="Z753" s="326"/>
      <c r="AA753" s="330" t="s">
        <v>64</v>
      </c>
      <c r="AB753" s="330" t="s">
        <v>65</v>
      </c>
      <c r="AC753" s="331">
        <v>0.1</v>
      </c>
      <c r="AD753" s="331">
        <v>0.02</v>
      </c>
      <c r="AE753" s="327" t="s">
        <v>66</v>
      </c>
      <c r="AF753" s="332">
        <v>50000</v>
      </c>
      <c r="AG753" s="333">
        <v>10</v>
      </c>
      <c r="AH753" s="333">
        <v>8</v>
      </c>
      <c r="AI753" s="333">
        <v>8</v>
      </c>
      <c r="AJ753" s="327">
        <v>15</v>
      </c>
      <c r="AK753" s="335" t="s">
        <v>67</v>
      </c>
      <c r="AL753" s="335" t="s">
        <v>68</v>
      </c>
      <c r="AM753" s="336" t="s">
        <v>69</v>
      </c>
      <c r="AN753" s="336" t="s">
        <v>70</v>
      </c>
      <c r="AO753" s="314">
        <f t="shared" si="1442"/>
        <v>0.944456018518518</v>
      </c>
      <c r="AP753" s="315">
        <f t="shared" si="1443"/>
        <v>228</v>
      </c>
      <c r="AQ753" s="316" t="str">
        <f t="shared" si="1444"/>
        <v>MICRO</v>
      </c>
    </row>
    <row r="754" ht="29.25" customHeight="1" outlineLevel="1" spans="1:43">
      <c r="B754" s="317">
        <v>0.875011574074074</v>
      </c>
      <c r="C754" s="293" t="str">
        <f t="shared" ref="C754:G754" si="1577">TEXT(IF($B754=0," ",$B754-C$6),"hh:mm am/pm")</f>
        <v>19:00 001/p1</v>
      </c>
      <c r="D754" s="293" t="str">
        <f t="shared" si="1577"/>
        <v>17:00 001/p1</v>
      </c>
      <c r="E754" s="293" t="str">
        <f t="shared" si="1577"/>
        <v>18:00 001/p1</v>
      </c>
      <c r="F754" s="293" t="str">
        <f t="shared" si="1577"/>
        <v>19:00 001/p1</v>
      </c>
      <c r="G754" s="293" t="str">
        <f t="shared" si="1577"/>
        <v>20:00 001/p1</v>
      </c>
      <c r="H754" s="293" t="str">
        <f t="shared" ref="H754:I754" si="1578">TEXT(IF($B754=0," ",$B754+H$6),"hh:mm am/pm")</f>
        <v>03:00 001/p1</v>
      </c>
      <c r="I754" s="293" t="str">
        <f t="shared" si="1578"/>
        <v>08:00 001/p1</v>
      </c>
      <c r="J754" s="294" t="s">
        <v>175</v>
      </c>
      <c r="K754" s="295"/>
      <c r="L754" s="337" t="s">
        <v>124</v>
      </c>
      <c r="M754" s="338" t="s">
        <v>71</v>
      </c>
      <c r="N754" s="339" t="s">
        <v>122</v>
      </c>
      <c r="O754" s="340" t="s">
        <v>82</v>
      </c>
      <c r="P754" s="341" t="s">
        <v>59</v>
      </c>
      <c r="Q754" s="342">
        <v>150</v>
      </c>
      <c r="R754" s="343" t="s">
        <v>60</v>
      </c>
      <c r="S754" s="344"/>
      <c r="T754" s="345" t="s">
        <v>61</v>
      </c>
      <c r="U754" s="339" t="s">
        <v>62</v>
      </c>
      <c r="V754" s="339">
        <v>0.6</v>
      </c>
      <c r="W754" s="339">
        <v>0.6</v>
      </c>
      <c r="X754" s="354"/>
      <c r="Y754" s="347" t="s">
        <v>63</v>
      </c>
      <c r="Z754" s="344"/>
      <c r="AA754" s="348" t="s">
        <v>64</v>
      </c>
      <c r="AB754" s="348" t="s">
        <v>65</v>
      </c>
      <c r="AC754" s="349">
        <v>0.1</v>
      </c>
      <c r="AD754" s="349">
        <v>0</v>
      </c>
      <c r="AE754" s="345" t="s">
        <v>66</v>
      </c>
      <c r="AF754" s="346">
        <v>50000</v>
      </c>
      <c r="AG754" s="350">
        <v>7</v>
      </c>
      <c r="AH754" s="350">
        <v>6</v>
      </c>
      <c r="AI754" s="350">
        <v>5</v>
      </c>
      <c r="AJ754" s="345">
        <v>15</v>
      </c>
      <c r="AK754" s="352" t="s">
        <v>67</v>
      </c>
      <c r="AL754" s="352" t="s">
        <v>68</v>
      </c>
      <c r="AM754" s="353" t="s">
        <v>69</v>
      </c>
      <c r="AN754" s="353" t="s">
        <v>70</v>
      </c>
      <c r="AO754" s="314">
        <f t="shared" si="1442"/>
        <v>0.951400462962963</v>
      </c>
      <c r="AP754" s="315">
        <f t="shared" si="1443"/>
        <v>278</v>
      </c>
      <c r="AQ754" s="316" t="str">
        <f t="shared" si="1444"/>
        <v>MICRO</v>
      </c>
    </row>
    <row r="755" ht="29.25" customHeight="1" outlineLevel="1" spans="1:43">
      <c r="A755" s="363" t="s">
        <v>410</v>
      </c>
      <c r="B755" s="317">
        <v>0.875011574074074</v>
      </c>
      <c r="C755" s="293" t="str">
        <f t="shared" ref="C755:G755" si="1579">TEXT(IF($B755=0," ",$B755-C$6),"hh:mm am/pm")</f>
        <v>19:00 001/p1</v>
      </c>
      <c r="D755" s="293" t="str">
        <f t="shared" si="1579"/>
        <v>17:00 001/p1</v>
      </c>
      <c r="E755" s="293" t="str">
        <f t="shared" si="1579"/>
        <v>18:00 001/p1</v>
      </c>
      <c r="F755" s="293" t="str">
        <f t="shared" si="1579"/>
        <v>19:00 001/p1</v>
      </c>
      <c r="G755" s="293" t="str">
        <f t="shared" si="1579"/>
        <v>20:00 001/p1</v>
      </c>
      <c r="H755" s="293" t="str">
        <f t="shared" ref="H755:I755" si="1580">TEXT(IF($B755=0," ",$B755+H$6),"hh:mm am/pm")</f>
        <v>03:00 001/p1</v>
      </c>
      <c r="I755" s="293" t="str">
        <f t="shared" si="1580"/>
        <v>08:00 001/p1</v>
      </c>
      <c r="J755" s="537" t="s">
        <v>429</v>
      </c>
      <c r="K755" s="295"/>
      <c r="L755" s="319" t="s">
        <v>119</v>
      </c>
      <c r="M755" s="320" t="s">
        <v>71</v>
      </c>
      <c r="N755" s="321" t="s">
        <v>57</v>
      </c>
      <c r="O755" s="322" t="s">
        <v>74</v>
      </c>
      <c r="P755" s="323" t="s">
        <v>75</v>
      </c>
      <c r="Q755" s="324">
        <v>1400</v>
      </c>
      <c r="R755" s="375" t="s">
        <v>60</v>
      </c>
      <c r="S755" s="326"/>
      <c r="T755" s="327" t="s">
        <v>77</v>
      </c>
      <c r="U755" s="321" t="s">
        <v>78</v>
      </c>
      <c r="V755" s="321">
        <v>1</v>
      </c>
      <c r="W755" s="321">
        <v>1</v>
      </c>
      <c r="X755" s="328"/>
      <c r="Y755" s="329" t="s">
        <v>79</v>
      </c>
      <c r="Z755" s="321">
        <v>1</v>
      </c>
      <c r="AA755" s="330">
        <v>120000</v>
      </c>
      <c r="AB755" s="330" t="s">
        <v>65</v>
      </c>
      <c r="AC755" s="331">
        <v>0.1</v>
      </c>
      <c r="AD755" s="331">
        <v>0.02</v>
      </c>
      <c r="AE755" s="327" t="s">
        <v>88</v>
      </c>
      <c r="AF755" s="332">
        <v>30000</v>
      </c>
      <c r="AG755" s="333">
        <v>7</v>
      </c>
      <c r="AH755" s="333">
        <v>6</v>
      </c>
      <c r="AI755" s="333">
        <v>7</v>
      </c>
      <c r="AJ755" s="327">
        <v>13</v>
      </c>
      <c r="AK755" s="335" t="s">
        <v>67</v>
      </c>
      <c r="AL755" s="335" t="s">
        <v>68</v>
      </c>
      <c r="AM755" s="336" t="s">
        <v>69</v>
      </c>
      <c r="AN755" s="336" t="s">
        <v>70</v>
      </c>
      <c r="AO755" s="314">
        <f t="shared" si="1442"/>
        <v>0.941678240740741</v>
      </c>
      <c r="AP755" s="315">
        <f t="shared" si="1443"/>
        <v>1591</v>
      </c>
      <c r="AQ755" s="316" t="str">
        <f t="shared" si="1444"/>
        <v>MICRO</v>
      </c>
    </row>
    <row r="756" ht="29.25" customHeight="1" outlineLevel="1" spans="1:43">
      <c r="B756" s="317">
        <v>0.888900462962963</v>
      </c>
      <c r="C756" s="293" t="str">
        <f t="shared" ref="C756:G756" si="1581">TEXT(IF($B756=0," ",$B756-C$6),"hh:mm am/pm")</f>
        <v>19:20 001/p1</v>
      </c>
      <c r="D756" s="293" t="str">
        <f t="shared" si="1581"/>
        <v>17:20 001/p1</v>
      </c>
      <c r="E756" s="293" t="str">
        <f t="shared" si="1581"/>
        <v>18:20 001/p1</v>
      </c>
      <c r="F756" s="293" t="str">
        <f t="shared" si="1581"/>
        <v>19:20 001/p1</v>
      </c>
      <c r="G756" s="293" t="str">
        <f t="shared" si="1581"/>
        <v>20:20 001/p1</v>
      </c>
      <c r="H756" s="293" t="str">
        <f t="shared" ref="H756:I756" si="1582">TEXT(IF($B756=0," ",$B756+H$6),"hh:mm am/pm")</f>
        <v>03:20 001/p1</v>
      </c>
      <c r="I756" s="293" t="str">
        <f t="shared" si="1582"/>
        <v>08:20 001/p1</v>
      </c>
      <c r="J756" s="537" t="s">
        <v>134</v>
      </c>
      <c r="K756" s="295"/>
      <c r="L756" s="337" t="s">
        <v>114</v>
      </c>
      <c r="M756" s="338" t="s">
        <v>71</v>
      </c>
      <c r="N756" s="339" t="s">
        <v>57</v>
      </c>
      <c r="O756" s="340" t="s">
        <v>74</v>
      </c>
      <c r="P756" s="341" t="s">
        <v>75</v>
      </c>
      <c r="Q756" s="342">
        <v>200</v>
      </c>
      <c r="R756" s="343" t="s">
        <v>60</v>
      </c>
      <c r="S756" s="344"/>
      <c r="T756" s="345" t="s">
        <v>77</v>
      </c>
      <c r="U756" s="339" t="s">
        <v>62</v>
      </c>
      <c r="V756" s="339">
        <v>0.2</v>
      </c>
      <c r="W756" s="339">
        <v>0.4</v>
      </c>
      <c r="X756" s="354"/>
      <c r="Y756" s="347" t="s">
        <v>79</v>
      </c>
      <c r="Z756" s="339">
        <v>0.8</v>
      </c>
      <c r="AA756" s="348">
        <v>100000</v>
      </c>
      <c r="AB756" s="348" t="s">
        <v>65</v>
      </c>
      <c r="AC756" s="349">
        <v>0.1</v>
      </c>
      <c r="AD756" s="349">
        <v>0</v>
      </c>
      <c r="AE756" s="345" t="s">
        <v>66</v>
      </c>
      <c r="AF756" s="346">
        <v>40000</v>
      </c>
      <c r="AG756" s="350">
        <v>7</v>
      </c>
      <c r="AH756" s="350">
        <v>6</v>
      </c>
      <c r="AI756" s="350">
        <v>5</v>
      </c>
      <c r="AJ756" s="345">
        <v>15</v>
      </c>
      <c r="AK756" s="352" t="s">
        <v>67</v>
      </c>
      <c r="AL756" s="352" t="s">
        <v>68</v>
      </c>
      <c r="AM756" s="353" t="s">
        <v>69</v>
      </c>
      <c r="AN756" s="353" t="s">
        <v>70</v>
      </c>
      <c r="AO756" s="314">
        <f t="shared" si="1442"/>
        <v>0.965289351851852</v>
      </c>
      <c r="AP756" s="315">
        <f t="shared" si="1443"/>
        <v>1112</v>
      </c>
      <c r="AQ756" s="316" t="str">
        <f t="shared" si="1444"/>
        <v>MICRO</v>
      </c>
    </row>
    <row r="757" ht="29.25" customHeight="1" outlineLevel="1" spans="1:43">
      <c r="B757" s="317">
        <v>0.916678240740741</v>
      </c>
      <c r="C757" s="293" t="str">
        <f t="shared" ref="C757:G757" si="1583">TEXT(IF($B757=0," ",$B757-C$6),"hh:mm am/pm")</f>
        <v>20:00 001/p1</v>
      </c>
      <c r="D757" s="293" t="str">
        <f t="shared" si="1583"/>
        <v>18:00 001/p1</v>
      </c>
      <c r="E757" s="293" t="str">
        <f t="shared" si="1583"/>
        <v>19:00 001/p1</v>
      </c>
      <c r="F757" s="293" t="str">
        <f t="shared" si="1583"/>
        <v>20:00 001/p1</v>
      </c>
      <c r="G757" s="293" t="str">
        <f t="shared" si="1583"/>
        <v>21:00 001/p1</v>
      </c>
      <c r="H757" s="293" t="str">
        <f t="shared" ref="H757:I757" si="1584">TEXT(IF($B757=0," ",$B757+H$6),"hh:mm am/pm")</f>
        <v>04:00 001/p1</v>
      </c>
      <c r="I757" s="293" t="str">
        <f t="shared" si="1584"/>
        <v>09:00 001/p1</v>
      </c>
      <c r="J757" s="540" t="s">
        <v>147</v>
      </c>
      <c r="K757" s="295"/>
      <c r="L757" s="319" t="s">
        <v>73</v>
      </c>
      <c r="M757" s="320" t="s">
        <v>71</v>
      </c>
      <c r="N757" s="321" t="s">
        <v>57</v>
      </c>
      <c r="O757" s="322" t="s">
        <v>74</v>
      </c>
      <c r="P757" s="323" t="s">
        <v>256</v>
      </c>
      <c r="Q757" s="324">
        <v>3200</v>
      </c>
      <c r="R757" s="325" t="s">
        <v>76</v>
      </c>
      <c r="S757" s="326"/>
      <c r="T757" s="327" t="s">
        <v>115</v>
      </c>
      <c r="U757" s="321" t="s">
        <v>62</v>
      </c>
      <c r="V757" s="321">
        <v>3</v>
      </c>
      <c r="W757" s="321">
        <v>3</v>
      </c>
      <c r="X757" s="328"/>
      <c r="Y757" s="329" t="s">
        <v>79</v>
      </c>
      <c r="Z757" s="321">
        <v>3</v>
      </c>
      <c r="AA757" s="330">
        <v>160000</v>
      </c>
      <c r="AB757" s="330" t="s">
        <v>65</v>
      </c>
      <c r="AC757" s="331">
        <v>0.1</v>
      </c>
      <c r="AD757" s="331">
        <v>0.02</v>
      </c>
      <c r="AE757" s="327" t="s">
        <v>88</v>
      </c>
      <c r="AF757" s="332">
        <v>40000</v>
      </c>
      <c r="AG757" s="333">
        <v>8</v>
      </c>
      <c r="AH757" s="333">
        <v>7</v>
      </c>
      <c r="AI757" s="333">
        <v>7</v>
      </c>
      <c r="AJ757" s="327">
        <v>13</v>
      </c>
      <c r="AK757" s="335" t="s">
        <v>67</v>
      </c>
      <c r="AL757" s="335" t="s">
        <v>68</v>
      </c>
      <c r="AM757" s="336" t="s">
        <v>69</v>
      </c>
      <c r="AN757" s="336" t="s">
        <v>70</v>
      </c>
      <c r="AO757" s="314">
        <f t="shared" si="1442"/>
        <v>0.992372685185185</v>
      </c>
      <c r="AP757" s="315">
        <f t="shared" si="1443"/>
        <v>1213</v>
      </c>
      <c r="AQ757" s="316" t="str">
        <f t="shared" si="1444"/>
        <v>MICRO</v>
      </c>
    </row>
    <row r="758" ht="29.25" customHeight="1" outlineLevel="1" spans="1:43">
      <c r="A758" s="363" t="s">
        <v>410</v>
      </c>
      <c r="B758" s="317">
        <v>0.916678240740741</v>
      </c>
      <c r="C758" s="293" t="str">
        <f t="shared" ref="C758:G758" si="1585">TEXT(IF($B758=0," ",$B758-C$6),"hh:mm am/pm")</f>
        <v>20:00 001/p1</v>
      </c>
      <c r="D758" s="293" t="str">
        <f t="shared" si="1585"/>
        <v>18:00 001/p1</v>
      </c>
      <c r="E758" s="293" t="str">
        <f t="shared" si="1585"/>
        <v>19:00 001/p1</v>
      </c>
      <c r="F758" s="293" t="str">
        <f t="shared" si="1585"/>
        <v>20:00 001/p1</v>
      </c>
      <c r="G758" s="293" t="str">
        <f t="shared" si="1585"/>
        <v>21:00 001/p1</v>
      </c>
      <c r="H758" s="293" t="str">
        <f t="shared" ref="H758:I758" si="1586">TEXT(IF($B758=0," ",$B758+H$6),"hh:mm am/pm")</f>
        <v>04:00 001/p1</v>
      </c>
      <c r="I758" s="293" t="str">
        <f t="shared" si="1586"/>
        <v>09:00 001/p1</v>
      </c>
      <c r="J758" s="537" t="s">
        <v>341</v>
      </c>
      <c r="K758" s="295"/>
      <c r="L758" s="337" t="s">
        <v>266</v>
      </c>
      <c r="M758" s="338" t="s">
        <v>71</v>
      </c>
      <c r="N758" s="339" t="s">
        <v>100</v>
      </c>
      <c r="O758" s="340" t="s">
        <v>82</v>
      </c>
      <c r="P758" s="341" t="s">
        <v>101</v>
      </c>
      <c r="Q758" s="342">
        <v>2400</v>
      </c>
      <c r="R758" s="343" t="s">
        <v>60</v>
      </c>
      <c r="S758" s="344"/>
      <c r="T758" s="345" t="s">
        <v>92</v>
      </c>
      <c r="U758" s="339" t="s">
        <v>62</v>
      </c>
      <c r="V758" s="339">
        <v>11</v>
      </c>
      <c r="W758" s="339">
        <v>11</v>
      </c>
      <c r="X758" s="354"/>
      <c r="Y758" s="347" t="s">
        <v>63</v>
      </c>
      <c r="Z758" s="344"/>
      <c r="AA758" s="348" t="s">
        <v>64</v>
      </c>
      <c r="AB758" s="348" t="s">
        <v>65</v>
      </c>
      <c r="AC758" s="349">
        <v>0.1</v>
      </c>
      <c r="AD758" s="349">
        <v>0.02</v>
      </c>
      <c r="AE758" s="345" t="s">
        <v>88</v>
      </c>
      <c r="AF758" s="346">
        <v>50000</v>
      </c>
      <c r="AG758" s="350">
        <v>7</v>
      </c>
      <c r="AH758" s="350">
        <v>6</v>
      </c>
      <c r="AI758" s="350">
        <v>8</v>
      </c>
      <c r="AJ758" s="345">
        <v>13</v>
      </c>
      <c r="AK758" s="352" t="s">
        <v>67</v>
      </c>
      <c r="AL758" s="352" t="s">
        <v>68</v>
      </c>
      <c r="AM758" s="353" t="s">
        <v>69</v>
      </c>
      <c r="AN758" s="353" t="s">
        <v>70</v>
      </c>
      <c r="AO758" s="314">
        <f t="shared" si="1442"/>
        <v>0.983344907407407</v>
      </c>
      <c r="AP758" s="315">
        <f t="shared" si="1443"/>
        <v>248</v>
      </c>
      <c r="AQ758" s="316" t="str">
        <f t="shared" si="1444"/>
        <v>LOW</v>
      </c>
    </row>
    <row r="759" ht="29.25" customHeight="1" outlineLevel="1" spans="1:43">
      <c r="B759" s="317">
        <v>0.916678240740741</v>
      </c>
      <c r="C759" s="293" t="str">
        <f t="shared" ref="C759:G759" si="1587">TEXT(IF($B759=0," ",$B759-C$6),"hh:mm am/pm")</f>
        <v>20:00 001/p1</v>
      </c>
      <c r="D759" s="293" t="str">
        <f t="shared" si="1587"/>
        <v>18:00 001/p1</v>
      </c>
      <c r="E759" s="293" t="str">
        <f t="shared" si="1587"/>
        <v>19:00 001/p1</v>
      </c>
      <c r="F759" s="293" t="str">
        <f t="shared" si="1587"/>
        <v>20:00 001/p1</v>
      </c>
      <c r="G759" s="293" t="str">
        <f t="shared" si="1587"/>
        <v>21:00 001/p1</v>
      </c>
      <c r="H759" s="293" t="str">
        <f t="shared" ref="H759:I759" si="1588">TEXT(IF($B759=0," ",$B759+H$6),"hh:mm am/pm")</f>
        <v>04:00 001/p1</v>
      </c>
      <c r="I759" s="293" t="str">
        <f t="shared" si="1588"/>
        <v>09:00 001/p1</v>
      </c>
      <c r="J759" s="294" t="s">
        <v>340</v>
      </c>
      <c r="K759" s="295"/>
      <c r="L759" s="319" t="s">
        <v>174</v>
      </c>
      <c r="M759" s="320" t="s">
        <v>71</v>
      </c>
      <c r="N759" s="321" t="s">
        <v>57</v>
      </c>
      <c r="O759" s="322" t="s">
        <v>82</v>
      </c>
      <c r="P759" s="323" t="s">
        <v>59</v>
      </c>
      <c r="Q759" s="324">
        <v>2000</v>
      </c>
      <c r="R759" s="375" t="s">
        <v>60</v>
      </c>
      <c r="S759" s="326"/>
      <c r="T759" s="327" t="s">
        <v>92</v>
      </c>
      <c r="U759" s="321" t="s">
        <v>62</v>
      </c>
      <c r="V759" s="321">
        <v>22</v>
      </c>
      <c r="W759" s="321">
        <v>22</v>
      </c>
      <c r="X759" s="328"/>
      <c r="Y759" s="329" t="s">
        <v>63</v>
      </c>
      <c r="Z759" s="326"/>
      <c r="AA759" s="330" t="s">
        <v>64</v>
      </c>
      <c r="AB759" s="330" t="s">
        <v>65</v>
      </c>
      <c r="AC759" s="331">
        <v>0.1</v>
      </c>
      <c r="AD759" s="331">
        <v>0.02</v>
      </c>
      <c r="AE759" s="327" t="s">
        <v>66</v>
      </c>
      <c r="AF759" s="332">
        <v>50000</v>
      </c>
      <c r="AG759" s="333">
        <v>8</v>
      </c>
      <c r="AH759" s="333">
        <v>8</v>
      </c>
      <c r="AI759" s="333">
        <v>8</v>
      </c>
      <c r="AJ759" s="327">
        <v>15</v>
      </c>
      <c r="AK759" s="335" t="s">
        <v>67</v>
      </c>
      <c r="AL759" s="335" t="s">
        <v>68</v>
      </c>
      <c r="AM759" s="336" t="s">
        <v>69</v>
      </c>
      <c r="AN759" s="336" t="s">
        <v>70</v>
      </c>
      <c r="AO759" s="314">
        <f t="shared" si="1442"/>
        <v>1.00695601851852</v>
      </c>
      <c r="AP759" s="315">
        <f t="shared" si="1443"/>
        <v>104</v>
      </c>
      <c r="AQ759" s="316" t="str">
        <f t="shared" si="1444"/>
        <v>MEDIUM</v>
      </c>
    </row>
    <row r="760" ht="29.25" customHeight="1" outlineLevel="1" spans="1:43">
      <c r="B760" s="317">
        <v>0.927094907407407</v>
      </c>
      <c r="C760" s="293" t="str">
        <f t="shared" ref="C760:G760" si="1589">TEXT(IF($B760=0," ",$B760-C$6),"hh:mm am/pm")</f>
        <v>20:15 001/p1</v>
      </c>
      <c r="D760" s="293" t="str">
        <f t="shared" si="1589"/>
        <v>18:15 001/p1</v>
      </c>
      <c r="E760" s="293" t="str">
        <f t="shared" si="1589"/>
        <v>19:15 001/p1</v>
      </c>
      <c r="F760" s="293" t="str">
        <f t="shared" si="1589"/>
        <v>20:15 001/p1</v>
      </c>
      <c r="G760" s="293" t="str">
        <f t="shared" si="1589"/>
        <v>21:15 001/p1</v>
      </c>
      <c r="H760" s="293" t="str">
        <f t="shared" ref="H760:I760" si="1590">TEXT(IF($B760=0," ",$B760+H$6),"hh:mm am/pm")</f>
        <v>04:15 001/p1</v>
      </c>
      <c r="I760" s="293" t="str">
        <f t="shared" si="1590"/>
        <v>09:15 001/p1</v>
      </c>
      <c r="J760" s="294" t="s">
        <v>149</v>
      </c>
      <c r="K760" s="295"/>
      <c r="L760" s="337" t="s">
        <v>149</v>
      </c>
      <c r="M760" s="338" t="s">
        <v>71</v>
      </c>
      <c r="N760" s="339" t="s">
        <v>57</v>
      </c>
      <c r="O760" s="340" t="s">
        <v>74</v>
      </c>
      <c r="P760" s="341" t="s">
        <v>75</v>
      </c>
      <c r="Q760" s="342">
        <v>60</v>
      </c>
      <c r="R760" s="343" t="s">
        <v>60</v>
      </c>
      <c r="S760" s="344"/>
      <c r="T760" s="345" t="s">
        <v>61</v>
      </c>
      <c r="U760" s="339" t="s">
        <v>62</v>
      </c>
      <c r="V760" s="339">
        <v>0.6</v>
      </c>
      <c r="W760" s="339">
        <v>0.6</v>
      </c>
      <c r="X760" s="354"/>
      <c r="Y760" s="347" t="s">
        <v>63</v>
      </c>
      <c r="Z760" s="339">
        <v>0.6</v>
      </c>
      <c r="AA760" s="348">
        <v>30000</v>
      </c>
      <c r="AB760" s="348" t="s">
        <v>65</v>
      </c>
      <c r="AC760" s="349">
        <v>0.1</v>
      </c>
      <c r="AD760" s="349">
        <v>0</v>
      </c>
      <c r="AE760" s="345" t="s">
        <v>112</v>
      </c>
      <c r="AF760" s="346">
        <v>20000</v>
      </c>
      <c r="AG760" s="350">
        <v>5</v>
      </c>
      <c r="AH760" s="350">
        <v>5</v>
      </c>
      <c r="AI760" s="350">
        <v>5</v>
      </c>
      <c r="AJ760" s="345">
        <v>15</v>
      </c>
      <c r="AK760" s="352" t="s">
        <v>150</v>
      </c>
      <c r="AL760" s="352" t="s">
        <v>68</v>
      </c>
      <c r="AM760" s="353" t="s">
        <v>69</v>
      </c>
      <c r="AN760" s="353" t="s">
        <v>70</v>
      </c>
      <c r="AO760" s="314">
        <f t="shared" si="1442"/>
        <v>0.982650462962963</v>
      </c>
      <c r="AP760" s="315">
        <f t="shared" si="1443"/>
        <v>112</v>
      </c>
      <c r="AQ760" s="316" t="str">
        <f t="shared" si="1444"/>
        <v>MICRO</v>
      </c>
    </row>
    <row r="761" ht="29.25" customHeight="1" outlineLevel="1" spans="1:43">
      <c r="A761" s="363" t="s">
        <v>410</v>
      </c>
      <c r="B761" s="317">
        <v>0.958344907407407</v>
      </c>
      <c r="C761" s="293" t="str">
        <f t="shared" ref="C761:G761" si="1591">TEXT(IF($B761=0," ",$B761-C$6),"hh:mm am/pm")</f>
        <v>21:00 001/p1</v>
      </c>
      <c r="D761" s="293" t="str">
        <f t="shared" si="1591"/>
        <v>19:00 001/p1</v>
      </c>
      <c r="E761" s="293" t="str">
        <f t="shared" si="1591"/>
        <v>20:00 001/p1</v>
      </c>
      <c r="F761" s="293" t="str">
        <f t="shared" si="1591"/>
        <v>21:00 001/p1</v>
      </c>
      <c r="G761" s="293" t="str">
        <f t="shared" si="1591"/>
        <v>22:00 001/p1</v>
      </c>
      <c r="H761" s="293" t="str">
        <f t="shared" ref="H761:I761" si="1592">TEXT(IF($B761=0," ",$B761+H$6),"hh:mm am/pm")</f>
        <v>05:00 001/p1</v>
      </c>
      <c r="I761" s="293" t="str">
        <f t="shared" si="1592"/>
        <v>10:00 001/p1</v>
      </c>
      <c r="J761" s="294" t="s">
        <v>269</v>
      </c>
      <c r="K761" s="295"/>
      <c r="L761" s="319" t="s">
        <v>126</v>
      </c>
      <c r="M761" s="320" t="s">
        <v>71</v>
      </c>
      <c r="N761" s="321" t="s">
        <v>57</v>
      </c>
      <c r="O761" s="322" t="s">
        <v>144</v>
      </c>
      <c r="P761" s="323" t="s">
        <v>59</v>
      </c>
      <c r="Q761" s="324">
        <v>240</v>
      </c>
      <c r="R761" s="375" t="s">
        <v>60</v>
      </c>
      <c r="S761" s="326"/>
      <c r="T761" s="327" t="s">
        <v>61</v>
      </c>
      <c r="U761" s="321" t="s">
        <v>62</v>
      </c>
      <c r="V761" s="321">
        <v>4</v>
      </c>
      <c r="W761" s="321">
        <v>4</v>
      </c>
      <c r="X761" s="328"/>
      <c r="Y761" s="329" t="s">
        <v>63</v>
      </c>
      <c r="Z761" s="326"/>
      <c r="AA761" s="330" t="s">
        <v>64</v>
      </c>
      <c r="AB761" s="330" t="s">
        <v>65</v>
      </c>
      <c r="AC761" s="331">
        <v>0.1</v>
      </c>
      <c r="AD761" s="331">
        <v>0.02</v>
      </c>
      <c r="AE761" s="327" t="s">
        <v>66</v>
      </c>
      <c r="AF761" s="332">
        <v>30000</v>
      </c>
      <c r="AG761" s="333">
        <v>7</v>
      </c>
      <c r="AH761" s="333">
        <v>6</v>
      </c>
      <c r="AI761" s="333">
        <v>6</v>
      </c>
      <c r="AJ761" s="327">
        <v>13</v>
      </c>
      <c r="AK761" s="335" t="s">
        <v>67</v>
      </c>
      <c r="AL761" s="335" t="s">
        <v>68</v>
      </c>
      <c r="AM761" s="336" t="s">
        <v>69</v>
      </c>
      <c r="AN761" s="336" t="s">
        <v>70</v>
      </c>
      <c r="AO761" s="314">
        <f t="shared" si="1442"/>
        <v>1.02501157407407</v>
      </c>
      <c r="AP761" s="315">
        <f t="shared" si="1443"/>
        <v>69</v>
      </c>
      <c r="AQ761" s="316" t="str">
        <f t="shared" si="1444"/>
        <v>MICRO</v>
      </c>
    </row>
    <row r="762" ht="29.25" customHeight="1" outlineLevel="1" spans="1:43">
      <c r="B762" s="317">
        <v>0.958344907407407</v>
      </c>
      <c r="C762" s="293" t="str">
        <f t="shared" ref="C762:G762" si="1593">TEXT(IF($B762=0," ",$B762-C$6),"hh:mm am/pm")</f>
        <v>21:00 001/p1</v>
      </c>
      <c r="D762" s="293" t="str">
        <f t="shared" si="1593"/>
        <v>19:00 001/p1</v>
      </c>
      <c r="E762" s="293" t="str">
        <f t="shared" si="1593"/>
        <v>20:00 001/p1</v>
      </c>
      <c r="F762" s="293" t="str">
        <f t="shared" si="1593"/>
        <v>21:00 001/p1</v>
      </c>
      <c r="G762" s="293" t="str">
        <f t="shared" si="1593"/>
        <v>22:00 001/p1</v>
      </c>
      <c r="H762" s="293" t="str">
        <f t="shared" ref="H762:I762" si="1594">TEXT(IF($B762=0," ",$B762+H$6),"hh:mm am/pm")</f>
        <v>05:00 001/p1</v>
      </c>
      <c r="I762" s="293" t="str">
        <f t="shared" si="1594"/>
        <v>10:00 001/p1</v>
      </c>
      <c r="J762" s="540" t="s">
        <v>430</v>
      </c>
      <c r="K762" s="295"/>
      <c r="L762" s="337" t="s">
        <v>73</v>
      </c>
      <c r="M762" s="338" t="s">
        <v>71</v>
      </c>
      <c r="N762" s="339" t="s">
        <v>57</v>
      </c>
      <c r="O762" s="340" t="s">
        <v>74</v>
      </c>
      <c r="P762" s="341" t="s">
        <v>75</v>
      </c>
      <c r="Q762" s="342">
        <v>830</v>
      </c>
      <c r="R762" s="377" t="s">
        <v>181</v>
      </c>
      <c r="S762" s="344"/>
      <c r="T762" s="345" t="s">
        <v>77</v>
      </c>
      <c r="U762" s="339" t="s">
        <v>78</v>
      </c>
      <c r="V762" s="339">
        <v>0.8</v>
      </c>
      <c r="W762" s="339">
        <v>0.8</v>
      </c>
      <c r="X762" s="354"/>
      <c r="Y762" s="347" t="s">
        <v>79</v>
      </c>
      <c r="Z762" s="339">
        <v>0.8</v>
      </c>
      <c r="AA762" s="348">
        <v>60000</v>
      </c>
      <c r="AB762" s="348" t="s">
        <v>65</v>
      </c>
      <c r="AC762" s="349">
        <v>0.1</v>
      </c>
      <c r="AD762" s="349">
        <v>0.02</v>
      </c>
      <c r="AE762" s="345" t="s">
        <v>66</v>
      </c>
      <c r="AF762" s="346">
        <v>20000</v>
      </c>
      <c r="AG762" s="350">
        <v>6</v>
      </c>
      <c r="AH762" s="350">
        <v>5</v>
      </c>
      <c r="AI762" s="350">
        <v>6</v>
      </c>
      <c r="AJ762" s="345">
        <v>12</v>
      </c>
      <c r="AK762" s="352" t="s">
        <v>67</v>
      </c>
      <c r="AL762" s="352" t="s">
        <v>68</v>
      </c>
      <c r="AM762" s="353" t="s">
        <v>69</v>
      </c>
      <c r="AN762" s="353" t="s">
        <v>70</v>
      </c>
      <c r="AO762" s="314">
        <f t="shared" si="1442"/>
        <v>1.01181712962963</v>
      </c>
      <c r="AP762" s="315">
        <f t="shared" si="1443"/>
        <v>1179</v>
      </c>
      <c r="AQ762" s="316" t="str">
        <f t="shared" si="1444"/>
        <v>MICRO</v>
      </c>
    </row>
    <row r="763" ht="29.25" customHeight="1" outlineLevel="1" spans="1:43">
      <c r="B763" s="317">
        <v>0.958344907407407</v>
      </c>
      <c r="C763" s="293" t="str">
        <f t="shared" ref="C763:G763" si="1595">TEXT(IF($B763=0," ",$B763-C$6),"hh:mm am/pm")</f>
        <v>21:00 001/p1</v>
      </c>
      <c r="D763" s="293" t="str">
        <f t="shared" si="1595"/>
        <v>19:00 001/p1</v>
      </c>
      <c r="E763" s="293" t="str">
        <f t="shared" si="1595"/>
        <v>20:00 001/p1</v>
      </c>
      <c r="F763" s="293" t="str">
        <f t="shared" si="1595"/>
        <v>21:00 001/p1</v>
      </c>
      <c r="G763" s="293" t="str">
        <f t="shared" si="1595"/>
        <v>22:00 001/p1</v>
      </c>
      <c r="H763" s="293" t="str">
        <f t="shared" ref="H763:I763" si="1596">TEXT(IF($B763=0," ",$B763+H$6),"hh:mm am/pm")</f>
        <v>05:00 001/p1</v>
      </c>
      <c r="I763" s="293" t="str">
        <f t="shared" si="1596"/>
        <v>10:00 001/p1</v>
      </c>
      <c r="J763" s="294" t="s">
        <v>136</v>
      </c>
      <c r="K763" s="295"/>
      <c r="L763" s="319" t="s">
        <v>114</v>
      </c>
      <c r="M763" s="320" t="s">
        <v>71</v>
      </c>
      <c r="N763" s="321" t="s">
        <v>57</v>
      </c>
      <c r="O763" s="322" t="s">
        <v>74</v>
      </c>
      <c r="P763" s="323" t="s">
        <v>75</v>
      </c>
      <c r="Q763" s="324">
        <v>100</v>
      </c>
      <c r="R763" s="375" t="s">
        <v>60</v>
      </c>
      <c r="S763" s="326"/>
      <c r="T763" s="327" t="s">
        <v>77</v>
      </c>
      <c r="U763" s="321" t="s">
        <v>62</v>
      </c>
      <c r="V763" s="321">
        <v>0.2</v>
      </c>
      <c r="W763" s="321">
        <v>0.2</v>
      </c>
      <c r="X763" s="328"/>
      <c r="Y763" s="329" t="s">
        <v>79</v>
      </c>
      <c r="Z763" s="321">
        <v>0.2</v>
      </c>
      <c r="AA763" s="330">
        <v>50000</v>
      </c>
      <c r="AB763" s="330" t="s">
        <v>65</v>
      </c>
      <c r="AC763" s="331">
        <v>0.1</v>
      </c>
      <c r="AD763" s="331">
        <v>0</v>
      </c>
      <c r="AE763" s="327" t="s">
        <v>66</v>
      </c>
      <c r="AF763" s="332">
        <v>20000</v>
      </c>
      <c r="AG763" s="333">
        <v>5</v>
      </c>
      <c r="AH763" s="333">
        <v>5</v>
      </c>
      <c r="AI763" s="333">
        <v>5</v>
      </c>
      <c r="AJ763" s="327">
        <v>12</v>
      </c>
      <c r="AK763" s="335" t="s">
        <v>67</v>
      </c>
      <c r="AL763" s="335" t="s">
        <v>68</v>
      </c>
      <c r="AM763" s="336" t="s">
        <v>69</v>
      </c>
      <c r="AN763" s="336" t="s">
        <v>70</v>
      </c>
      <c r="AO763" s="314">
        <f t="shared" si="1442"/>
        <v>1.0034837962963</v>
      </c>
      <c r="AP763" s="315">
        <f t="shared" si="1443"/>
        <v>556</v>
      </c>
      <c r="AQ763" s="316" t="str">
        <f t="shared" si="1444"/>
        <v>MICRO</v>
      </c>
    </row>
    <row r="764" ht="29.25" customHeight="1" outlineLevel="1" spans="1:43">
      <c r="A764" s="363" t="s">
        <v>410</v>
      </c>
      <c r="B764" s="317">
        <v>0.965289351851852</v>
      </c>
      <c r="C764" s="293" t="str">
        <f t="shared" ref="C764:G764" si="1597">TEXT(IF($B764=0," ",$B764-C$6),"hh:mm am/pm")</f>
        <v>21:10 001/p1</v>
      </c>
      <c r="D764" s="293" t="str">
        <f t="shared" si="1597"/>
        <v>19:10 001/p1</v>
      </c>
      <c r="E764" s="293" t="str">
        <f t="shared" si="1597"/>
        <v>20:10 001/p1</v>
      </c>
      <c r="F764" s="293" t="str">
        <f t="shared" si="1597"/>
        <v>21:10 001/p1</v>
      </c>
      <c r="G764" s="293" t="str">
        <f t="shared" si="1597"/>
        <v>22:10 001/p1</v>
      </c>
      <c r="H764" s="293" t="str">
        <f t="shared" ref="H764:I764" si="1598">TEXT(IF($B764=0," ",$B764+H$6),"hh:mm am/pm")</f>
        <v>05:10 001/p1</v>
      </c>
      <c r="I764" s="293" t="str">
        <f t="shared" si="1598"/>
        <v>10:10 001/p1</v>
      </c>
      <c r="J764" s="294" t="s">
        <v>137</v>
      </c>
      <c r="K764" s="295"/>
      <c r="L764" s="337" t="s">
        <v>129</v>
      </c>
      <c r="M764" s="338" t="s">
        <v>71</v>
      </c>
      <c r="N764" s="339" t="s">
        <v>122</v>
      </c>
      <c r="O764" s="340" t="s">
        <v>74</v>
      </c>
      <c r="P764" s="341" t="s">
        <v>101</v>
      </c>
      <c r="Q764" s="342">
        <v>100</v>
      </c>
      <c r="R764" s="343" t="s">
        <v>60</v>
      </c>
      <c r="S764" s="344"/>
      <c r="T764" s="345" t="s">
        <v>61</v>
      </c>
      <c r="U764" s="339" t="s">
        <v>62</v>
      </c>
      <c r="V764" s="339">
        <v>0.6</v>
      </c>
      <c r="W764" s="339">
        <v>0.6</v>
      </c>
      <c r="X764" s="354"/>
      <c r="Y764" s="347" t="s">
        <v>79</v>
      </c>
      <c r="Z764" s="339">
        <v>0.6</v>
      </c>
      <c r="AA764" s="348">
        <v>80000</v>
      </c>
      <c r="AB764" s="348" t="s">
        <v>65</v>
      </c>
      <c r="AC764" s="349">
        <v>0.1</v>
      </c>
      <c r="AD764" s="349">
        <v>0</v>
      </c>
      <c r="AE764" s="345" t="s">
        <v>88</v>
      </c>
      <c r="AF764" s="346">
        <v>40000</v>
      </c>
      <c r="AG764" s="350">
        <v>6</v>
      </c>
      <c r="AH764" s="350">
        <v>5</v>
      </c>
      <c r="AI764" s="350">
        <v>5</v>
      </c>
      <c r="AJ764" s="345">
        <v>12</v>
      </c>
      <c r="AK764" s="352" t="s">
        <v>67</v>
      </c>
      <c r="AL764" s="352" t="s">
        <v>68</v>
      </c>
      <c r="AM764" s="353" t="s">
        <v>69</v>
      </c>
      <c r="AN764" s="353" t="s">
        <v>70</v>
      </c>
      <c r="AO764" s="314">
        <f t="shared" si="1442"/>
        <v>1.01876157407407</v>
      </c>
      <c r="AP764" s="315">
        <f t="shared" si="1443"/>
        <v>186</v>
      </c>
      <c r="AQ764" s="316" t="str">
        <f t="shared" si="1444"/>
        <v>MICRO</v>
      </c>
    </row>
    <row r="765" ht="29.25" customHeight="1" outlineLevel="1" spans="1:43">
      <c r="B765" s="317">
        <v>0.979178240740741</v>
      </c>
      <c r="C765" s="293" t="str">
        <f t="shared" ref="C765:G765" si="1599">TEXT(IF($B765=0," ",$B765-C$6),"hh:mm am/pm")</f>
        <v>21:30 001/p1</v>
      </c>
      <c r="D765" s="293" t="str">
        <f t="shared" si="1599"/>
        <v>19:30 001/p1</v>
      </c>
      <c r="E765" s="293" t="str">
        <f t="shared" si="1599"/>
        <v>20:30 001/p1</v>
      </c>
      <c r="F765" s="293" t="str">
        <f t="shared" si="1599"/>
        <v>21:30 001/p1</v>
      </c>
      <c r="G765" s="293" t="str">
        <f t="shared" si="1599"/>
        <v>22:30 001/p1</v>
      </c>
      <c r="H765" s="293" t="str">
        <f t="shared" ref="H765:I765" si="1600">TEXT(IF($B765=0," ",$B765+H$6),"hh:mm am/pm")</f>
        <v>05:30 001/p1</v>
      </c>
      <c r="I765" s="293" t="str">
        <f t="shared" si="1600"/>
        <v>10:30 001/p1</v>
      </c>
      <c r="J765" s="294" t="s">
        <v>151</v>
      </c>
      <c r="K765" s="295"/>
      <c r="L765" s="319" t="s">
        <v>152</v>
      </c>
      <c r="M765" s="320" t="s">
        <v>71</v>
      </c>
      <c r="N765" s="321" t="s">
        <v>57</v>
      </c>
      <c r="O765" s="322" t="s">
        <v>104</v>
      </c>
      <c r="P765" s="323" t="s">
        <v>59</v>
      </c>
      <c r="Q765" s="324">
        <v>600</v>
      </c>
      <c r="R765" s="375" t="s">
        <v>60</v>
      </c>
      <c r="S765" s="326"/>
      <c r="T765" s="327" t="s">
        <v>61</v>
      </c>
      <c r="U765" s="321" t="s">
        <v>62</v>
      </c>
      <c r="V765" s="321">
        <v>2</v>
      </c>
      <c r="W765" s="321">
        <v>2</v>
      </c>
      <c r="X765" s="328"/>
      <c r="Y765" s="329" t="s">
        <v>63</v>
      </c>
      <c r="Z765" s="326"/>
      <c r="AA765" s="330" t="s">
        <v>64</v>
      </c>
      <c r="AB765" s="330" t="s">
        <v>65</v>
      </c>
      <c r="AC765" s="331">
        <v>0.1</v>
      </c>
      <c r="AD765" s="331">
        <v>0.02</v>
      </c>
      <c r="AE765" s="327" t="s">
        <v>66</v>
      </c>
      <c r="AF765" s="332">
        <v>50000</v>
      </c>
      <c r="AG765" s="333">
        <v>6</v>
      </c>
      <c r="AH765" s="333">
        <v>5</v>
      </c>
      <c r="AI765" s="333">
        <v>5</v>
      </c>
      <c r="AJ765" s="327">
        <v>15</v>
      </c>
      <c r="AK765" s="335" t="s">
        <v>67</v>
      </c>
      <c r="AL765" s="335" t="s">
        <v>68</v>
      </c>
      <c r="AM765" s="336" t="s">
        <v>69</v>
      </c>
      <c r="AN765" s="336" t="s">
        <v>70</v>
      </c>
      <c r="AO765" s="314">
        <f t="shared" si="1442"/>
        <v>1.04515046296296</v>
      </c>
      <c r="AP765" s="315">
        <f t="shared" si="1443"/>
        <v>341</v>
      </c>
      <c r="AQ765" s="316" t="str">
        <f t="shared" si="1444"/>
        <v>MICRO</v>
      </c>
    </row>
    <row r="766" ht="29.25" customHeight="1" outlineLevel="1" spans="1:43">
      <c r="B766" s="317">
        <v>0.979178240740741</v>
      </c>
      <c r="C766" s="293" t="str">
        <f t="shared" ref="C766:G766" si="1601">TEXT(IF($B766=0," ",$B766-C$6),"hh:mm am/pm")</f>
        <v>21:30 001/p1</v>
      </c>
      <c r="D766" s="293" t="str">
        <f t="shared" si="1601"/>
        <v>19:30 001/p1</v>
      </c>
      <c r="E766" s="293" t="str">
        <f t="shared" si="1601"/>
        <v>20:30 001/p1</v>
      </c>
      <c r="F766" s="293" t="str">
        <f t="shared" si="1601"/>
        <v>21:30 001/p1</v>
      </c>
      <c r="G766" s="293" t="str">
        <f t="shared" si="1601"/>
        <v>22:30 001/p1</v>
      </c>
      <c r="H766" s="293" t="str">
        <f t="shared" ref="H766:I766" si="1602">TEXT(IF($B766=0," ",$B766+H$6),"hh:mm am/pm")</f>
        <v>05:30 001/p1</v>
      </c>
      <c r="I766" s="293" t="str">
        <f t="shared" si="1602"/>
        <v>10:30 001/p1</v>
      </c>
      <c r="J766" s="294" t="s">
        <v>344</v>
      </c>
      <c r="K766" s="295"/>
      <c r="L766" s="337" t="s">
        <v>272</v>
      </c>
      <c r="M766" s="338" t="s">
        <v>71</v>
      </c>
      <c r="N766" s="339" t="s">
        <v>57</v>
      </c>
      <c r="O766" s="340" t="s">
        <v>82</v>
      </c>
      <c r="P766" s="341" t="s">
        <v>75</v>
      </c>
      <c r="Q766" s="342">
        <v>1600</v>
      </c>
      <c r="R766" s="343" t="s">
        <v>60</v>
      </c>
      <c r="S766" s="344"/>
      <c r="T766" s="345" t="s">
        <v>92</v>
      </c>
      <c r="U766" s="339" t="s">
        <v>62</v>
      </c>
      <c r="V766" s="339">
        <v>11</v>
      </c>
      <c r="W766" s="339">
        <v>11</v>
      </c>
      <c r="X766" s="354"/>
      <c r="Y766" s="347" t="s">
        <v>63</v>
      </c>
      <c r="Z766" s="344"/>
      <c r="AA766" s="348" t="s">
        <v>64</v>
      </c>
      <c r="AB766" s="348" t="s">
        <v>65</v>
      </c>
      <c r="AC766" s="349">
        <v>0.1</v>
      </c>
      <c r="AD766" s="349">
        <v>0.02</v>
      </c>
      <c r="AE766" s="345" t="s">
        <v>88</v>
      </c>
      <c r="AF766" s="346">
        <v>50000</v>
      </c>
      <c r="AG766" s="350">
        <v>6</v>
      </c>
      <c r="AH766" s="350">
        <v>6</v>
      </c>
      <c r="AI766" s="350">
        <v>6</v>
      </c>
      <c r="AJ766" s="345">
        <v>13</v>
      </c>
      <c r="AK766" s="352" t="s">
        <v>67</v>
      </c>
      <c r="AL766" s="352" t="s">
        <v>68</v>
      </c>
      <c r="AM766" s="353" t="s">
        <v>69</v>
      </c>
      <c r="AN766" s="353" t="s">
        <v>70</v>
      </c>
      <c r="AO766" s="314">
        <f t="shared" si="1442"/>
        <v>1.03681712962963</v>
      </c>
      <c r="AP766" s="315">
        <f t="shared" si="1443"/>
        <v>166</v>
      </c>
      <c r="AQ766" s="316" t="str">
        <f t="shared" si="1444"/>
        <v>LOW</v>
      </c>
    </row>
    <row r="767" ht="29.25" customHeight="1" outlineLevel="1" spans="1:43">
      <c r="A767" s="363" t="s">
        <v>410</v>
      </c>
      <c r="B767" s="317">
        <v>0.979178240740741</v>
      </c>
      <c r="C767" s="293" t="str">
        <f t="shared" ref="C767:G767" si="1603">TEXT(IF($B767=0," ",$B767-C$6),"hh:mm am/pm")</f>
        <v>21:30 001/p1</v>
      </c>
      <c r="D767" s="293" t="str">
        <f t="shared" si="1603"/>
        <v>19:30 001/p1</v>
      </c>
      <c r="E767" s="293" t="str">
        <f t="shared" si="1603"/>
        <v>20:30 001/p1</v>
      </c>
      <c r="F767" s="293" t="str">
        <f t="shared" si="1603"/>
        <v>21:30 001/p1</v>
      </c>
      <c r="G767" s="293" t="str">
        <f t="shared" si="1603"/>
        <v>22:30 001/p1</v>
      </c>
      <c r="H767" s="293" t="str">
        <f t="shared" ref="H767:I767" si="1604">TEXT(IF($B767=0," ",$B767+H$6),"hh:mm am/pm")</f>
        <v>05:30 001/p1</v>
      </c>
      <c r="I767" s="293" t="str">
        <f t="shared" si="1604"/>
        <v>10:30 001/p1</v>
      </c>
      <c r="J767" s="294" t="s">
        <v>393</v>
      </c>
      <c r="K767" s="295"/>
      <c r="L767" s="319" t="s">
        <v>346</v>
      </c>
      <c r="M767" s="320" t="s">
        <v>71</v>
      </c>
      <c r="N767" s="321" t="s">
        <v>57</v>
      </c>
      <c r="O767" s="322" t="s">
        <v>74</v>
      </c>
      <c r="P767" s="323" t="s">
        <v>59</v>
      </c>
      <c r="Q767" s="324">
        <v>1600</v>
      </c>
      <c r="R767" s="375" t="s">
        <v>60</v>
      </c>
      <c r="S767" s="326"/>
      <c r="T767" s="327" t="s">
        <v>61</v>
      </c>
      <c r="U767" s="321" t="s">
        <v>78</v>
      </c>
      <c r="V767" s="321">
        <v>30</v>
      </c>
      <c r="W767" s="321">
        <v>30</v>
      </c>
      <c r="X767" s="328"/>
      <c r="Y767" s="329" t="s">
        <v>63</v>
      </c>
      <c r="Z767" s="326"/>
      <c r="AA767" s="330" t="s">
        <v>64</v>
      </c>
      <c r="AB767" s="330" t="s">
        <v>65</v>
      </c>
      <c r="AC767" s="331">
        <v>0.1</v>
      </c>
      <c r="AD767" s="331">
        <v>0.02</v>
      </c>
      <c r="AE767" s="327" t="s">
        <v>88</v>
      </c>
      <c r="AF767" s="332">
        <v>50000</v>
      </c>
      <c r="AG767" s="333">
        <v>6</v>
      </c>
      <c r="AH767" s="333">
        <v>5</v>
      </c>
      <c r="AI767" s="333">
        <v>6</v>
      </c>
      <c r="AJ767" s="327">
        <v>13</v>
      </c>
      <c r="AK767" s="335" t="s">
        <v>67</v>
      </c>
      <c r="AL767" s="335" t="s">
        <v>68</v>
      </c>
      <c r="AM767" s="336" t="s">
        <v>69</v>
      </c>
      <c r="AN767" s="336" t="s">
        <v>70</v>
      </c>
      <c r="AO767" s="314">
        <f t="shared" si="1442"/>
        <v>1.03681712962963</v>
      </c>
      <c r="AP767" s="315">
        <f t="shared" si="1443"/>
        <v>61</v>
      </c>
      <c r="AQ767" s="316" t="str">
        <f t="shared" si="1444"/>
        <v>MEDIUM</v>
      </c>
    </row>
    <row r="768" ht="29.25" customHeight="1" outlineLevel="1" spans="1:43">
      <c r="B768" s="383"/>
      <c r="C768" s="293" t="str">
        <f t="shared" ref="C768:G768" si="1605">TEXT(IF($B768=0," ",$B768-C$6),"hh:mm am/pm")</f>
        <v> </v>
      </c>
      <c r="D768" s="293" t="str">
        <f t="shared" si="1605"/>
        <v> </v>
      </c>
      <c r="E768" s="293" t="str">
        <f t="shared" si="1605"/>
        <v> </v>
      </c>
      <c r="F768" s="293" t="str">
        <f t="shared" si="1605"/>
        <v> </v>
      </c>
      <c r="G768" s="293" t="str">
        <f t="shared" si="1605"/>
        <v> </v>
      </c>
      <c r="H768" s="293" t="str">
        <f t="shared" ref="H768:I768" si="1606">TEXT(IF($B768=0," ",$B768+H$6),"hh:mm am/pm")</f>
        <v> </v>
      </c>
      <c r="I768" s="293" t="str">
        <f t="shared" si="1606"/>
        <v> </v>
      </c>
      <c r="J768" s="380" t="s">
        <v>193</v>
      </c>
      <c r="K768" s="381"/>
      <c r="L768" s="380" t="s">
        <v>194</v>
      </c>
      <c r="M768" s="382"/>
      <c r="N768" s="382"/>
      <c r="O768" s="382"/>
      <c r="P768" s="382"/>
      <c r="Q768" s="382"/>
      <c r="R768" s="382"/>
      <c r="S768" s="382"/>
      <c r="T768" s="382"/>
      <c r="U768" s="382"/>
      <c r="V768" s="382"/>
      <c r="W768" s="382"/>
      <c r="X768" s="382"/>
      <c r="Y768" s="382"/>
      <c r="Z768" s="382"/>
      <c r="AA768" s="382"/>
      <c r="AB768" s="382"/>
      <c r="AC768" s="382"/>
      <c r="AD768" s="382"/>
      <c r="AE768" s="382"/>
      <c r="AF768" s="382"/>
      <c r="AG768" s="382"/>
      <c r="AH768" s="382"/>
      <c r="AI768" s="382"/>
      <c r="AJ768" s="382"/>
      <c r="AK768" s="382"/>
      <c r="AL768" s="382"/>
      <c r="AM768" s="382"/>
      <c r="AN768" s="382"/>
      <c r="AO768" s="314" t="str">
        <f t="shared" si="1442"/>
        <v> </v>
      </c>
      <c r="AP768" s="374">
        <f t="shared" si="1443"/>
        <v>0</v>
      </c>
      <c r="AQ768" s="316" t="str">
        <f t="shared" si="1444"/>
        <v> </v>
      </c>
    </row>
    <row r="769" ht="29.25" customHeight="1" outlineLevel="1" spans="1:43">
      <c r="B769" s="292">
        <v>0.416678240740741</v>
      </c>
      <c r="C769" s="293" t="str">
        <f t="shared" ref="C769:G769" si="1607">TEXT(IF($B769=0," ",$B769-C$6),"hh:mm am/pm")</f>
        <v>08:00 001/p1</v>
      </c>
      <c r="D769" s="293" t="str">
        <f t="shared" si="1607"/>
        <v>06:00 001/p1</v>
      </c>
      <c r="E769" s="293" t="str">
        <f t="shared" si="1607"/>
        <v>07:00 001/p1</v>
      </c>
      <c r="F769" s="293" t="str">
        <f t="shared" si="1607"/>
        <v>08:00 001/p1</v>
      </c>
      <c r="G769" s="293" t="str">
        <f t="shared" si="1607"/>
        <v>09:00 001/p1</v>
      </c>
      <c r="H769" s="293" t="str">
        <f t="shared" ref="H769:I769" si="1608">TEXT(IF($B769=0," ",$B769+H$6),"hh:mm am/pm")</f>
        <v>16:00 001/p1</v>
      </c>
      <c r="I769" s="293" t="str">
        <f t="shared" si="1608"/>
        <v>21:00 001/p1</v>
      </c>
      <c r="J769" s="384" t="str">
        <f>L728</f>
        <v>#AS Reentry</v>
      </c>
      <c r="K769" s="385"/>
      <c r="L769" s="386" t="s">
        <v>195</v>
      </c>
      <c r="M769" s="387" t="s">
        <v>196</v>
      </c>
      <c r="N769" s="388" t="s">
        <v>57</v>
      </c>
      <c r="O769" s="389" t="s">
        <v>74</v>
      </c>
      <c r="P769" s="390" t="s">
        <v>75</v>
      </c>
      <c r="Q769" s="391">
        <f>15*4</f>
        <v>60</v>
      </c>
      <c r="R769" s="392" t="s">
        <v>60</v>
      </c>
      <c r="S769" s="393"/>
      <c r="T769" s="394">
        <v>0.1</v>
      </c>
      <c r="U769" s="388" t="s">
        <v>62</v>
      </c>
      <c r="V769" s="388">
        <v>0.8</v>
      </c>
      <c r="W769" s="388">
        <v>0.8</v>
      </c>
      <c r="X769" s="395"/>
      <c r="Y769" s="396" t="s">
        <v>79</v>
      </c>
      <c r="Z769" s="388">
        <v>0.8</v>
      </c>
      <c r="AA769" s="397">
        <v>20000</v>
      </c>
      <c r="AB769" s="397" t="s">
        <v>65</v>
      </c>
      <c r="AC769" s="394">
        <v>0.05</v>
      </c>
      <c r="AD769" s="394">
        <v>0</v>
      </c>
      <c r="AE769" s="392" t="s">
        <v>88</v>
      </c>
      <c r="AF769" s="399">
        <v>10000</v>
      </c>
      <c r="AG769" s="400">
        <v>4</v>
      </c>
      <c r="AH769" s="400">
        <v>4</v>
      </c>
      <c r="AI769" s="400">
        <v>4</v>
      </c>
      <c r="AJ769" s="392">
        <v>9</v>
      </c>
      <c r="AK769" s="402" t="s">
        <v>67</v>
      </c>
      <c r="AL769" s="402" t="s">
        <v>68</v>
      </c>
      <c r="AM769" s="455" t="s">
        <v>197</v>
      </c>
      <c r="AN769" s="455" t="s">
        <v>198</v>
      </c>
      <c r="AO769" s="314">
        <f t="shared" si="1442"/>
        <v>0.441678240740741</v>
      </c>
      <c r="AP769" s="315">
        <f t="shared" si="1443"/>
        <v>79</v>
      </c>
      <c r="AQ769" s="316" t="str">
        <f t="shared" si="1444"/>
        <v>MICRO</v>
      </c>
    </row>
    <row r="770" ht="29.25" customHeight="1" outlineLevel="1" spans="1:43">
      <c r="A770" s="363" t="s">
        <v>410</v>
      </c>
      <c r="B770" s="365"/>
      <c r="C770" s="293" t="str">
        <f t="shared" ref="C770:G770" si="1609">TEXT(IF($B770=0," ",$B770-C$6),"hh:mm am/pm")</f>
        <v> </v>
      </c>
      <c r="D770" s="293" t="str">
        <f t="shared" si="1609"/>
        <v> </v>
      </c>
      <c r="E770" s="293" t="str">
        <f t="shared" si="1609"/>
        <v> </v>
      </c>
      <c r="F770" s="293" t="str">
        <f t="shared" si="1609"/>
        <v> </v>
      </c>
      <c r="G770" s="293" t="str">
        <f t="shared" si="1609"/>
        <v> </v>
      </c>
      <c r="H770" s="293" t="str">
        <f t="shared" ref="H770:I770" si="1610">TEXT(IF($B770=0," ",$B770+H$6),"hh:mm am/pm")</f>
        <v> </v>
      </c>
      <c r="I770" s="293" t="str">
        <f t="shared" si="1610"/>
        <v> </v>
      </c>
      <c r="J770" s="344"/>
      <c r="K770" s="367"/>
      <c r="L770" s="367"/>
      <c r="M770" s="368"/>
      <c r="N770" s="369"/>
      <c r="O770" s="370"/>
      <c r="P770" s="370"/>
      <c r="Q770" s="369"/>
      <c r="R770" s="369"/>
      <c r="S770" s="369"/>
      <c r="T770" s="371"/>
      <c r="U770" s="369"/>
      <c r="V770" s="369"/>
      <c r="W770" s="369"/>
      <c r="X770" s="372"/>
      <c r="Y770" s="367"/>
      <c r="Z770" s="369"/>
      <c r="AA770" s="372"/>
      <c r="AB770" s="372"/>
      <c r="AC770" s="371"/>
      <c r="AD770" s="367"/>
      <c r="AE770" s="367"/>
      <c r="AF770" s="372"/>
      <c r="AG770" s="367"/>
      <c r="AH770" s="367"/>
      <c r="AI770" s="367"/>
      <c r="AJ770" s="367"/>
      <c r="AK770" s="373"/>
      <c r="AL770" s="373"/>
      <c r="AM770" s="373"/>
      <c r="AN770" s="373"/>
      <c r="AO770" s="314" t="str">
        <f t="shared" si="1442"/>
        <v> </v>
      </c>
      <c r="AP770" s="374">
        <f t="shared" si="1443"/>
        <v>0</v>
      </c>
      <c r="AQ770" s="316" t="str">
        <f t="shared" si="1444"/>
        <v> </v>
      </c>
    </row>
    <row r="771" ht="29.25" customHeight="1" outlineLevel="1" spans="1:43">
      <c r="B771" s="317">
        <v>0.437511574074074</v>
      </c>
      <c r="C771" s="293" t="str">
        <f t="shared" ref="C771:G771" si="1611">TEXT(IF($B771=0," ",$B771-C$6),"hh:mm am/pm")</f>
        <v>08:30 001/p1</v>
      </c>
      <c r="D771" s="293" t="str">
        <f t="shared" si="1611"/>
        <v>06:30 001/p1</v>
      </c>
      <c r="E771" s="293" t="str">
        <f t="shared" si="1611"/>
        <v>07:30 001/p1</v>
      </c>
      <c r="F771" s="293" t="str">
        <f t="shared" si="1611"/>
        <v>08:30 001/p1</v>
      </c>
      <c r="G771" s="293" t="str">
        <f t="shared" si="1611"/>
        <v>09:30 001/p1</v>
      </c>
      <c r="H771" s="293" t="str">
        <f t="shared" ref="H771:I771" si="1612">TEXT(IF($B771=0," ",$B771+H$6),"hh:mm am/pm")</f>
        <v>16:30 001/p1</v>
      </c>
      <c r="I771" s="293" t="str">
        <f t="shared" si="1612"/>
        <v>21:30 001/p1</v>
      </c>
      <c r="J771" s="423" t="str">
        <f>L687</f>
        <v>#AS WarmUp</v>
      </c>
      <c r="K771" s="424"/>
      <c r="L771" s="425" t="s">
        <v>431</v>
      </c>
      <c r="M771" s="408" t="s">
        <v>196</v>
      </c>
      <c r="N771" s="409" t="s">
        <v>57</v>
      </c>
      <c r="O771" s="410" t="s">
        <v>74</v>
      </c>
      <c r="P771" s="411" t="s">
        <v>75</v>
      </c>
      <c r="Q771" s="412">
        <f t="shared" ref="Q771:Q773" si="1613">22*4</f>
        <v>88</v>
      </c>
      <c r="R771" s="409" t="s">
        <v>60</v>
      </c>
      <c r="S771" s="426"/>
      <c r="T771" s="414">
        <v>0.1</v>
      </c>
      <c r="U771" s="409" t="s">
        <v>62</v>
      </c>
      <c r="V771" s="409">
        <v>1.2</v>
      </c>
      <c r="W771" s="409">
        <v>1.2</v>
      </c>
      <c r="X771" s="415"/>
      <c r="Y771" s="416" t="s">
        <v>79</v>
      </c>
      <c r="Z771" s="409">
        <v>1.2</v>
      </c>
      <c r="AA771" s="417">
        <v>20000</v>
      </c>
      <c r="AB771" s="417" t="s">
        <v>65</v>
      </c>
      <c r="AC771" s="414">
        <v>0.05</v>
      </c>
      <c r="AD771" s="414">
        <v>0</v>
      </c>
      <c r="AE771" s="418" t="s">
        <v>88</v>
      </c>
      <c r="AF771" s="419">
        <v>10000</v>
      </c>
      <c r="AG771" s="420">
        <v>5</v>
      </c>
      <c r="AH771" s="420">
        <v>4</v>
      </c>
      <c r="AI771" s="420">
        <v>4</v>
      </c>
      <c r="AJ771" s="418">
        <v>9</v>
      </c>
      <c r="AK771" s="428" t="s">
        <v>67</v>
      </c>
      <c r="AL771" s="428" t="s">
        <v>68</v>
      </c>
      <c r="AM771" s="422" t="s">
        <v>197</v>
      </c>
      <c r="AN771" s="422" t="s">
        <v>198</v>
      </c>
      <c r="AO771" s="314">
        <f t="shared" si="1442"/>
        <v>0.468761574074074</v>
      </c>
      <c r="AP771" s="315">
        <f t="shared" si="1443"/>
        <v>78</v>
      </c>
      <c r="AQ771" s="316" t="str">
        <f t="shared" si="1444"/>
        <v>MICRO</v>
      </c>
    </row>
    <row r="772" ht="29.25" customHeight="1" outlineLevel="1" spans="1:43">
      <c r="B772" s="317">
        <v>0.479178240740741</v>
      </c>
      <c r="C772" s="293" t="str">
        <f t="shared" ref="C772:G772" si="1614">TEXT(IF($B772=0," ",$B772-C$6),"hh:mm am/pm")</f>
        <v>09:30 001/p1</v>
      </c>
      <c r="D772" s="293" t="str">
        <f t="shared" si="1614"/>
        <v>07:30 001/p1</v>
      </c>
      <c r="E772" s="293" t="str">
        <f t="shared" si="1614"/>
        <v>08:30 001/p1</v>
      </c>
      <c r="F772" s="293" t="str">
        <f t="shared" si="1614"/>
        <v>09:30 001/p1</v>
      </c>
      <c r="G772" s="293" t="str">
        <f t="shared" si="1614"/>
        <v>10:30 001/p1</v>
      </c>
      <c r="H772" s="293" t="str">
        <f t="shared" ref="H772:I772" si="1615">TEXT(IF($B772=0," ",$B772+H$6),"hh:mm am/pm")</f>
        <v>17:30 001/p1</v>
      </c>
      <c r="I772" s="293" t="str">
        <f t="shared" si="1615"/>
        <v>22:30 001/p1</v>
      </c>
      <c r="J772" s="29"/>
      <c r="K772" s="431"/>
      <c r="L772" s="432" t="s">
        <v>431</v>
      </c>
      <c r="M772" s="408" t="s">
        <v>196</v>
      </c>
      <c r="N772" s="409" t="s">
        <v>57</v>
      </c>
      <c r="O772" s="410" t="s">
        <v>74</v>
      </c>
      <c r="P772" s="411" t="s">
        <v>75</v>
      </c>
      <c r="Q772" s="412">
        <f t="shared" si="1613"/>
        <v>88</v>
      </c>
      <c r="R772" s="409" t="s">
        <v>60</v>
      </c>
      <c r="S772" s="426"/>
      <c r="T772" s="414">
        <v>0.1</v>
      </c>
      <c r="U772" s="409" t="s">
        <v>62</v>
      </c>
      <c r="V772" s="409">
        <v>1.2</v>
      </c>
      <c r="W772" s="409">
        <v>1.2</v>
      </c>
      <c r="X772" s="415"/>
      <c r="Y772" s="416" t="s">
        <v>79</v>
      </c>
      <c r="Z772" s="409">
        <v>1.2</v>
      </c>
      <c r="AA772" s="417">
        <v>20000</v>
      </c>
      <c r="AB772" s="417" t="s">
        <v>65</v>
      </c>
      <c r="AC772" s="414">
        <v>0.05</v>
      </c>
      <c r="AD772" s="414">
        <v>0</v>
      </c>
      <c r="AE772" s="418" t="s">
        <v>88</v>
      </c>
      <c r="AF772" s="419">
        <v>10000</v>
      </c>
      <c r="AG772" s="420">
        <v>4</v>
      </c>
      <c r="AH772" s="420">
        <v>4</v>
      </c>
      <c r="AI772" s="420">
        <v>4</v>
      </c>
      <c r="AJ772" s="418">
        <v>9</v>
      </c>
      <c r="AK772" s="428" t="s">
        <v>67</v>
      </c>
      <c r="AL772" s="428" t="s">
        <v>68</v>
      </c>
      <c r="AM772" s="422" t="s">
        <v>197</v>
      </c>
      <c r="AN772" s="422" t="s">
        <v>198</v>
      </c>
      <c r="AO772" s="314">
        <f t="shared" si="1442"/>
        <v>0.504178240740741</v>
      </c>
      <c r="AP772" s="315">
        <f t="shared" si="1443"/>
        <v>78</v>
      </c>
      <c r="AQ772" s="316" t="str">
        <f t="shared" si="1444"/>
        <v>MICRO</v>
      </c>
    </row>
    <row r="773" ht="29.25" customHeight="1" outlineLevel="1" spans="1:43">
      <c r="A773" s="363"/>
      <c r="B773" s="317">
        <v>0.520844907407407</v>
      </c>
      <c r="C773" s="293" t="str">
        <f t="shared" ref="C773:G773" si="1616">TEXT(IF($B773=0," ",$B773-C$6),"hh:mm am/pm")</f>
        <v>10:30 001/p1</v>
      </c>
      <c r="D773" s="293" t="str">
        <f t="shared" si="1616"/>
        <v>08:30 001/p1</v>
      </c>
      <c r="E773" s="293" t="str">
        <f t="shared" si="1616"/>
        <v>09:30 001/p1</v>
      </c>
      <c r="F773" s="293" t="str">
        <f t="shared" si="1616"/>
        <v>10:30 001/p1</v>
      </c>
      <c r="G773" s="293" t="str">
        <f t="shared" si="1616"/>
        <v>11:30 001/p1</v>
      </c>
      <c r="H773" s="293" t="str">
        <f t="shared" ref="H773:I773" si="1617">TEXT(IF($B773=0," ",$B773+H$6),"hh:mm am/pm")</f>
        <v>18:30 001/p1</v>
      </c>
      <c r="I773" s="293" t="str">
        <f t="shared" si="1617"/>
        <v>23:30 001/p1</v>
      </c>
      <c r="J773" s="124"/>
      <c r="K773" s="406"/>
      <c r="L773" s="407" t="s">
        <v>431</v>
      </c>
      <c r="M773" s="408" t="s">
        <v>196</v>
      </c>
      <c r="N773" s="409" t="s">
        <v>57</v>
      </c>
      <c r="O773" s="410" t="s">
        <v>74</v>
      </c>
      <c r="P773" s="411" t="s">
        <v>75</v>
      </c>
      <c r="Q773" s="412">
        <f t="shared" si="1613"/>
        <v>88</v>
      </c>
      <c r="R773" s="409" t="s">
        <v>60</v>
      </c>
      <c r="S773" s="426"/>
      <c r="T773" s="414">
        <v>0.1</v>
      </c>
      <c r="U773" s="409" t="s">
        <v>62</v>
      </c>
      <c r="V773" s="409">
        <v>1.2</v>
      </c>
      <c r="W773" s="409">
        <v>1.2</v>
      </c>
      <c r="X773" s="415"/>
      <c r="Y773" s="416" t="s">
        <v>79</v>
      </c>
      <c r="Z773" s="409">
        <v>1.2</v>
      </c>
      <c r="AA773" s="417">
        <v>20000</v>
      </c>
      <c r="AB773" s="417" t="s">
        <v>65</v>
      </c>
      <c r="AC773" s="414">
        <v>0.05</v>
      </c>
      <c r="AD773" s="414">
        <v>0</v>
      </c>
      <c r="AE773" s="418" t="s">
        <v>88</v>
      </c>
      <c r="AF773" s="419">
        <v>10000</v>
      </c>
      <c r="AG773" s="420">
        <v>4</v>
      </c>
      <c r="AH773" s="420">
        <v>4</v>
      </c>
      <c r="AI773" s="420">
        <v>4</v>
      </c>
      <c r="AJ773" s="418">
        <v>9</v>
      </c>
      <c r="AK773" s="428" t="s">
        <v>67</v>
      </c>
      <c r="AL773" s="428" t="s">
        <v>68</v>
      </c>
      <c r="AM773" s="422" t="s">
        <v>197</v>
      </c>
      <c r="AN773" s="422" t="s">
        <v>198</v>
      </c>
      <c r="AO773" s="314">
        <f t="shared" si="1442"/>
        <v>0.545844907407407</v>
      </c>
      <c r="AP773" s="315">
        <f t="shared" si="1443"/>
        <v>78</v>
      </c>
      <c r="AQ773" s="316" t="str">
        <f t="shared" si="1444"/>
        <v>MICRO</v>
      </c>
    </row>
    <row r="774" ht="29.25" customHeight="1" outlineLevel="1" spans="1:43">
      <c r="A774" s="363"/>
      <c r="B774" s="365"/>
      <c r="C774" s="293" t="str">
        <f t="shared" ref="C774:G774" si="1618">TEXT(IF($B774=0," ",$B774-C$6),"hh:mm am/pm")</f>
        <v> </v>
      </c>
      <c r="D774" s="293" t="str">
        <f t="shared" si="1618"/>
        <v> </v>
      </c>
      <c r="E774" s="293" t="str">
        <f t="shared" si="1618"/>
        <v> </v>
      </c>
      <c r="F774" s="293" t="str">
        <f t="shared" si="1618"/>
        <v> </v>
      </c>
      <c r="G774" s="293" t="str">
        <f t="shared" si="1618"/>
        <v> </v>
      </c>
      <c r="H774" s="293" t="str">
        <f t="shared" ref="H774:I774" si="1619">TEXT(IF($B774=0," ",$B774+H$6),"hh:mm am/pm")</f>
        <v> </v>
      </c>
      <c r="I774" s="293" t="str">
        <f t="shared" si="1619"/>
        <v> </v>
      </c>
      <c r="J774" s="344"/>
      <c r="K774" s="367"/>
      <c r="L774" s="367"/>
      <c r="M774" s="368"/>
      <c r="N774" s="369"/>
      <c r="O774" s="370"/>
      <c r="P774" s="370"/>
      <c r="Q774" s="369"/>
      <c r="R774" s="369"/>
      <c r="S774" s="369"/>
      <c r="T774" s="371"/>
      <c r="U774" s="369"/>
      <c r="V774" s="369"/>
      <c r="W774" s="369"/>
      <c r="X774" s="372"/>
      <c r="Y774" s="367"/>
      <c r="Z774" s="369"/>
      <c r="AA774" s="372"/>
      <c r="AB774" s="372"/>
      <c r="AC774" s="371"/>
      <c r="AD774" s="371"/>
      <c r="AE774" s="367"/>
      <c r="AF774" s="372"/>
      <c r="AG774" s="367"/>
      <c r="AH774" s="367"/>
      <c r="AI774" s="367"/>
      <c r="AJ774" s="367"/>
      <c r="AK774" s="373"/>
      <c r="AL774" s="373"/>
      <c r="AM774" s="373"/>
      <c r="AN774" s="373"/>
      <c r="AO774" s="314" t="str">
        <f t="shared" si="1442"/>
        <v> </v>
      </c>
      <c r="AP774" s="374">
        <f t="shared" si="1443"/>
        <v>0</v>
      </c>
      <c r="AQ774" s="316" t="str">
        <f t="shared" si="1444"/>
        <v> </v>
      </c>
    </row>
    <row r="775" ht="29.25" customHeight="1" outlineLevel="1" spans="1:43">
      <c r="B775" s="317">
        <v>0.541678240740741</v>
      </c>
      <c r="C775" s="293" t="str">
        <f t="shared" ref="C775:G775" si="1620">TEXT(IF($B775=0," ",$B775-C$6),"hh:mm am/pm")</f>
        <v>11:00 001/p1</v>
      </c>
      <c r="D775" s="293" t="str">
        <f t="shared" si="1620"/>
        <v>09:00 001/p1</v>
      </c>
      <c r="E775" s="293" t="str">
        <f t="shared" si="1620"/>
        <v>10:00 001/p1</v>
      </c>
      <c r="F775" s="293" t="str">
        <f t="shared" si="1620"/>
        <v>11:00 001/p1</v>
      </c>
      <c r="G775" s="293" t="str">
        <f t="shared" si="1620"/>
        <v>12:00 001/p1</v>
      </c>
      <c r="H775" s="293" t="str">
        <f t="shared" ref="H775:I775" si="1621">TEXT(IF($B775=0," ",$B775+H$6),"hh:mm am/pm")</f>
        <v>19:00 001/p1</v>
      </c>
      <c r="I775" s="293" t="str">
        <f t="shared" si="1621"/>
        <v>00:00 001/p1</v>
      </c>
      <c r="J775" s="430" t="str">
        <f>L692</f>
        <v>#AS Battle HR+SPS</v>
      </c>
      <c r="K775" s="431"/>
      <c r="L775" s="432" t="s">
        <v>432</v>
      </c>
      <c r="M775" s="408" t="s">
        <v>196</v>
      </c>
      <c r="N775" s="409" t="s">
        <v>57</v>
      </c>
      <c r="O775" s="410" t="s">
        <v>74</v>
      </c>
      <c r="P775" s="411" t="s">
        <v>59</v>
      </c>
      <c r="Q775" s="412">
        <f>30*3</f>
        <v>90</v>
      </c>
      <c r="R775" s="414" t="s">
        <v>60</v>
      </c>
      <c r="S775" s="413"/>
      <c r="T775" s="414">
        <v>0.1</v>
      </c>
      <c r="U775" s="409" t="s">
        <v>62</v>
      </c>
      <c r="V775" s="409">
        <v>1.8</v>
      </c>
      <c r="W775" s="409">
        <v>1.8</v>
      </c>
      <c r="X775" s="415"/>
      <c r="Y775" s="416" t="s">
        <v>79</v>
      </c>
      <c r="Z775" s="409">
        <v>1.8</v>
      </c>
      <c r="AA775" s="417">
        <v>20000</v>
      </c>
      <c r="AB775" s="417" t="s">
        <v>65</v>
      </c>
      <c r="AC775" s="414">
        <v>0.05</v>
      </c>
      <c r="AD775" s="414">
        <v>0</v>
      </c>
      <c r="AE775" s="418" t="s">
        <v>88</v>
      </c>
      <c r="AF775" s="419">
        <v>10000</v>
      </c>
      <c r="AG775" s="420">
        <v>5</v>
      </c>
      <c r="AH775" s="420">
        <v>4</v>
      </c>
      <c r="AI775" s="420">
        <v>4</v>
      </c>
      <c r="AJ775" s="418">
        <v>9</v>
      </c>
      <c r="AK775" s="428" t="s">
        <v>67</v>
      </c>
      <c r="AL775" s="428" t="s">
        <v>68</v>
      </c>
      <c r="AM775" s="422" t="s">
        <v>197</v>
      </c>
      <c r="AN775" s="403" t="s">
        <v>198</v>
      </c>
      <c r="AO775" s="314">
        <f t="shared" si="1442"/>
        <v>0.572928240740741</v>
      </c>
      <c r="AP775" s="315">
        <f t="shared" si="1443"/>
        <v>53</v>
      </c>
      <c r="AQ775" s="316" t="str">
        <f t="shared" si="1444"/>
        <v>MICRO</v>
      </c>
    </row>
    <row r="776" ht="29.25" customHeight="1" outlineLevel="1" spans="1:43">
      <c r="A776" s="363" t="s">
        <v>410</v>
      </c>
      <c r="B776" s="317">
        <v>0.583344907407407</v>
      </c>
      <c r="C776" s="293" t="str">
        <f t="shared" ref="C776:G776" si="1622">TEXT(IF($B776=0," ",$B776-C$6),"hh:mm am/pm")</f>
        <v>12:00 001/p1</v>
      </c>
      <c r="D776" s="293" t="str">
        <f t="shared" si="1622"/>
        <v>10:00 001/p1</v>
      </c>
      <c r="E776" s="293" t="str">
        <f t="shared" si="1622"/>
        <v>11:00 001/p1</v>
      </c>
      <c r="F776" s="293" t="str">
        <f t="shared" si="1622"/>
        <v>12:00 001/p1</v>
      </c>
      <c r="G776" s="293" t="str">
        <f t="shared" si="1622"/>
        <v>13:00 001/p1</v>
      </c>
      <c r="H776" s="293" t="str">
        <f t="shared" ref="H776:I776" si="1623">TEXT(IF($B776=0," ",$B776+H$6),"hh:mm am/pm")</f>
        <v>20:00 001/p1</v>
      </c>
      <c r="I776" s="293" t="str">
        <f t="shared" si="1623"/>
        <v>01:00 001/p1</v>
      </c>
      <c r="J776" s="29"/>
      <c r="K776" s="431"/>
      <c r="L776" s="432" t="s">
        <v>201</v>
      </c>
      <c r="M776" s="408" t="s">
        <v>196</v>
      </c>
      <c r="N776" s="409" t="s">
        <v>57</v>
      </c>
      <c r="O776" s="410" t="s">
        <v>74</v>
      </c>
      <c r="P776" s="411" t="s">
        <v>59</v>
      </c>
      <c r="Q776" s="412">
        <f>30*4</f>
        <v>120</v>
      </c>
      <c r="R776" s="414" t="s">
        <v>60</v>
      </c>
      <c r="S776" s="413"/>
      <c r="T776" s="414">
        <v>0.1</v>
      </c>
      <c r="U776" s="409" t="s">
        <v>62</v>
      </c>
      <c r="V776" s="409">
        <v>2</v>
      </c>
      <c r="W776" s="409">
        <v>2</v>
      </c>
      <c r="X776" s="415"/>
      <c r="Y776" s="416" t="s">
        <v>79</v>
      </c>
      <c r="Z776" s="409">
        <v>2</v>
      </c>
      <c r="AA776" s="417">
        <v>20000</v>
      </c>
      <c r="AB776" s="417" t="s">
        <v>65</v>
      </c>
      <c r="AC776" s="414">
        <v>0.05</v>
      </c>
      <c r="AD776" s="414">
        <v>0</v>
      </c>
      <c r="AE776" s="418" t="s">
        <v>88</v>
      </c>
      <c r="AF776" s="419">
        <v>10000</v>
      </c>
      <c r="AG776" s="420">
        <v>5</v>
      </c>
      <c r="AH776" s="420">
        <v>4</v>
      </c>
      <c r="AI776" s="420">
        <v>4</v>
      </c>
      <c r="AJ776" s="418">
        <v>9</v>
      </c>
      <c r="AK776" s="428" t="s">
        <v>67</v>
      </c>
      <c r="AL776" s="428" t="s">
        <v>68</v>
      </c>
      <c r="AM776" s="422" t="s">
        <v>197</v>
      </c>
      <c r="AN776" s="403" t="s">
        <v>198</v>
      </c>
      <c r="AO776" s="314">
        <f t="shared" si="1442"/>
        <v>0.614594907407407</v>
      </c>
      <c r="AP776" s="315">
        <f t="shared" si="1443"/>
        <v>64</v>
      </c>
      <c r="AQ776" s="316" t="str">
        <f t="shared" si="1444"/>
        <v>MICRO</v>
      </c>
    </row>
    <row r="777" ht="29.25" customHeight="1" outlineLevel="1" spans="1:43">
      <c r="B777" s="317">
        <v>0.625011574074074</v>
      </c>
      <c r="C777" s="293" t="str">
        <f t="shared" ref="C777:G777" si="1624">TEXT(IF($B777=0," ",$B777-C$6),"hh:mm am/pm")</f>
        <v>13:00 001/p1</v>
      </c>
      <c r="D777" s="293" t="str">
        <f t="shared" si="1624"/>
        <v>11:00 001/p1</v>
      </c>
      <c r="E777" s="293" t="str">
        <f t="shared" si="1624"/>
        <v>12:00 001/p1</v>
      </c>
      <c r="F777" s="293" t="str">
        <f t="shared" si="1624"/>
        <v>13:00 001/p1</v>
      </c>
      <c r="G777" s="293" t="str">
        <f t="shared" si="1624"/>
        <v>14:00 001/p1</v>
      </c>
      <c r="H777" s="293" t="str">
        <f t="shared" ref="H777:I777" si="1625">TEXT(IF($B777=0," ",$B777+H$6),"hh:mm am/pm")</f>
        <v>21:00 001/p1</v>
      </c>
      <c r="I777" s="293" t="str">
        <f t="shared" si="1625"/>
        <v>02:00 001/p1</v>
      </c>
      <c r="J777" s="29"/>
      <c r="K777" s="431"/>
      <c r="L777" s="432" t="s">
        <v>279</v>
      </c>
      <c r="M777" s="408" t="s">
        <v>196</v>
      </c>
      <c r="N777" s="409" t="s">
        <v>57</v>
      </c>
      <c r="O777" s="410" t="s">
        <v>74</v>
      </c>
      <c r="P777" s="411" t="s">
        <v>59</v>
      </c>
      <c r="Q777" s="412">
        <f>30*5</f>
        <v>150</v>
      </c>
      <c r="R777" s="414" t="s">
        <v>60</v>
      </c>
      <c r="S777" s="413"/>
      <c r="T777" s="414">
        <v>0.1</v>
      </c>
      <c r="U777" s="409" t="s">
        <v>62</v>
      </c>
      <c r="V777" s="409">
        <v>2</v>
      </c>
      <c r="W777" s="409">
        <v>2</v>
      </c>
      <c r="X777" s="415"/>
      <c r="Y777" s="416" t="s">
        <v>79</v>
      </c>
      <c r="Z777" s="409">
        <v>2</v>
      </c>
      <c r="AA777" s="417">
        <v>20000</v>
      </c>
      <c r="AB777" s="417" t="s">
        <v>65</v>
      </c>
      <c r="AC777" s="414">
        <v>0.05</v>
      </c>
      <c r="AD777" s="414">
        <v>0</v>
      </c>
      <c r="AE777" s="418" t="s">
        <v>88</v>
      </c>
      <c r="AF777" s="419">
        <v>10000</v>
      </c>
      <c r="AG777" s="420">
        <v>5</v>
      </c>
      <c r="AH777" s="420">
        <v>4</v>
      </c>
      <c r="AI777" s="420">
        <v>4</v>
      </c>
      <c r="AJ777" s="418">
        <v>9</v>
      </c>
      <c r="AK777" s="428" t="s">
        <v>67</v>
      </c>
      <c r="AL777" s="428" t="s">
        <v>68</v>
      </c>
      <c r="AM777" s="422" t="s">
        <v>197</v>
      </c>
      <c r="AN777" s="403" t="s">
        <v>198</v>
      </c>
      <c r="AO777" s="314">
        <f t="shared" si="1442"/>
        <v>0.656261574074074</v>
      </c>
      <c r="AP777" s="315">
        <f t="shared" si="1443"/>
        <v>79</v>
      </c>
      <c r="AQ777" s="316" t="str">
        <f t="shared" si="1444"/>
        <v>MICRO</v>
      </c>
    </row>
    <row r="778" ht="29.25" customHeight="1" outlineLevel="1" spans="1:43">
      <c r="B778" s="317">
        <v>0.666678240740741</v>
      </c>
      <c r="C778" s="293" t="str">
        <f t="shared" ref="C778:G778" si="1626">TEXT(IF($B778=0," ",$B778-C$6),"hh:mm am/pm")</f>
        <v>14:00 001/p1</v>
      </c>
      <c r="D778" s="293" t="str">
        <f t="shared" si="1626"/>
        <v>12:00 001/p1</v>
      </c>
      <c r="E778" s="293" t="str">
        <f t="shared" si="1626"/>
        <v>13:00 001/p1</v>
      </c>
      <c r="F778" s="293" t="str">
        <f t="shared" si="1626"/>
        <v>14:00 001/p1</v>
      </c>
      <c r="G778" s="293" t="str">
        <f t="shared" si="1626"/>
        <v>15:00 001/p1</v>
      </c>
      <c r="H778" s="293" t="str">
        <f t="shared" ref="H778:I778" si="1627">TEXT(IF($B778=0," ",$B778+H$6),"hh:mm am/pm")</f>
        <v>22:00 001/p1</v>
      </c>
      <c r="I778" s="293" t="str">
        <f t="shared" si="1627"/>
        <v>03:00 001/p1</v>
      </c>
      <c r="J778" s="29"/>
      <c r="K778" s="431"/>
      <c r="L778" s="432" t="s">
        <v>202</v>
      </c>
      <c r="M778" s="408" t="s">
        <v>196</v>
      </c>
      <c r="N778" s="409" t="s">
        <v>57</v>
      </c>
      <c r="O778" s="410" t="s">
        <v>74</v>
      </c>
      <c r="P778" s="411" t="s">
        <v>59</v>
      </c>
      <c r="Q778" s="412">
        <f>30*6</f>
        <v>180</v>
      </c>
      <c r="R778" s="414" t="s">
        <v>60</v>
      </c>
      <c r="S778" s="413"/>
      <c r="T778" s="414">
        <v>0.1</v>
      </c>
      <c r="U778" s="409" t="s">
        <v>62</v>
      </c>
      <c r="V778" s="409">
        <v>2</v>
      </c>
      <c r="W778" s="409">
        <v>2</v>
      </c>
      <c r="X778" s="415"/>
      <c r="Y778" s="416" t="s">
        <v>79</v>
      </c>
      <c r="Z778" s="409">
        <v>2</v>
      </c>
      <c r="AA778" s="417">
        <v>20000</v>
      </c>
      <c r="AB778" s="417" t="s">
        <v>65</v>
      </c>
      <c r="AC778" s="414">
        <v>0.05</v>
      </c>
      <c r="AD778" s="414">
        <v>0</v>
      </c>
      <c r="AE778" s="418" t="s">
        <v>88</v>
      </c>
      <c r="AF778" s="419">
        <v>10000</v>
      </c>
      <c r="AG778" s="420">
        <v>5</v>
      </c>
      <c r="AH778" s="420">
        <v>4</v>
      </c>
      <c r="AI778" s="420">
        <v>4</v>
      </c>
      <c r="AJ778" s="418">
        <v>9</v>
      </c>
      <c r="AK778" s="428" t="s">
        <v>67</v>
      </c>
      <c r="AL778" s="428" t="s">
        <v>68</v>
      </c>
      <c r="AM778" s="422" t="s">
        <v>197</v>
      </c>
      <c r="AN778" s="403" t="s">
        <v>198</v>
      </c>
      <c r="AO778" s="314">
        <f t="shared" si="1442"/>
        <v>0.697928240740741</v>
      </c>
      <c r="AP778" s="315">
        <f t="shared" si="1443"/>
        <v>95</v>
      </c>
      <c r="AQ778" s="316" t="str">
        <f t="shared" si="1444"/>
        <v>MICRO</v>
      </c>
    </row>
    <row r="779" ht="29.25" customHeight="1" outlineLevel="1" spans="1:43">
      <c r="A779" s="363"/>
      <c r="B779" s="317">
        <v>0.729178240740741</v>
      </c>
      <c r="C779" s="293" t="str">
        <f t="shared" ref="C779:G779" si="1628">TEXT(IF($B779=0," ",$B779-C$6),"hh:mm am/pm")</f>
        <v>15:30 001/p1</v>
      </c>
      <c r="D779" s="293" t="str">
        <f t="shared" si="1628"/>
        <v>13:30 001/p1</v>
      </c>
      <c r="E779" s="293" t="str">
        <f t="shared" si="1628"/>
        <v>14:30 001/p1</v>
      </c>
      <c r="F779" s="293" t="str">
        <f t="shared" si="1628"/>
        <v>15:30 001/p1</v>
      </c>
      <c r="G779" s="293" t="str">
        <f t="shared" si="1628"/>
        <v>16:30 001/p1</v>
      </c>
      <c r="H779" s="293" t="str">
        <f t="shared" ref="H779:I779" si="1629">TEXT(IF($B779=0," ",$B779+H$6),"hh:mm am/pm")</f>
        <v>23:30 001/p1</v>
      </c>
      <c r="I779" s="293" t="str">
        <f t="shared" si="1629"/>
        <v>04:30 001/p1</v>
      </c>
      <c r="J779" s="124"/>
      <c r="K779" s="406"/>
      <c r="L779" s="407" t="s">
        <v>203</v>
      </c>
      <c r="M779" s="408" t="s">
        <v>196</v>
      </c>
      <c r="N779" s="409" t="s">
        <v>57</v>
      </c>
      <c r="O779" s="410" t="s">
        <v>74</v>
      </c>
      <c r="P779" s="411" t="s">
        <v>59</v>
      </c>
      <c r="Q779" s="412">
        <f>30*7</f>
        <v>210</v>
      </c>
      <c r="R779" s="414" t="s">
        <v>60</v>
      </c>
      <c r="S779" s="413"/>
      <c r="T779" s="414">
        <v>0.1</v>
      </c>
      <c r="U779" s="409" t="s">
        <v>62</v>
      </c>
      <c r="V779" s="409">
        <v>2</v>
      </c>
      <c r="W779" s="409">
        <v>2</v>
      </c>
      <c r="X779" s="415"/>
      <c r="Y779" s="416" t="s">
        <v>79</v>
      </c>
      <c r="Z779" s="409">
        <v>2</v>
      </c>
      <c r="AA779" s="417">
        <v>20000</v>
      </c>
      <c r="AB779" s="417" t="s">
        <v>65</v>
      </c>
      <c r="AC779" s="414">
        <v>0.05</v>
      </c>
      <c r="AD779" s="414">
        <v>0</v>
      </c>
      <c r="AE779" s="418" t="s">
        <v>88</v>
      </c>
      <c r="AF779" s="419">
        <v>10000</v>
      </c>
      <c r="AG779" s="420">
        <v>4</v>
      </c>
      <c r="AH779" s="420">
        <v>4</v>
      </c>
      <c r="AI779" s="420">
        <v>3</v>
      </c>
      <c r="AJ779" s="418">
        <v>9</v>
      </c>
      <c r="AK779" s="428" t="s">
        <v>67</v>
      </c>
      <c r="AL779" s="428" t="s">
        <v>68</v>
      </c>
      <c r="AM779" s="422" t="s">
        <v>197</v>
      </c>
      <c r="AN779" s="403" t="s">
        <v>198</v>
      </c>
      <c r="AO779" s="314">
        <f t="shared" si="1442"/>
        <v>0.754178240740741</v>
      </c>
      <c r="AP779" s="315">
        <f t="shared" si="1443"/>
        <v>111</v>
      </c>
      <c r="AQ779" s="316" t="str">
        <f t="shared" si="1444"/>
        <v>MICRO</v>
      </c>
    </row>
    <row r="780" ht="29.25" customHeight="1" outlineLevel="1" spans="1:43">
      <c r="A780" s="363"/>
      <c r="B780" s="365"/>
      <c r="C780" s="293" t="str">
        <f t="shared" ref="C780:G780" si="1630">TEXT(IF($B780=0," ",$B780-C$6),"hh:mm am/pm")</f>
        <v> </v>
      </c>
      <c r="D780" s="293" t="str">
        <f t="shared" si="1630"/>
        <v> </v>
      </c>
      <c r="E780" s="293" t="str">
        <f t="shared" si="1630"/>
        <v> </v>
      </c>
      <c r="F780" s="293" t="str">
        <f t="shared" si="1630"/>
        <v> </v>
      </c>
      <c r="G780" s="293" t="str">
        <f t="shared" si="1630"/>
        <v> </v>
      </c>
      <c r="H780" s="293" t="str">
        <f t="shared" ref="H780:I780" si="1631">TEXT(IF($B780=0," ",$B780+H$6),"hh:mm am/pm")</f>
        <v> </v>
      </c>
      <c r="I780" s="293" t="str">
        <f t="shared" si="1631"/>
        <v> </v>
      </c>
      <c r="J780" s="344"/>
      <c r="K780" s="367"/>
      <c r="L780" s="367"/>
      <c r="M780" s="368"/>
      <c r="N780" s="369"/>
      <c r="O780" s="370"/>
      <c r="P780" s="370"/>
      <c r="Q780" s="369"/>
      <c r="R780" s="369"/>
      <c r="S780" s="369"/>
      <c r="T780" s="371"/>
      <c r="U780" s="369"/>
      <c r="V780" s="369"/>
      <c r="W780" s="369"/>
      <c r="X780" s="372"/>
      <c r="Y780" s="367"/>
      <c r="Z780" s="369"/>
      <c r="AA780" s="372"/>
      <c r="AB780" s="372"/>
      <c r="AC780" s="371"/>
      <c r="AD780" s="371"/>
      <c r="AE780" s="367"/>
      <c r="AF780" s="372"/>
      <c r="AG780" s="367"/>
      <c r="AH780" s="367"/>
      <c r="AI780" s="367"/>
      <c r="AJ780" s="367"/>
      <c r="AK780" s="373"/>
      <c r="AL780" s="373"/>
      <c r="AM780" s="373"/>
      <c r="AN780" s="373"/>
      <c r="AO780" s="383"/>
      <c r="AP780" s="374"/>
      <c r="AQ780" s="383"/>
    </row>
    <row r="781" ht="29.25" customHeight="1" outlineLevel="1" spans="1:43">
      <c r="A781" s="363"/>
      <c r="B781" s="317">
        <v>0.583344907407407</v>
      </c>
      <c r="C781" s="293" t="str">
        <f t="shared" ref="C781:G781" si="1632">TEXT(IF($B781=0," ",$B781-C$6),"hh:mm am/pm")</f>
        <v>12:00 001/p1</v>
      </c>
      <c r="D781" s="293" t="str">
        <f t="shared" si="1632"/>
        <v>10:00 001/p1</v>
      </c>
      <c r="E781" s="293" t="str">
        <f t="shared" si="1632"/>
        <v>11:00 001/p1</v>
      </c>
      <c r="F781" s="293" t="str">
        <f t="shared" si="1632"/>
        <v>12:00 001/p1</v>
      </c>
      <c r="G781" s="293" t="str">
        <f t="shared" si="1632"/>
        <v>13:00 001/p1</v>
      </c>
      <c r="H781" s="293" t="str">
        <f t="shared" ref="H781:I781" si="1633">TEXT(IF($B781=0," ",$B781+H$6),"hh:mm am/pm")</f>
        <v>20:00 001/p1</v>
      </c>
      <c r="I781" s="293" t="str">
        <f t="shared" si="1633"/>
        <v>01:00 001/p1</v>
      </c>
      <c r="J781" s="433" t="str">
        <f>L689</f>
        <v>#AS Saturday PLO</v>
      </c>
      <c r="K781" s="385"/>
      <c r="L781" s="386" t="s">
        <v>433</v>
      </c>
      <c r="M781" s="408" t="s">
        <v>196</v>
      </c>
      <c r="N781" s="409" t="s">
        <v>100</v>
      </c>
      <c r="O781" s="410" t="s">
        <v>74</v>
      </c>
      <c r="P781" s="411" t="s">
        <v>101</v>
      </c>
      <c r="Q781" s="412">
        <f>30*5</f>
        <v>150</v>
      </c>
      <c r="R781" s="414" t="s">
        <v>60</v>
      </c>
      <c r="S781" s="413"/>
      <c r="T781" s="414">
        <v>0.1</v>
      </c>
      <c r="U781" s="409" t="s">
        <v>62</v>
      </c>
      <c r="V781" s="409">
        <v>1.8</v>
      </c>
      <c r="W781" s="409">
        <v>1.8</v>
      </c>
      <c r="X781" s="415"/>
      <c r="Y781" s="416" t="s">
        <v>79</v>
      </c>
      <c r="Z781" s="409">
        <v>1.8</v>
      </c>
      <c r="AA781" s="417">
        <v>20000</v>
      </c>
      <c r="AB781" s="417" t="s">
        <v>65</v>
      </c>
      <c r="AC781" s="414">
        <v>0.05</v>
      </c>
      <c r="AD781" s="414">
        <v>0</v>
      </c>
      <c r="AE781" s="418" t="s">
        <v>88</v>
      </c>
      <c r="AF781" s="419">
        <v>10000</v>
      </c>
      <c r="AG781" s="420">
        <v>4</v>
      </c>
      <c r="AH781" s="420">
        <v>4</v>
      </c>
      <c r="AI781" s="420">
        <v>4</v>
      </c>
      <c r="AJ781" s="418">
        <v>9</v>
      </c>
      <c r="AK781" s="428" t="s">
        <v>67</v>
      </c>
      <c r="AL781" s="428" t="s">
        <v>68</v>
      </c>
      <c r="AM781" s="422" t="s">
        <v>197</v>
      </c>
      <c r="AN781" s="403" t="s">
        <v>198</v>
      </c>
      <c r="AO781" s="314">
        <f t="shared" ref="AO781:AO793" si="1634">IF(B781=0," ",TIME(,ROUNDDOWN(AG781*AJ781/60,0)*5+(AG781*AJ781),)+B781)</f>
        <v>0.608344907407407</v>
      </c>
      <c r="AP781" s="315">
        <f t="shared" ref="AP781:AP793" si="1635">IF(Q781=0,,ROUNDUP(Q781/(V781*(1-AC781-AD781)),0))</f>
        <v>88</v>
      </c>
      <c r="AQ781" s="316" t="str">
        <f t="shared" ref="AQ781:AQ793" si="1636">IFERROR(IF(V781=0," ",IF(V781&lt;=5,"MICRO",IF(V781&lt;=19.8,"LOW",IF(V781&lt;=99.8,"MEDIUM",IF(V781&lt;=500,"HIGH",IF(V781&gt;500,"SUPER HIGH",)))))),"")</f>
        <v>MICRO</v>
      </c>
    </row>
    <row r="782" ht="29.25" customHeight="1" outlineLevel="1" spans="1:43">
      <c r="A782" s="363" t="s">
        <v>410</v>
      </c>
      <c r="B782" s="365"/>
      <c r="C782" s="293" t="str">
        <f t="shared" ref="C782:G782" si="1637">TEXT(IF($B782=0," ",$B782-C$6),"hh:mm am/pm")</f>
        <v> </v>
      </c>
      <c r="D782" s="293" t="str">
        <f t="shared" si="1637"/>
        <v> </v>
      </c>
      <c r="E782" s="293" t="str">
        <f t="shared" si="1637"/>
        <v> </v>
      </c>
      <c r="F782" s="293" t="str">
        <f t="shared" si="1637"/>
        <v> </v>
      </c>
      <c r="G782" s="293" t="str">
        <f t="shared" si="1637"/>
        <v> </v>
      </c>
      <c r="H782" s="293" t="str">
        <f t="shared" ref="H782:I782" si="1638">TEXT(IF($B782=0," ",$B782+H$6),"hh:mm am/pm")</f>
        <v> </v>
      </c>
      <c r="I782" s="293" t="str">
        <f t="shared" si="1638"/>
        <v> </v>
      </c>
      <c r="J782" s="344"/>
      <c r="K782" s="367"/>
      <c r="L782" s="367"/>
      <c r="M782" s="368"/>
      <c r="N782" s="369"/>
      <c r="O782" s="370"/>
      <c r="P782" s="370"/>
      <c r="Q782" s="369"/>
      <c r="R782" s="369"/>
      <c r="S782" s="369"/>
      <c r="T782" s="371"/>
      <c r="U782" s="369"/>
      <c r="V782" s="369"/>
      <c r="W782" s="369"/>
      <c r="X782" s="372"/>
      <c r="Y782" s="367"/>
      <c r="Z782" s="369"/>
      <c r="AA782" s="372"/>
      <c r="AB782" s="372"/>
      <c r="AC782" s="371"/>
      <c r="AD782" s="371"/>
      <c r="AE782" s="367"/>
      <c r="AF782" s="372"/>
      <c r="AG782" s="367"/>
      <c r="AH782" s="367"/>
      <c r="AI782" s="367"/>
      <c r="AJ782" s="367"/>
      <c r="AK782" s="373"/>
      <c r="AL782" s="373"/>
      <c r="AM782" s="373"/>
      <c r="AN782" s="373"/>
      <c r="AO782" s="314" t="str">
        <f t="shared" si="1634"/>
        <v> </v>
      </c>
      <c r="AP782" s="374">
        <f t="shared" si="1635"/>
        <v>0</v>
      </c>
      <c r="AQ782" s="316" t="str">
        <f t="shared" si="1636"/>
        <v> </v>
      </c>
    </row>
    <row r="783" ht="29.25" customHeight="1" outlineLevel="1" spans="1:43">
      <c r="B783" s="317">
        <v>0.604178240740741</v>
      </c>
      <c r="C783" s="293" t="str">
        <f t="shared" ref="C783:G783" si="1639">TEXT(IF($B783=0," ",$B783-C$6),"hh:mm am/pm")</f>
        <v>12:30 001/p1</v>
      </c>
      <c r="D783" s="293" t="str">
        <f t="shared" si="1639"/>
        <v>10:30 001/p1</v>
      </c>
      <c r="E783" s="293" t="str">
        <f t="shared" si="1639"/>
        <v>11:30 001/p1</v>
      </c>
      <c r="F783" s="293" t="str">
        <f t="shared" si="1639"/>
        <v>12:30 001/p1</v>
      </c>
      <c r="G783" s="293" t="str">
        <f t="shared" si="1639"/>
        <v>13:30 001/p1</v>
      </c>
      <c r="H783" s="293" t="str">
        <f t="shared" ref="H783:I783" si="1640">TEXT(IF($B783=0," ",$B783+H$6),"hh:mm am/pm")</f>
        <v>20:30 001/p1</v>
      </c>
      <c r="I783" s="293" t="str">
        <f t="shared" si="1640"/>
        <v>01:30 001/p1</v>
      </c>
      <c r="J783" s="433" t="str">
        <f>L690</f>
        <v>#AS Battle</v>
      </c>
      <c r="K783" s="385"/>
      <c r="L783" s="386" t="s">
        <v>347</v>
      </c>
      <c r="M783" s="408" t="s">
        <v>196</v>
      </c>
      <c r="N783" s="409" t="s">
        <v>57</v>
      </c>
      <c r="O783" s="410" t="s">
        <v>74</v>
      </c>
      <c r="P783" s="411" t="s">
        <v>75</v>
      </c>
      <c r="Q783" s="412">
        <f>11*6</f>
        <v>66</v>
      </c>
      <c r="R783" s="414" t="s">
        <v>60</v>
      </c>
      <c r="S783" s="413"/>
      <c r="T783" s="414">
        <v>0.1</v>
      </c>
      <c r="U783" s="409" t="s">
        <v>62</v>
      </c>
      <c r="V783" s="409">
        <v>0.6</v>
      </c>
      <c r="W783" s="409">
        <v>0.6</v>
      </c>
      <c r="X783" s="415"/>
      <c r="Y783" s="416" t="s">
        <v>79</v>
      </c>
      <c r="Z783" s="409">
        <v>0.6</v>
      </c>
      <c r="AA783" s="417">
        <v>20000</v>
      </c>
      <c r="AB783" s="417" t="s">
        <v>65</v>
      </c>
      <c r="AC783" s="414">
        <v>0.05</v>
      </c>
      <c r="AD783" s="414">
        <v>0</v>
      </c>
      <c r="AE783" s="418" t="s">
        <v>66</v>
      </c>
      <c r="AF783" s="419">
        <v>10000</v>
      </c>
      <c r="AG783" s="420">
        <v>5</v>
      </c>
      <c r="AH783" s="420">
        <v>4</v>
      </c>
      <c r="AI783" s="420">
        <v>4</v>
      </c>
      <c r="AJ783" s="418">
        <v>9</v>
      </c>
      <c r="AK783" s="428" t="s">
        <v>67</v>
      </c>
      <c r="AL783" s="428" t="s">
        <v>68</v>
      </c>
      <c r="AM783" s="422" t="s">
        <v>197</v>
      </c>
      <c r="AN783" s="422" t="s">
        <v>198</v>
      </c>
      <c r="AO783" s="314">
        <f t="shared" si="1634"/>
        <v>0.635428240740741</v>
      </c>
      <c r="AP783" s="315">
        <f t="shared" si="1635"/>
        <v>116</v>
      </c>
      <c r="AQ783" s="316" t="str">
        <f t="shared" si="1636"/>
        <v>MICRO</v>
      </c>
    </row>
    <row r="784" ht="29.25" customHeight="1" outlineLevel="1" spans="1:43">
      <c r="A784" s="363"/>
      <c r="B784" s="365"/>
      <c r="C784" s="293" t="str">
        <f t="shared" ref="C784:G784" si="1641">TEXT(IF($B784=0," ",$B784-C$6),"hh:mm am/pm")</f>
        <v> </v>
      </c>
      <c r="D784" s="293" t="str">
        <f t="shared" si="1641"/>
        <v> </v>
      </c>
      <c r="E784" s="293" t="str">
        <f t="shared" si="1641"/>
        <v> </v>
      </c>
      <c r="F784" s="293" t="str">
        <f t="shared" si="1641"/>
        <v> </v>
      </c>
      <c r="G784" s="293" t="str">
        <f t="shared" si="1641"/>
        <v> </v>
      </c>
      <c r="H784" s="293" t="str">
        <f t="shared" ref="H784:I784" si="1642">TEXT(IF($B784=0," ",$B784+H$6),"hh:mm am/pm")</f>
        <v> </v>
      </c>
      <c r="I784" s="293" t="str">
        <f t="shared" si="1642"/>
        <v> </v>
      </c>
      <c r="J784" s="344"/>
      <c r="K784" s="367"/>
      <c r="L784" s="367"/>
      <c r="M784" s="368"/>
      <c r="N784" s="369"/>
      <c r="O784" s="370"/>
      <c r="P784" s="370"/>
      <c r="Q784" s="369"/>
      <c r="R784" s="369"/>
      <c r="S784" s="369"/>
      <c r="T784" s="371"/>
      <c r="U784" s="369"/>
      <c r="V784" s="369"/>
      <c r="W784" s="369"/>
      <c r="X784" s="372"/>
      <c r="Y784" s="367"/>
      <c r="Z784" s="369"/>
      <c r="AA784" s="372"/>
      <c r="AB784" s="372"/>
      <c r="AC784" s="371"/>
      <c r="AD784" s="371"/>
      <c r="AE784" s="367"/>
      <c r="AF784" s="372"/>
      <c r="AG784" s="367"/>
      <c r="AH784" s="367"/>
      <c r="AI784" s="367"/>
      <c r="AJ784" s="367"/>
      <c r="AK784" s="373"/>
      <c r="AL784" s="373"/>
      <c r="AM784" s="373"/>
      <c r="AN784" s="373"/>
      <c r="AO784" s="314" t="str">
        <f t="shared" si="1634"/>
        <v> </v>
      </c>
      <c r="AP784" s="374">
        <f t="shared" si="1635"/>
        <v>0</v>
      </c>
      <c r="AQ784" s="316" t="str">
        <f t="shared" si="1636"/>
        <v> </v>
      </c>
    </row>
    <row r="785" ht="29.25" customHeight="1" outlineLevel="1" spans="1:43">
      <c r="A785" s="363" t="s">
        <v>410</v>
      </c>
      <c r="B785" s="317">
        <v>0.687511574074074</v>
      </c>
      <c r="C785" s="293" t="str">
        <f t="shared" ref="C785:G785" si="1643">TEXT(IF($B785=0," ",$B785-C$6),"hh:mm am/pm")</f>
        <v>14:30 001/p1</v>
      </c>
      <c r="D785" s="293" t="str">
        <f t="shared" si="1643"/>
        <v>12:30 001/p1</v>
      </c>
      <c r="E785" s="293" t="str">
        <f t="shared" si="1643"/>
        <v>13:30 001/p1</v>
      </c>
      <c r="F785" s="293" t="str">
        <f t="shared" si="1643"/>
        <v>14:30 001/p1</v>
      </c>
      <c r="G785" s="293" t="str">
        <f t="shared" si="1643"/>
        <v>15:30 001/p1</v>
      </c>
      <c r="H785" s="293" t="str">
        <f t="shared" ref="H785:I785" si="1644">TEXT(IF($B785=0," ",$B785+H$6),"hh:mm am/pm")</f>
        <v>22:30 001/p1</v>
      </c>
      <c r="I785" s="293" t="str">
        <f t="shared" si="1644"/>
        <v>03:30 001/p1</v>
      </c>
      <c r="J785" s="433" t="str">
        <f>L746</f>
        <v>#AS OmaX PKO</v>
      </c>
      <c r="K785" s="385"/>
      <c r="L785" s="386" t="s">
        <v>284</v>
      </c>
      <c r="M785" s="408" t="s">
        <v>196</v>
      </c>
      <c r="N785" s="409" t="s">
        <v>100</v>
      </c>
      <c r="O785" s="410" t="s">
        <v>74</v>
      </c>
      <c r="P785" s="411" t="s">
        <v>101</v>
      </c>
      <c r="Q785" s="412">
        <f>15*6</f>
        <v>90</v>
      </c>
      <c r="R785" s="414" t="s">
        <v>60</v>
      </c>
      <c r="S785" s="413"/>
      <c r="T785" s="414">
        <v>0.1</v>
      </c>
      <c r="U785" s="409" t="s">
        <v>62</v>
      </c>
      <c r="V785" s="409">
        <v>0.8</v>
      </c>
      <c r="W785" s="409">
        <v>0.8</v>
      </c>
      <c r="X785" s="415"/>
      <c r="Y785" s="416" t="s">
        <v>79</v>
      </c>
      <c r="Z785" s="409">
        <v>0.8</v>
      </c>
      <c r="AA785" s="417">
        <v>20000</v>
      </c>
      <c r="AB785" s="417" t="s">
        <v>65</v>
      </c>
      <c r="AC785" s="414">
        <v>0.05</v>
      </c>
      <c r="AD785" s="414">
        <v>0</v>
      </c>
      <c r="AE785" s="418" t="s">
        <v>88</v>
      </c>
      <c r="AF785" s="419">
        <v>10000</v>
      </c>
      <c r="AG785" s="420">
        <v>5</v>
      </c>
      <c r="AH785" s="420">
        <v>4</v>
      </c>
      <c r="AI785" s="420">
        <v>4</v>
      </c>
      <c r="AJ785" s="418">
        <v>9</v>
      </c>
      <c r="AK785" s="428" t="s">
        <v>67</v>
      </c>
      <c r="AL785" s="428" t="s">
        <v>68</v>
      </c>
      <c r="AM785" s="422" t="s">
        <v>197</v>
      </c>
      <c r="AN785" s="422" t="s">
        <v>198</v>
      </c>
      <c r="AO785" s="314">
        <f t="shared" si="1634"/>
        <v>0.718761574074074</v>
      </c>
      <c r="AP785" s="315">
        <f t="shared" si="1635"/>
        <v>119</v>
      </c>
      <c r="AQ785" s="316" t="str">
        <f t="shared" si="1636"/>
        <v>MICRO</v>
      </c>
    </row>
    <row r="786" ht="29.25" customHeight="1" outlineLevel="1" spans="1:43">
      <c r="B786" s="365"/>
      <c r="C786" s="293" t="str">
        <f t="shared" ref="C786:G786" si="1645">TEXT(IF($B786=0," ",$B786-C$6),"hh:mm am/pm")</f>
        <v> </v>
      </c>
      <c r="D786" s="293" t="str">
        <f t="shared" si="1645"/>
        <v> </v>
      </c>
      <c r="E786" s="293" t="str">
        <f t="shared" si="1645"/>
        <v> </v>
      </c>
      <c r="F786" s="293" t="str">
        <f t="shared" si="1645"/>
        <v> </v>
      </c>
      <c r="G786" s="293" t="str">
        <f t="shared" si="1645"/>
        <v> </v>
      </c>
      <c r="H786" s="293" t="str">
        <f t="shared" ref="H786:I786" si="1646">TEXT(IF($B786=0," ",$B786+H$6),"hh:mm am/pm")</f>
        <v> </v>
      </c>
      <c r="I786" s="293" t="str">
        <f t="shared" si="1646"/>
        <v> </v>
      </c>
      <c r="J786" s="344"/>
      <c r="K786" s="367"/>
      <c r="L786" s="367"/>
      <c r="M786" s="368"/>
      <c r="N786" s="369"/>
      <c r="O786" s="370"/>
      <c r="P786" s="370"/>
      <c r="Q786" s="369"/>
      <c r="R786" s="369"/>
      <c r="S786" s="369"/>
      <c r="T786" s="371"/>
      <c r="U786" s="369"/>
      <c r="V786" s="369"/>
      <c r="W786" s="369"/>
      <c r="X786" s="372"/>
      <c r="Y786" s="367"/>
      <c r="Z786" s="369"/>
      <c r="AA786" s="372"/>
      <c r="AB786" s="372"/>
      <c r="AC786" s="371"/>
      <c r="AD786" s="371"/>
      <c r="AE786" s="367"/>
      <c r="AF786" s="372"/>
      <c r="AG786" s="367"/>
      <c r="AH786" s="367"/>
      <c r="AI786" s="367"/>
      <c r="AJ786" s="367"/>
      <c r="AK786" s="373"/>
      <c r="AL786" s="373"/>
      <c r="AM786" s="373"/>
      <c r="AN786" s="373"/>
      <c r="AO786" s="314" t="str">
        <f t="shared" si="1634"/>
        <v> </v>
      </c>
      <c r="AP786" s="374">
        <f t="shared" si="1635"/>
        <v>0</v>
      </c>
      <c r="AQ786" s="316" t="str">
        <f t="shared" si="1636"/>
        <v> </v>
      </c>
    </row>
    <row r="787" ht="29.25" customHeight="1" outlineLevel="1" spans="1:43">
      <c r="A787" s="363" t="s">
        <v>410</v>
      </c>
      <c r="B787" s="317">
        <v>0.750011574074074</v>
      </c>
      <c r="C787" s="293" t="str">
        <f t="shared" ref="C787:G787" si="1647">TEXT(IF($B787=0," ",$B787-C$6),"hh:mm am/pm")</f>
        <v>16:00 001/p1</v>
      </c>
      <c r="D787" s="293" t="str">
        <f t="shared" si="1647"/>
        <v>14:00 001/p1</v>
      </c>
      <c r="E787" s="293" t="str">
        <f t="shared" si="1647"/>
        <v>15:00 001/p1</v>
      </c>
      <c r="F787" s="293" t="str">
        <f t="shared" si="1647"/>
        <v>16:00 001/p1</v>
      </c>
      <c r="G787" s="293" t="str">
        <f t="shared" si="1647"/>
        <v>17:00 001/p1</v>
      </c>
      <c r="H787" s="293" t="str">
        <f t="shared" ref="H787:I787" si="1648">TEXT(IF($B787=0," ",$B787+H$6),"hh:mm am/pm")</f>
        <v>00:00 001/p1</v>
      </c>
      <c r="I787" s="293" t="str">
        <f t="shared" si="1648"/>
        <v>05:00 001/p1</v>
      </c>
      <c r="J787" s="405" t="str">
        <f>L693</f>
        <v>#AS OmaX HR</v>
      </c>
      <c r="K787" s="406"/>
      <c r="L787" s="407" t="s">
        <v>211</v>
      </c>
      <c r="M787" s="408" t="s">
        <v>196</v>
      </c>
      <c r="N787" s="409" t="s">
        <v>100</v>
      </c>
      <c r="O787" s="410" t="s">
        <v>74</v>
      </c>
      <c r="P787" s="411" t="s">
        <v>101</v>
      </c>
      <c r="Q787" s="412">
        <f>50*6</f>
        <v>300</v>
      </c>
      <c r="R787" s="414" t="s">
        <v>60</v>
      </c>
      <c r="S787" s="413"/>
      <c r="T787" s="414">
        <v>0.1</v>
      </c>
      <c r="U787" s="409" t="s">
        <v>62</v>
      </c>
      <c r="V787" s="409">
        <v>3</v>
      </c>
      <c r="W787" s="409">
        <v>3</v>
      </c>
      <c r="X787" s="415"/>
      <c r="Y787" s="416" t="s">
        <v>79</v>
      </c>
      <c r="Z787" s="409">
        <v>4</v>
      </c>
      <c r="AA787" s="417">
        <v>20000</v>
      </c>
      <c r="AB787" s="417" t="s">
        <v>65</v>
      </c>
      <c r="AC787" s="414">
        <v>0.05</v>
      </c>
      <c r="AD787" s="414">
        <v>0</v>
      </c>
      <c r="AE787" s="418" t="s">
        <v>88</v>
      </c>
      <c r="AF787" s="419">
        <v>10000</v>
      </c>
      <c r="AG787" s="420">
        <v>5</v>
      </c>
      <c r="AH787" s="420">
        <v>4</v>
      </c>
      <c r="AI787" s="420">
        <v>4</v>
      </c>
      <c r="AJ787" s="418">
        <v>9</v>
      </c>
      <c r="AK787" s="428" t="s">
        <v>67</v>
      </c>
      <c r="AL787" s="428" t="s">
        <v>68</v>
      </c>
      <c r="AM787" s="422" t="s">
        <v>197</v>
      </c>
      <c r="AN787" s="422" t="s">
        <v>198</v>
      </c>
      <c r="AO787" s="314">
        <f t="shared" si="1634"/>
        <v>0.781261574074074</v>
      </c>
      <c r="AP787" s="315">
        <f t="shared" si="1635"/>
        <v>106</v>
      </c>
      <c r="AQ787" s="316" t="str">
        <f t="shared" si="1636"/>
        <v>MICRO</v>
      </c>
    </row>
    <row r="788" ht="29.25" customHeight="1" outlineLevel="1" spans="1:43">
      <c r="B788" s="365"/>
      <c r="C788" s="293" t="str">
        <f t="shared" ref="C788:G788" si="1649">TEXT(IF($B788=0," ",$B788-C$6),"hh:mm am/pm")</f>
        <v> </v>
      </c>
      <c r="D788" s="293" t="str">
        <f t="shared" si="1649"/>
        <v> </v>
      </c>
      <c r="E788" s="293" t="str">
        <f t="shared" si="1649"/>
        <v> </v>
      </c>
      <c r="F788" s="293" t="str">
        <f t="shared" si="1649"/>
        <v> </v>
      </c>
      <c r="G788" s="293" t="str">
        <f t="shared" si="1649"/>
        <v> </v>
      </c>
      <c r="H788" s="293" t="str">
        <f t="shared" ref="H788:I788" si="1650">TEXT(IF($B788=0," ",$B788+H$6),"hh:mm am/pm")</f>
        <v> </v>
      </c>
      <c r="I788" s="293" t="str">
        <f t="shared" si="1650"/>
        <v> </v>
      </c>
      <c r="J788" s="344"/>
      <c r="K788" s="367"/>
      <c r="L788" s="367"/>
      <c r="M788" s="368"/>
      <c r="N788" s="369"/>
      <c r="O788" s="370"/>
      <c r="P788" s="370"/>
      <c r="Q788" s="369"/>
      <c r="R788" s="369"/>
      <c r="S788" s="369"/>
      <c r="T788" s="371"/>
      <c r="U788" s="369"/>
      <c r="V788" s="369"/>
      <c r="W788" s="369"/>
      <c r="X788" s="372"/>
      <c r="Y788" s="367"/>
      <c r="Z788" s="369"/>
      <c r="AA788" s="372"/>
      <c r="AB788" s="372"/>
      <c r="AC788" s="371"/>
      <c r="AD788" s="371"/>
      <c r="AE788" s="367"/>
      <c r="AF788" s="372"/>
      <c r="AG788" s="367"/>
      <c r="AH788" s="367"/>
      <c r="AI788" s="367"/>
      <c r="AJ788" s="367"/>
      <c r="AK788" s="373"/>
      <c r="AL788" s="373"/>
      <c r="AM788" s="373"/>
      <c r="AN788" s="373"/>
      <c r="AO788" s="314" t="str">
        <f t="shared" si="1634"/>
        <v> </v>
      </c>
      <c r="AP788" s="374">
        <f t="shared" si="1635"/>
        <v>0</v>
      </c>
      <c r="AQ788" s="316" t="str">
        <f t="shared" si="1636"/>
        <v> </v>
      </c>
    </row>
    <row r="789" ht="29.25" customHeight="1" outlineLevel="1" spans="1:43">
      <c r="B789" s="317">
        <v>0.812511574074074</v>
      </c>
      <c r="C789" s="293" t="str">
        <f t="shared" ref="C789:G789" si="1651">TEXT(IF($B789=0," ",$B789-C$6),"hh:mm am/pm")</f>
        <v>17:30 001/p1</v>
      </c>
      <c r="D789" s="293" t="str">
        <f t="shared" si="1651"/>
        <v>15:30 001/p1</v>
      </c>
      <c r="E789" s="293" t="str">
        <f t="shared" si="1651"/>
        <v>16:30 001/p1</v>
      </c>
      <c r="F789" s="293" t="str">
        <f t="shared" si="1651"/>
        <v>17:30 001/p1</v>
      </c>
      <c r="G789" s="293" t="str">
        <f t="shared" si="1651"/>
        <v>18:30 001/p1</v>
      </c>
      <c r="H789" s="293" t="str">
        <f t="shared" ref="H789:I789" si="1652">TEXT(IF($B789=0," ",$B789+H$6),"hh:mm am/pm")</f>
        <v>01:30 001/p1</v>
      </c>
      <c r="I789" s="293" t="str">
        <f t="shared" si="1652"/>
        <v>06:30 001/p1</v>
      </c>
      <c r="J789" s="544" t="str">
        <f>L758</f>
        <v>#AS OmaX Turbo</v>
      </c>
      <c r="K789" s="406"/>
      <c r="L789" s="407" t="s">
        <v>288</v>
      </c>
      <c r="M789" s="408" t="s">
        <v>196</v>
      </c>
      <c r="N789" s="409" t="s">
        <v>100</v>
      </c>
      <c r="O789" s="410" t="s">
        <v>74</v>
      </c>
      <c r="P789" s="411" t="s">
        <v>101</v>
      </c>
      <c r="Q789" s="412">
        <f>11*6</f>
        <v>66</v>
      </c>
      <c r="R789" s="414" t="s">
        <v>60</v>
      </c>
      <c r="S789" s="413"/>
      <c r="T789" s="414">
        <v>0.1</v>
      </c>
      <c r="U789" s="409" t="s">
        <v>62</v>
      </c>
      <c r="V789" s="409">
        <v>0.6</v>
      </c>
      <c r="W789" s="409">
        <v>0.6</v>
      </c>
      <c r="X789" s="415"/>
      <c r="Y789" s="416" t="s">
        <v>79</v>
      </c>
      <c r="Z789" s="409">
        <v>0.6</v>
      </c>
      <c r="AA789" s="417">
        <v>20000</v>
      </c>
      <c r="AB789" s="417" t="s">
        <v>65</v>
      </c>
      <c r="AC789" s="414">
        <v>0.05</v>
      </c>
      <c r="AD789" s="414">
        <v>0</v>
      </c>
      <c r="AE789" s="418" t="s">
        <v>88</v>
      </c>
      <c r="AF789" s="419">
        <v>10000</v>
      </c>
      <c r="AG789" s="420">
        <v>5</v>
      </c>
      <c r="AH789" s="420">
        <v>4</v>
      </c>
      <c r="AI789" s="420">
        <v>4</v>
      </c>
      <c r="AJ789" s="418">
        <v>9</v>
      </c>
      <c r="AK789" s="428" t="s">
        <v>67</v>
      </c>
      <c r="AL789" s="428" t="s">
        <v>68</v>
      </c>
      <c r="AM789" s="422" t="s">
        <v>197</v>
      </c>
      <c r="AN789" s="422" t="s">
        <v>198</v>
      </c>
      <c r="AO789" s="314">
        <f t="shared" si="1634"/>
        <v>0.843761574074074</v>
      </c>
      <c r="AP789" s="315">
        <f t="shared" si="1635"/>
        <v>116</v>
      </c>
      <c r="AQ789" s="316" t="str">
        <f t="shared" si="1636"/>
        <v>MICRO</v>
      </c>
    </row>
    <row r="790" ht="29.25" customHeight="1" outlineLevel="1" spans="1:43">
      <c r="A790" s="363" t="s">
        <v>410</v>
      </c>
      <c r="B790" s="365"/>
      <c r="C790" s="293" t="str">
        <f t="shared" ref="C790:G790" si="1653">TEXT(IF($B790=0," ",$B790-C$6),"hh:mm am/pm")</f>
        <v> </v>
      </c>
      <c r="D790" s="293" t="str">
        <f t="shared" si="1653"/>
        <v> </v>
      </c>
      <c r="E790" s="293" t="str">
        <f t="shared" si="1653"/>
        <v> </v>
      </c>
      <c r="F790" s="293" t="str">
        <f t="shared" si="1653"/>
        <v> </v>
      </c>
      <c r="G790" s="293" t="str">
        <f t="shared" si="1653"/>
        <v> </v>
      </c>
      <c r="H790" s="293" t="str">
        <f t="shared" ref="H790:I790" si="1654">TEXT(IF($B790=0," ",$B790+H$6),"hh:mm am/pm")</f>
        <v> </v>
      </c>
      <c r="I790" s="293" t="str">
        <f t="shared" si="1654"/>
        <v> </v>
      </c>
      <c r="J790" s="344"/>
      <c r="K790" s="367"/>
      <c r="L790" s="367"/>
      <c r="M790" s="368"/>
      <c r="N790" s="369"/>
      <c r="O790" s="370"/>
      <c r="P790" s="370"/>
      <c r="Q790" s="369"/>
      <c r="R790" s="369"/>
      <c r="S790" s="369"/>
      <c r="T790" s="371"/>
      <c r="U790" s="369"/>
      <c r="V790" s="369"/>
      <c r="W790" s="369"/>
      <c r="X790" s="372"/>
      <c r="Y790" s="367"/>
      <c r="Z790" s="369"/>
      <c r="AA790" s="372"/>
      <c r="AB790" s="372"/>
      <c r="AC790" s="371"/>
      <c r="AD790" s="371"/>
      <c r="AE790" s="367"/>
      <c r="AF790" s="372"/>
      <c r="AG790" s="367"/>
      <c r="AH790" s="367"/>
      <c r="AI790" s="367"/>
      <c r="AJ790" s="367"/>
      <c r="AK790" s="373"/>
      <c r="AL790" s="373"/>
      <c r="AM790" s="373"/>
      <c r="AN790" s="373"/>
      <c r="AO790" s="314" t="str">
        <f t="shared" si="1634"/>
        <v> </v>
      </c>
      <c r="AP790" s="374">
        <f t="shared" si="1635"/>
        <v>0</v>
      </c>
      <c r="AQ790" s="316" t="str">
        <f t="shared" si="1636"/>
        <v> </v>
      </c>
    </row>
    <row r="791" ht="29.25" customHeight="1" outlineLevel="1" spans="1:43">
      <c r="B791" s="317">
        <v>0.833344907407407</v>
      </c>
      <c r="C791" s="293" t="str">
        <f t="shared" ref="C791:G791" si="1655">TEXT(IF($B791=0," ",$B791-C$6),"hh:mm am/pm")</f>
        <v>18:00 001/p1</v>
      </c>
      <c r="D791" s="293" t="str">
        <f t="shared" si="1655"/>
        <v>16:00 001/p1</v>
      </c>
      <c r="E791" s="293" t="str">
        <f t="shared" si="1655"/>
        <v>17:00 001/p1</v>
      </c>
      <c r="F791" s="293" t="str">
        <f t="shared" si="1655"/>
        <v>18:00 001/p1</v>
      </c>
      <c r="G791" s="293" t="str">
        <f t="shared" si="1655"/>
        <v>19:00 001/p1</v>
      </c>
      <c r="H791" s="293" t="str">
        <f t="shared" ref="H791:I791" si="1656">TEXT(IF($B791=0," ",$B791+H$6),"hh:mm am/pm")</f>
        <v>02:00 001/p1</v>
      </c>
      <c r="I791" s="293" t="str">
        <f t="shared" si="1656"/>
        <v>07:00 001/p1</v>
      </c>
      <c r="J791" s="544" t="str">
        <f>L759</f>
        <v>#AS Battle PKO</v>
      </c>
      <c r="K791" s="406"/>
      <c r="L791" s="407" t="s">
        <v>350</v>
      </c>
      <c r="M791" s="408" t="s">
        <v>196</v>
      </c>
      <c r="N791" s="409" t="s">
        <v>57</v>
      </c>
      <c r="O791" s="410" t="s">
        <v>74</v>
      </c>
      <c r="P791" s="411" t="s">
        <v>59</v>
      </c>
      <c r="Q791" s="412">
        <f>22*3</f>
        <v>66</v>
      </c>
      <c r="R791" s="414" t="s">
        <v>60</v>
      </c>
      <c r="S791" s="413"/>
      <c r="T791" s="414">
        <v>0.1</v>
      </c>
      <c r="U791" s="409" t="s">
        <v>62</v>
      </c>
      <c r="V791" s="409">
        <v>1.2</v>
      </c>
      <c r="W791" s="409">
        <v>1.2</v>
      </c>
      <c r="X791" s="415"/>
      <c r="Y791" s="416" t="s">
        <v>79</v>
      </c>
      <c r="Z791" s="409">
        <v>1.2</v>
      </c>
      <c r="AA791" s="417">
        <v>20000</v>
      </c>
      <c r="AB791" s="417" t="s">
        <v>65</v>
      </c>
      <c r="AC791" s="414">
        <v>0.05</v>
      </c>
      <c r="AD791" s="414">
        <v>0</v>
      </c>
      <c r="AE791" s="418" t="s">
        <v>88</v>
      </c>
      <c r="AF791" s="419">
        <v>10000</v>
      </c>
      <c r="AG791" s="420">
        <v>4</v>
      </c>
      <c r="AH791" s="420">
        <v>4</v>
      </c>
      <c r="AI791" s="420">
        <v>4</v>
      </c>
      <c r="AJ791" s="418">
        <v>9</v>
      </c>
      <c r="AK791" s="428" t="s">
        <v>67</v>
      </c>
      <c r="AL791" s="428" t="s">
        <v>68</v>
      </c>
      <c r="AM791" s="422" t="s">
        <v>197</v>
      </c>
      <c r="AN791" s="422" t="s">
        <v>198</v>
      </c>
      <c r="AO791" s="314">
        <f t="shared" si="1634"/>
        <v>0.858344907407407</v>
      </c>
      <c r="AP791" s="315">
        <f t="shared" si="1635"/>
        <v>58</v>
      </c>
      <c r="AQ791" s="316" t="str">
        <f t="shared" si="1636"/>
        <v>MICRO</v>
      </c>
    </row>
    <row r="792" ht="29.25" customHeight="1" outlineLevel="1" spans="1:43">
      <c r="B792" s="365"/>
      <c r="C792" s="293" t="str">
        <f t="shared" ref="C792:G792" si="1657">TEXT(IF($B792=0," ",$B792-C$6),"hh:mm am/pm")</f>
        <v> </v>
      </c>
      <c r="D792" s="293" t="str">
        <f t="shared" si="1657"/>
        <v> </v>
      </c>
      <c r="E792" s="293" t="str">
        <f t="shared" si="1657"/>
        <v> </v>
      </c>
      <c r="F792" s="293" t="str">
        <f t="shared" si="1657"/>
        <v> </v>
      </c>
      <c r="G792" s="293" t="str">
        <f t="shared" si="1657"/>
        <v> </v>
      </c>
      <c r="H792" s="293" t="str">
        <f t="shared" ref="H792:I792" si="1658">TEXT(IF($B792=0," ",$B792+H$6),"hh:mm am/pm")</f>
        <v> </v>
      </c>
      <c r="I792" s="293" t="str">
        <f t="shared" si="1658"/>
        <v> </v>
      </c>
      <c r="J792" s="344"/>
      <c r="K792" s="367"/>
      <c r="L792" s="367"/>
      <c r="M792" s="368"/>
      <c r="N792" s="369"/>
      <c r="O792" s="370"/>
      <c r="P792" s="370"/>
      <c r="Q792" s="369"/>
      <c r="R792" s="369"/>
      <c r="S792" s="369"/>
      <c r="T792" s="371"/>
      <c r="U792" s="369"/>
      <c r="V792" s="369"/>
      <c r="W792" s="369"/>
      <c r="X792" s="372"/>
      <c r="Y792" s="367"/>
      <c r="Z792" s="369"/>
      <c r="AA792" s="372"/>
      <c r="AB792" s="372"/>
      <c r="AC792" s="371"/>
      <c r="AD792" s="371"/>
      <c r="AE792" s="367"/>
      <c r="AF792" s="372"/>
      <c r="AG792" s="367"/>
      <c r="AH792" s="367"/>
      <c r="AI792" s="367"/>
      <c r="AJ792" s="367"/>
      <c r="AK792" s="373"/>
      <c r="AL792" s="373"/>
      <c r="AM792" s="373"/>
      <c r="AN792" s="373"/>
      <c r="AO792" s="314" t="str">
        <f t="shared" si="1634"/>
        <v> </v>
      </c>
      <c r="AP792" s="374">
        <f t="shared" si="1635"/>
        <v>0</v>
      </c>
      <c r="AQ792" s="316" t="str">
        <f t="shared" si="1636"/>
        <v> </v>
      </c>
    </row>
    <row r="793" ht="29.25" customHeight="1" outlineLevel="1" spans="1:43">
      <c r="A793" s="363" t="s">
        <v>410</v>
      </c>
      <c r="B793" s="317">
        <v>0.854178240740741</v>
      </c>
      <c r="C793" s="293" t="str">
        <f t="shared" ref="C793:G793" si="1659">TEXT(IF($B793=0," ",$B793-C$6),"hh:mm am/pm")</f>
        <v>18:30 001/p1</v>
      </c>
      <c r="D793" s="293" t="str">
        <f t="shared" si="1659"/>
        <v>16:30 001/p1</v>
      </c>
      <c r="E793" s="293" t="str">
        <f t="shared" si="1659"/>
        <v>17:30 001/p1</v>
      </c>
      <c r="F793" s="293" t="str">
        <f t="shared" si="1659"/>
        <v>18:30 001/p1</v>
      </c>
      <c r="G793" s="293" t="str">
        <f t="shared" si="1659"/>
        <v>19:30 001/p1</v>
      </c>
      <c r="H793" s="293" t="str">
        <f t="shared" ref="H793:I793" si="1660">TEXT(IF($B793=0," ",$B793+H$6),"hh:mm am/pm")</f>
        <v>02:30 001/p1</v>
      </c>
      <c r="I793" s="293" t="str">
        <f t="shared" si="1660"/>
        <v>07:30 001/p1</v>
      </c>
      <c r="J793" s="433" t="str">
        <f>L766</f>
        <v>#AS Bounty Night</v>
      </c>
      <c r="K793" s="385"/>
      <c r="L793" s="386" t="s">
        <v>206</v>
      </c>
      <c r="M793" s="408" t="s">
        <v>196</v>
      </c>
      <c r="N793" s="409" t="s">
        <v>57</v>
      </c>
      <c r="O793" s="410" t="s">
        <v>74</v>
      </c>
      <c r="P793" s="411" t="s">
        <v>59</v>
      </c>
      <c r="Q793" s="412">
        <f>11*5</f>
        <v>55</v>
      </c>
      <c r="R793" s="414" t="s">
        <v>60</v>
      </c>
      <c r="S793" s="413"/>
      <c r="T793" s="414">
        <v>0.1</v>
      </c>
      <c r="U793" s="409" t="s">
        <v>62</v>
      </c>
      <c r="V793" s="409">
        <v>0.6</v>
      </c>
      <c r="W793" s="409">
        <v>0.6</v>
      </c>
      <c r="X793" s="415"/>
      <c r="Y793" s="416" t="s">
        <v>79</v>
      </c>
      <c r="Z793" s="409">
        <v>0.6</v>
      </c>
      <c r="AA793" s="417">
        <v>20000</v>
      </c>
      <c r="AB793" s="417" t="s">
        <v>65</v>
      </c>
      <c r="AC793" s="414">
        <v>0.05</v>
      </c>
      <c r="AD793" s="414">
        <v>0</v>
      </c>
      <c r="AE793" s="418" t="s">
        <v>88</v>
      </c>
      <c r="AF793" s="419">
        <v>10000</v>
      </c>
      <c r="AG793" s="420">
        <v>5</v>
      </c>
      <c r="AH793" s="420">
        <v>4</v>
      </c>
      <c r="AI793" s="420">
        <v>4</v>
      </c>
      <c r="AJ793" s="418">
        <v>9</v>
      </c>
      <c r="AK793" s="428" t="s">
        <v>67</v>
      </c>
      <c r="AL793" s="428" t="s">
        <v>68</v>
      </c>
      <c r="AM793" s="422" t="s">
        <v>197</v>
      </c>
      <c r="AN793" s="422" t="s">
        <v>198</v>
      </c>
      <c r="AO793" s="314">
        <f t="shared" si="1634"/>
        <v>0.885428240740741</v>
      </c>
      <c r="AP793" s="315">
        <f t="shared" si="1635"/>
        <v>97</v>
      </c>
      <c r="AQ793" s="316" t="str">
        <f t="shared" si="1636"/>
        <v>MICRO</v>
      </c>
    </row>
    <row r="794" ht="29.25" customHeight="1" outlineLevel="1" spans="1:43">
      <c r="B794" s="365"/>
      <c r="C794" s="293" t="str">
        <f t="shared" ref="C794:G794" si="1661">TEXT(IF($B794=0," ",$B794-C$6),"hh:mm am/pm")</f>
        <v> </v>
      </c>
      <c r="D794" s="293" t="str">
        <f t="shared" si="1661"/>
        <v> </v>
      </c>
      <c r="E794" s="293" t="str">
        <f t="shared" si="1661"/>
        <v> </v>
      </c>
      <c r="F794" s="293" t="str">
        <f t="shared" si="1661"/>
        <v> </v>
      </c>
      <c r="G794" s="293" t="str">
        <f t="shared" si="1661"/>
        <v> </v>
      </c>
      <c r="H794" s="293" t="str">
        <f t="shared" ref="H794:I794" si="1662">TEXT(IF($B794=0," ",$B794+H$6),"hh:mm am/pm")</f>
        <v> </v>
      </c>
      <c r="I794" s="293" t="str">
        <f t="shared" si="1662"/>
        <v> </v>
      </c>
      <c r="J794" s="344"/>
      <c r="K794" s="367"/>
      <c r="L794" s="367"/>
      <c r="M794" s="368"/>
      <c r="N794" s="369"/>
      <c r="O794" s="370"/>
      <c r="P794" s="370"/>
      <c r="Q794" s="369"/>
      <c r="R794" s="369"/>
      <c r="S794" s="369"/>
      <c r="T794" s="371"/>
      <c r="U794" s="369"/>
      <c r="V794" s="369"/>
      <c r="W794" s="369"/>
      <c r="X794" s="372"/>
      <c r="Y794" s="367"/>
      <c r="Z794" s="369"/>
      <c r="AA794" s="372"/>
      <c r="AB794" s="372"/>
      <c r="AC794" s="371"/>
      <c r="AD794" s="371"/>
      <c r="AE794" s="367"/>
      <c r="AF794" s="372"/>
      <c r="AG794" s="367"/>
      <c r="AH794" s="367"/>
      <c r="AI794" s="367"/>
      <c r="AJ794" s="367"/>
      <c r="AK794" s="373"/>
      <c r="AL794" s="373"/>
      <c r="AM794" s="373"/>
      <c r="AN794" s="373"/>
      <c r="AO794" s="383"/>
      <c r="AP794" s="374"/>
      <c r="AQ794" s="383"/>
    </row>
    <row r="795" ht="29.25" customHeight="1" outlineLevel="1" spans="1:43">
      <c r="A795" s="363" t="s">
        <v>410</v>
      </c>
      <c r="B795" s="317">
        <v>0.875011574074074</v>
      </c>
      <c r="C795" s="293" t="str">
        <f t="shared" ref="C795:G795" si="1663">TEXT(IF($B795=0," ",$B795-C$6),"hh:mm am/pm")</f>
        <v>19:00 001/p1</v>
      </c>
      <c r="D795" s="293" t="str">
        <f t="shared" si="1663"/>
        <v>17:00 001/p1</v>
      </c>
      <c r="E795" s="293" t="str">
        <f t="shared" si="1663"/>
        <v>18:00 001/p1</v>
      </c>
      <c r="F795" s="293" t="str">
        <f t="shared" si="1663"/>
        <v>19:00 001/p1</v>
      </c>
      <c r="G795" s="293" t="str">
        <f t="shared" si="1663"/>
        <v>20:00 001/p1</v>
      </c>
      <c r="H795" s="293" t="str">
        <f t="shared" ref="H795:I795" si="1664">TEXT(IF($B795=0," ",$B795+H$6),"hh:mm am/pm")</f>
        <v>03:00 001/p1</v>
      </c>
      <c r="I795" s="293" t="str">
        <f t="shared" si="1664"/>
        <v>08:00 001/p1</v>
      </c>
      <c r="J795" s="405" t="str">
        <f>L767</f>
        <v>#AS Sonic</v>
      </c>
      <c r="K795" s="406"/>
      <c r="L795" s="407" t="s">
        <v>290</v>
      </c>
      <c r="M795" s="408" t="s">
        <v>196</v>
      </c>
      <c r="N795" s="409" t="s">
        <v>57</v>
      </c>
      <c r="O795" s="410" t="s">
        <v>74</v>
      </c>
      <c r="P795" s="411" t="s">
        <v>59</v>
      </c>
      <c r="Q795" s="412">
        <f>30*2</f>
        <v>60</v>
      </c>
      <c r="R795" s="414" t="s">
        <v>60</v>
      </c>
      <c r="S795" s="413"/>
      <c r="T795" s="414">
        <v>0.1</v>
      </c>
      <c r="U795" s="409" t="s">
        <v>62</v>
      </c>
      <c r="V795" s="409">
        <v>1.6</v>
      </c>
      <c r="W795" s="409">
        <v>1.6</v>
      </c>
      <c r="X795" s="415"/>
      <c r="Y795" s="416" t="s">
        <v>79</v>
      </c>
      <c r="Z795" s="409">
        <v>1.6</v>
      </c>
      <c r="AA795" s="417">
        <v>20000</v>
      </c>
      <c r="AB795" s="417" t="s">
        <v>65</v>
      </c>
      <c r="AC795" s="414">
        <v>0.05</v>
      </c>
      <c r="AD795" s="414">
        <v>0</v>
      </c>
      <c r="AE795" s="418" t="s">
        <v>88</v>
      </c>
      <c r="AF795" s="419">
        <v>10000</v>
      </c>
      <c r="AG795" s="420">
        <v>5</v>
      </c>
      <c r="AH795" s="420">
        <v>4</v>
      </c>
      <c r="AI795" s="420">
        <v>4</v>
      </c>
      <c r="AJ795" s="418">
        <v>9</v>
      </c>
      <c r="AK795" s="421" t="s">
        <v>67</v>
      </c>
      <c r="AL795" s="428" t="s">
        <v>68</v>
      </c>
      <c r="AM795" s="422" t="s">
        <v>197</v>
      </c>
      <c r="AN795" s="422" t="s">
        <v>198</v>
      </c>
      <c r="AO795" s="314">
        <f>IF(B795=0," ",TIME(,ROUNDDOWN(AG795*AJ795/60,0)*5+(AG795*AJ795),)+B795)</f>
        <v>0.906261574074074</v>
      </c>
      <c r="AP795" s="315">
        <f>IF(Q795=0,,ROUNDUP(Q795/(V795*(1-AC795-AD795)),0))</f>
        <v>40</v>
      </c>
      <c r="AQ795" s="316" t="str">
        <f>IFERROR(IF(V795=0," ",IF(V795&lt;=5,"MICRO",IF(V795&lt;=19.8,"LOW",IF(V795&lt;=99.8,"MEDIUM",IF(V795&lt;=500,"HIGH",IF(V795&gt;500,"SUPER HIGH",)))))),"")</f>
        <v>MICRO</v>
      </c>
    </row>
    <row r="796" ht="29.25" customHeight="1" outlineLevel="1" spans="1:43">
      <c r="B796" s="383"/>
      <c r="C796" s="434"/>
      <c r="D796" s="434"/>
      <c r="E796" s="434"/>
      <c r="F796" s="434"/>
      <c r="G796" s="434"/>
      <c r="H796" s="434"/>
      <c r="I796" s="434"/>
      <c r="J796" s="344"/>
      <c r="K796" s="367"/>
      <c r="L796" s="367"/>
      <c r="M796" s="435"/>
      <c r="N796" s="436"/>
      <c r="O796" s="437"/>
      <c r="P796" s="437"/>
      <c r="Q796" s="436"/>
      <c r="R796" s="436"/>
      <c r="S796" s="436"/>
      <c r="T796" s="438"/>
      <c r="U796" s="436"/>
      <c r="V796" s="436"/>
      <c r="W796" s="436"/>
      <c r="X796" s="436"/>
      <c r="Y796" s="366"/>
      <c r="Z796" s="439"/>
      <c r="AA796" s="439"/>
      <c r="AB796" s="439"/>
      <c r="AC796" s="438"/>
      <c r="AD796" s="438"/>
      <c r="AE796" s="366"/>
      <c r="AF796" s="439"/>
      <c r="AG796" s="366"/>
      <c r="AH796" s="366"/>
      <c r="AI796" s="366"/>
      <c r="AJ796" s="366"/>
      <c r="AK796" s="440"/>
      <c r="AL796" s="440"/>
      <c r="AM796" s="440"/>
      <c r="AN796" s="440"/>
      <c r="AO796" s="383"/>
      <c r="AP796" s="374"/>
      <c r="AQ796" s="383"/>
    </row>
    <row r="797" ht="29.25" customHeight="1" outlineLevel="1" spans="1:43">
      <c r="B797" s="292">
        <v>0.833344907407407</v>
      </c>
      <c r="C797" s="293" t="str">
        <f t="shared" ref="C797:G797" si="1665">TEXT(IF($B797=0," ",$B797-C$6),"hh:mm am/pm")</f>
        <v>18:00 001/p1</v>
      </c>
      <c r="D797" s="293" t="str">
        <f t="shared" si="1665"/>
        <v>16:00 001/p1</v>
      </c>
      <c r="E797" s="293" t="str">
        <f t="shared" si="1665"/>
        <v>17:00 001/p1</v>
      </c>
      <c r="F797" s="293" t="str">
        <f t="shared" si="1665"/>
        <v>18:00 001/p1</v>
      </c>
      <c r="G797" s="293" t="str">
        <f t="shared" si="1665"/>
        <v>19:00 001/p1</v>
      </c>
      <c r="H797" s="293" t="str">
        <f t="shared" ref="H797:I797" si="1666">TEXT(IF($B797=0," ",$B797+H$6),"hh:mm am/pm")</f>
        <v>02:00 001/p1</v>
      </c>
      <c r="I797" s="293" t="str">
        <f t="shared" si="1666"/>
        <v>07:00 001/p1</v>
      </c>
      <c r="J797" s="405" t="s">
        <v>217</v>
      </c>
      <c r="K797" s="406"/>
      <c r="L797" s="407" t="s">
        <v>434</v>
      </c>
      <c r="M797" s="441" t="s">
        <v>196</v>
      </c>
      <c r="N797" s="388" t="s">
        <v>57</v>
      </c>
      <c r="O797" s="389" t="s">
        <v>74</v>
      </c>
      <c r="P797" s="390" t="s">
        <v>59</v>
      </c>
      <c r="Q797" s="391">
        <f>200*1</f>
        <v>200</v>
      </c>
      <c r="R797" s="394" t="s">
        <v>60</v>
      </c>
      <c r="S797" s="456"/>
      <c r="T797" s="394">
        <v>0.1</v>
      </c>
      <c r="U797" s="388" t="s">
        <v>62</v>
      </c>
      <c r="V797" s="442">
        <v>1</v>
      </c>
      <c r="W797" s="388">
        <v>1</v>
      </c>
      <c r="X797" s="399">
        <v>40000</v>
      </c>
      <c r="Y797" s="396" t="s">
        <v>79</v>
      </c>
      <c r="Z797" s="388">
        <v>3</v>
      </c>
      <c r="AA797" s="397">
        <v>90000</v>
      </c>
      <c r="AB797" s="397" t="s">
        <v>65</v>
      </c>
      <c r="AC797" s="394">
        <v>0.05</v>
      </c>
      <c r="AD797" s="394">
        <v>0</v>
      </c>
      <c r="AE797" s="392" t="s">
        <v>66</v>
      </c>
      <c r="AF797" s="399">
        <v>30000</v>
      </c>
      <c r="AG797" s="400">
        <v>8</v>
      </c>
      <c r="AH797" s="400">
        <v>6</v>
      </c>
      <c r="AI797" s="400">
        <v>5</v>
      </c>
      <c r="AJ797" s="392">
        <v>15</v>
      </c>
      <c r="AK797" s="457" t="s">
        <v>67</v>
      </c>
      <c r="AL797" s="402" t="s">
        <v>68</v>
      </c>
      <c r="AM797" s="403" t="s">
        <v>197</v>
      </c>
      <c r="AN797" s="403" t="s">
        <v>198</v>
      </c>
      <c r="AO797" s="314">
        <f>IF(B797=0," ",TIME(,ROUNDDOWN(AG797*AJ797/60,0)*5+(AG797*AJ797),)+B797)</f>
        <v>0.923622685185185</v>
      </c>
      <c r="AP797" s="315">
        <f>IF(Q797=0,,ROUNDUP(Q797/(V797*(1-AC797-AD797)),0))</f>
        <v>211</v>
      </c>
      <c r="AQ797" s="316" t="str">
        <f>IFERROR(IF(V797=0," ",IF(V797&lt;=5,"MICRO",IF(V797&lt;=19.8,"LOW",IF(V797&lt;=99.8,"MEDIUM",IF(V797&lt;=500,"HIGH",IF(V797&gt;500,"SUPER HIGH",)))))),"")</f>
        <v>MICRO</v>
      </c>
    </row>
    <row r="798" ht="29.25" customHeight="1" outlineLevel="1" spans="1:43">
      <c r="B798" s="383"/>
      <c r="C798" s="434"/>
      <c r="D798" s="434"/>
      <c r="E798" s="434"/>
      <c r="F798" s="434"/>
      <c r="G798" s="434"/>
      <c r="H798" s="434"/>
      <c r="I798" s="434"/>
      <c r="J798" s="344"/>
      <c r="K798" s="367"/>
      <c r="L798" s="367"/>
      <c r="M798" s="435"/>
      <c r="N798" s="436"/>
      <c r="O798" s="437"/>
      <c r="P798" s="437"/>
      <c r="Q798" s="436"/>
      <c r="R798" s="436"/>
      <c r="S798" s="436"/>
      <c r="T798" s="438"/>
      <c r="U798" s="436"/>
      <c r="V798" s="436"/>
      <c r="W798" s="436"/>
      <c r="X798" s="436"/>
      <c r="Y798" s="366"/>
      <c r="Z798" s="439"/>
      <c r="AA798" s="439"/>
      <c r="AB798" s="439"/>
      <c r="AC798" s="438"/>
      <c r="AD798" s="438"/>
      <c r="AE798" s="366"/>
      <c r="AF798" s="439"/>
      <c r="AG798" s="366"/>
      <c r="AH798" s="366"/>
      <c r="AI798" s="366"/>
      <c r="AJ798" s="366"/>
      <c r="AK798" s="440"/>
      <c r="AL798" s="440"/>
      <c r="AM798" s="440"/>
      <c r="AN798" s="440"/>
      <c r="AO798" s="383"/>
      <c r="AP798" s="374"/>
      <c r="AQ798" s="383"/>
    </row>
    <row r="799" ht="29.25" customHeight="1" outlineLevel="1" spans="1:43">
      <c r="A799" s="363"/>
      <c r="B799" s="292">
        <v>0.375011574074074</v>
      </c>
      <c r="C799" s="293" t="str">
        <f t="shared" ref="C799:G799" si="1667">TEXT(IF($B799=0," ",$B799-C$6),"hh:mm am/pm")</f>
        <v>07:00 001/p1</v>
      </c>
      <c r="D799" s="293" t="str">
        <f t="shared" si="1667"/>
        <v>05:00 001/p1</v>
      </c>
      <c r="E799" s="293" t="str">
        <f t="shared" si="1667"/>
        <v>06:00 001/p1</v>
      </c>
      <c r="F799" s="293" t="str">
        <f t="shared" si="1667"/>
        <v>07:00 001/p1</v>
      </c>
      <c r="G799" s="293" t="str">
        <f t="shared" si="1667"/>
        <v>08:00 001/p1</v>
      </c>
      <c r="H799" s="293" t="str">
        <f t="shared" ref="H799:I799" si="1668">TEXT(IF($B799=0," ",$B799+H$6),"hh:mm am/pm")</f>
        <v>15:00 001/p1</v>
      </c>
      <c r="I799" s="293" t="str">
        <f t="shared" si="1668"/>
        <v>20:00 001/p1</v>
      </c>
      <c r="J799" s="423" t="s">
        <v>219</v>
      </c>
      <c r="K799" s="424"/>
      <c r="L799" s="425" t="s">
        <v>220</v>
      </c>
      <c r="M799" s="387" t="s">
        <v>196</v>
      </c>
      <c r="N799" s="442" t="s">
        <v>57</v>
      </c>
      <c r="O799" s="443" t="s">
        <v>74</v>
      </c>
      <c r="P799" s="444" t="s">
        <v>59</v>
      </c>
      <c r="Q799" s="445">
        <f>40*2</f>
        <v>80</v>
      </c>
      <c r="R799" s="446" t="s">
        <v>60</v>
      </c>
      <c r="S799" s="447"/>
      <c r="T799" s="446">
        <v>0.1</v>
      </c>
      <c r="U799" s="442" t="s">
        <v>62</v>
      </c>
      <c r="V799" s="442">
        <v>0.6</v>
      </c>
      <c r="W799" s="442">
        <v>1</v>
      </c>
      <c r="X799" s="499"/>
      <c r="Y799" s="449" t="s">
        <v>79</v>
      </c>
      <c r="Z799" s="442">
        <v>2</v>
      </c>
      <c r="AA799" s="450">
        <v>50000</v>
      </c>
      <c r="AB799" s="450" t="s">
        <v>65</v>
      </c>
      <c r="AC799" s="446">
        <v>0.05</v>
      </c>
      <c r="AD799" s="446">
        <v>0</v>
      </c>
      <c r="AE799" s="451" t="s">
        <v>66</v>
      </c>
      <c r="AF799" s="448">
        <v>30000</v>
      </c>
      <c r="AG799" s="452">
        <v>7</v>
      </c>
      <c r="AH799" s="452">
        <v>6</v>
      </c>
      <c r="AI799" s="452">
        <v>5</v>
      </c>
      <c r="AJ799" s="451">
        <v>13</v>
      </c>
      <c r="AK799" s="453" t="s">
        <v>67</v>
      </c>
      <c r="AL799" s="454" t="s">
        <v>68</v>
      </c>
      <c r="AM799" s="455" t="s">
        <v>197</v>
      </c>
      <c r="AN799" s="455" t="s">
        <v>170</v>
      </c>
      <c r="AO799" s="314">
        <f t="shared" ref="AO799:AO813" si="1669">IF(B799=0," ",TIME(,ROUNDDOWN(AG799*AJ799/60,0)*5+(AG799*AJ799),)+B799)</f>
        <v>0.441678240740741</v>
      </c>
      <c r="AP799" s="315">
        <f t="shared" ref="AP799:AP813" si="1670">IF(Q799=0,,ROUNDUP(Q799/(V799*(1-AC799-AD799)),0))</f>
        <v>141</v>
      </c>
      <c r="AQ799" s="316" t="str">
        <f t="shared" ref="AQ799:AQ813" si="1671">IFERROR(IF(V799=0," ",IF(V799&lt;=5,"MICRO",IF(V799&lt;=19.8,"LOW",IF(V799&lt;=99.8,"MEDIUM",IF(V799&lt;=500,"HIGH",IF(V799&gt;500,"SUPER HIGH",)))))),"")</f>
        <v>MICRO</v>
      </c>
    </row>
    <row r="800" ht="29.25" customHeight="1" outlineLevel="1" spans="1:43">
      <c r="B800" s="292">
        <v>0.458344907407407</v>
      </c>
      <c r="C800" s="293" t="str">
        <f t="shared" ref="C800:G800" si="1672">TEXT(IF($B800=0," ",$B800-C$6),"hh:mm am/pm")</f>
        <v>09:00 001/p1</v>
      </c>
      <c r="D800" s="293" t="str">
        <f t="shared" si="1672"/>
        <v>07:00 001/p1</v>
      </c>
      <c r="E800" s="293" t="str">
        <f t="shared" si="1672"/>
        <v>08:00 001/p1</v>
      </c>
      <c r="F800" s="293" t="str">
        <f t="shared" si="1672"/>
        <v>09:00 001/p1</v>
      </c>
      <c r="G800" s="293" t="str">
        <f t="shared" si="1672"/>
        <v>10:00 001/p1</v>
      </c>
      <c r="H800" s="293" t="str">
        <f t="shared" ref="H800:I800" si="1673">TEXT(IF($B800=0," ",$B800+H$6),"hh:mm am/pm")</f>
        <v>17:00 001/p1</v>
      </c>
      <c r="I800" s="293" t="str">
        <f t="shared" si="1673"/>
        <v>22:00 001/p1</v>
      </c>
      <c r="J800" s="29"/>
      <c r="K800" s="431"/>
      <c r="L800" s="432" t="s">
        <v>221</v>
      </c>
      <c r="M800" s="387" t="s">
        <v>196</v>
      </c>
      <c r="N800" s="442" t="s">
        <v>57</v>
      </c>
      <c r="O800" s="443" t="s">
        <v>74</v>
      </c>
      <c r="P800" s="444" t="s">
        <v>59</v>
      </c>
      <c r="Q800" s="445">
        <f>40*3</f>
        <v>120</v>
      </c>
      <c r="R800" s="446" t="s">
        <v>60</v>
      </c>
      <c r="S800" s="447"/>
      <c r="T800" s="446">
        <v>0.1</v>
      </c>
      <c r="U800" s="442" t="s">
        <v>62</v>
      </c>
      <c r="V800" s="442">
        <v>1</v>
      </c>
      <c r="W800" s="442">
        <v>1</v>
      </c>
      <c r="X800" s="499"/>
      <c r="Y800" s="449" t="s">
        <v>79</v>
      </c>
      <c r="Z800" s="442">
        <v>3</v>
      </c>
      <c r="AA800" s="450">
        <v>50000</v>
      </c>
      <c r="AB800" s="450" t="s">
        <v>65</v>
      </c>
      <c r="AC800" s="446">
        <v>0.05</v>
      </c>
      <c r="AD800" s="446">
        <v>0</v>
      </c>
      <c r="AE800" s="451" t="s">
        <v>66</v>
      </c>
      <c r="AF800" s="448">
        <v>30000</v>
      </c>
      <c r="AG800" s="452">
        <v>7</v>
      </c>
      <c r="AH800" s="452">
        <v>6</v>
      </c>
      <c r="AI800" s="452">
        <v>5</v>
      </c>
      <c r="AJ800" s="451">
        <v>13</v>
      </c>
      <c r="AK800" s="453" t="s">
        <v>67</v>
      </c>
      <c r="AL800" s="454" t="s">
        <v>68</v>
      </c>
      <c r="AM800" s="455" t="s">
        <v>197</v>
      </c>
      <c r="AN800" s="455" t="s">
        <v>170</v>
      </c>
      <c r="AO800" s="314">
        <f t="shared" si="1669"/>
        <v>0.525011574074074</v>
      </c>
      <c r="AP800" s="315">
        <f t="shared" si="1670"/>
        <v>127</v>
      </c>
      <c r="AQ800" s="316" t="str">
        <f t="shared" si="1671"/>
        <v>MICRO</v>
      </c>
    </row>
    <row r="801" ht="29.25" customHeight="1" outlineLevel="1" spans="1:43">
      <c r="A801" s="363" t="s">
        <v>410</v>
      </c>
      <c r="B801" s="317">
        <v>0.541678240740741</v>
      </c>
      <c r="C801" s="293" t="str">
        <f t="shared" ref="C801:G801" si="1674">TEXT(IF($B801=0," ",$B801-C$6),"hh:mm am/pm")</f>
        <v>11:00 001/p1</v>
      </c>
      <c r="D801" s="293" t="str">
        <f t="shared" si="1674"/>
        <v>09:00 001/p1</v>
      </c>
      <c r="E801" s="293" t="str">
        <f t="shared" si="1674"/>
        <v>10:00 001/p1</v>
      </c>
      <c r="F801" s="293" t="str">
        <f t="shared" si="1674"/>
        <v>11:00 001/p1</v>
      </c>
      <c r="G801" s="293" t="str">
        <f t="shared" si="1674"/>
        <v>12:00 001/p1</v>
      </c>
      <c r="H801" s="293" t="str">
        <f t="shared" ref="H801:I801" si="1675">TEXT(IF($B801=0," ",$B801+H$6),"hh:mm am/pm")</f>
        <v>19:00 001/p1</v>
      </c>
      <c r="I801" s="293" t="str">
        <f t="shared" si="1675"/>
        <v>00:00 001/p1</v>
      </c>
      <c r="J801" s="29"/>
      <c r="K801" s="431"/>
      <c r="L801" s="432" t="s">
        <v>223</v>
      </c>
      <c r="M801" s="387" t="s">
        <v>196</v>
      </c>
      <c r="N801" s="442" t="s">
        <v>57</v>
      </c>
      <c r="O801" s="443" t="s">
        <v>74</v>
      </c>
      <c r="P801" s="444" t="s">
        <v>59</v>
      </c>
      <c r="Q801" s="445">
        <f>40*5</f>
        <v>200</v>
      </c>
      <c r="R801" s="414" t="s">
        <v>60</v>
      </c>
      <c r="S801" s="413"/>
      <c r="T801" s="414">
        <v>0.1</v>
      </c>
      <c r="U801" s="409" t="s">
        <v>62</v>
      </c>
      <c r="V801" s="442">
        <v>2</v>
      </c>
      <c r="W801" s="442">
        <v>2</v>
      </c>
      <c r="X801" s="415"/>
      <c r="Y801" s="416" t="s">
        <v>79</v>
      </c>
      <c r="Z801" s="409">
        <v>3</v>
      </c>
      <c r="AA801" s="417">
        <v>50000</v>
      </c>
      <c r="AB801" s="417" t="s">
        <v>65</v>
      </c>
      <c r="AC801" s="414">
        <v>0.05</v>
      </c>
      <c r="AD801" s="414">
        <v>0</v>
      </c>
      <c r="AE801" s="418" t="s">
        <v>66</v>
      </c>
      <c r="AF801" s="419">
        <v>30000</v>
      </c>
      <c r="AG801" s="420">
        <v>7</v>
      </c>
      <c r="AH801" s="452">
        <v>6</v>
      </c>
      <c r="AI801" s="452">
        <v>5</v>
      </c>
      <c r="AJ801" s="418">
        <v>13</v>
      </c>
      <c r="AK801" s="421" t="s">
        <v>67</v>
      </c>
      <c r="AL801" s="428" t="s">
        <v>68</v>
      </c>
      <c r="AM801" s="422" t="s">
        <v>197</v>
      </c>
      <c r="AN801" s="422" t="s">
        <v>170</v>
      </c>
      <c r="AO801" s="314">
        <f t="shared" si="1669"/>
        <v>0.608344907407407</v>
      </c>
      <c r="AP801" s="315">
        <f t="shared" si="1670"/>
        <v>106</v>
      </c>
      <c r="AQ801" s="316" t="str">
        <f t="shared" si="1671"/>
        <v>MICRO</v>
      </c>
    </row>
    <row r="802" ht="29.25" customHeight="1" outlineLevel="1" spans="1:43">
      <c r="B802" s="317">
        <v>0.625011574074074</v>
      </c>
      <c r="C802" s="293" t="str">
        <f t="shared" ref="C802:G802" si="1676">TEXT(IF($B802=0," ",$B802-C$6),"hh:mm am/pm")</f>
        <v>13:00 001/p1</v>
      </c>
      <c r="D802" s="293" t="str">
        <f t="shared" si="1676"/>
        <v>11:00 001/p1</v>
      </c>
      <c r="E802" s="293" t="str">
        <f t="shared" si="1676"/>
        <v>12:00 001/p1</v>
      </c>
      <c r="F802" s="293" t="str">
        <f t="shared" si="1676"/>
        <v>13:00 001/p1</v>
      </c>
      <c r="G802" s="293" t="str">
        <f t="shared" si="1676"/>
        <v>14:00 001/p1</v>
      </c>
      <c r="H802" s="293" t="str">
        <f t="shared" ref="H802:I802" si="1677">TEXT(IF($B802=0," ",$B802+H$6),"hh:mm am/pm")</f>
        <v>21:00 001/p1</v>
      </c>
      <c r="I802" s="293" t="str">
        <f t="shared" si="1677"/>
        <v>02:00 001/p1</v>
      </c>
      <c r="J802" s="29"/>
      <c r="K802" s="431"/>
      <c r="L802" s="432" t="s">
        <v>291</v>
      </c>
      <c r="M802" s="387" t="s">
        <v>196</v>
      </c>
      <c r="N802" s="442" t="s">
        <v>57</v>
      </c>
      <c r="O802" s="443" t="s">
        <v>74</v>
      </c>
      <c r="P802" s="444" t="s">
        <v>59</v>
      </c>
      <c r="Q802" s="445">
        <f t="shared" ref="Q802:Q804" si="1678">40*10</f>
        <v>400</v>
      </c>
      <c r="R802" s="414" t="s">
        <v>60</v>
      </c>
      <c r="S802" s="413"/>
      <c r="T802" s="414">
        <v>0.1</v>
      </c>
      <c r="U802" s="409" t="s">
        <v>62</v>
      </c>
      <c r="V802" s="442">
        <v>2</v>
      </c>
      <c r="W802" s="442">
        <v>2</v>
      </c>
      <c r="X802" s="415"/>
      <c r="Y802" s="416" t="s">
        <v>79</v>
      </c>
      <c r="Z802" s="409">
        <v>4</v>
      </c>
      <c r="AA802" s="417">
        <v>60000</v>
      </c>
      <c r="AB802" s="417" t="s">
        <v>65</v>
      </c>
      <c r="AC802" s="414">
        <v>0.05</v>
      </c>
      <c r="AD802" s="414">
        <v>0</v>
      </c>
      <c r="AE802" s="418" t="s">
        <v>66</v>
      </c>
      <c r="AF802" s="419">
        <v>30000</v>
      </c>
      <c r="AG802" s="420">
        <v>7</v>
      </c>
      <c r="AH802" s="452">
        <v>6</v>
      </c>
      <c r="AI802" s="452">
        <v>5</v>
      </c>
      <c r="AJ802" s="418">
        <v>13</v>
      </c>
      <c r="AK802" s="421" t="s">
        <v>67</v>
      </c>
      <c r="AL802" s="428" t="s">
        <v>68</v>
      </c>
      <c r="AM802" s="422" t="s">
        <v>197</v>
      </c>
      <c r="AN802" s="422" t="s">
        <v>170</v>
      </c>
      <c r="AO802" s="314">
        <f t="shared" si="1669"/>
        <v>0.691678240740741</v>
      </c>
      <c r="AP802" s="315">
        <f t="shared" si="1670"/>
        <v>211</v>
      </c>
      <c r="AQ802" s="316" t="str">
        <f t="shared" si="1671"/>
        <v>MICRO</v>
      </c>
    </row>
    <row r="803" ht="29.25" customHeight="1" outlineLevel="1" spans="1:43">
      <c r="B803" s="317">
        <v>0.708344907407407</v>
      </c>
      <c r="C803" s="293" t="str">
        <f t="shared" ref="C803:G803" si="1679">TEXT(IF($B803=0," ",$B803-C$6),"hh:mm am/pm")</f>
        <v>15:00 001/p1</v>
      </c>
      <c r="D803" s="293" t="str">
        <f t="shared" si="1679"/>
        <v>13:00 001/p1</v>
      </c>
      <c r="E803" s="293" t="str">
        <f t="shared" si="1679"/>
        <v>14:00 001/p1</v>
      </c>
      <c r="F803" s="293" t="str">
        <f t="shared" si="1679"/>
        <v>15:00 001/p1</v>
      </c>
      <c r="G803" s="293" t="str">
        <f t="shared" si="1679"/>
        <v>16:00 001/p1</v>
      </c>
      <c r="H803" s="293" t="str">
        <f t="shared" ref="H803:I803" si="1680">TEXT(IF($B803=0," ",$B803+H$6),"hh:mm am/pm")</f>
        <v>23:00 001/p1</v>
      </c>
      <c r="I803" s="293" t="str">
        <f t="shared" si="1680"/>
        <v>04:00 001/p1</v>
      </c>
      <c r="J803" s="29"/>
      <c r="K803" s="431"/>
      <c r="L803" s="432" t="s">
        <v>291</v>
      </c>
      <c r="M803" s="387" t="s">
        <v>196</v>
      </c>
      <c r="N803" s="442" t="s">
        <v>57</v>
      </c>
      <c r="O803" s="443" t="s">
        <v>74</v>
      </c>
      <c r="P803" s="444" t="s">
        <v>59</v>
      </c>
      <c r="Q803" s="445">
        <f t="shared" si="1678"/>
        <v>400</v>
      </c>
      <c r="R803" s="414" t="s">
        <v>60</v>
      </c>
      <c r="S803" s="413"/>
      <c r="T803" s="414">
        <v>0.1</v>
      </c>
      <c r="U803" s="409" t="s">
        <v>62</v>
      </c>
      <c r="V803" s="442">
        <v>2</v>
      </c>
      <c r="W803" s="442">
        <v>2</v>
      </c>
      <c r="X803" s="415"/>
      <c r="Y803" s="416" t="s">
        <v>79</v>
      </c>
      <c r="Z803" s="409">
        <v>4</v>
      </c>
      <c r="AA803" s="417">
        <v>60000</v>
      </c>
      <c r="AB803" s="417" t="s">
        <v>65</v>
      </c>
      <c r="AC803" s="414">
        <v>0.05</v>
      </c>
      <c r="AD803" s="414">
        <v>0</v>
      </c>
      <c r="AE803" s="418" t="s">
        <v>66</v>
      </c>
      <c r="AF803" s="419">
        <v>30000</v>
      </c>
      <c r="AG803" s="420">
        <v>7</v>
      </c>
      <c r="AH803" s="452">
        <v>6</v>
      </c>
      <c r="AI803" s="452">
        <v>5</v>
      </c>
      <c r="AJ803" s="418">
        <v>13</v>
      </c>
      <c r="AK803" s="421" t="s">
        <v>67</v>
      </c>
      <c r="AL803" s="428" t="s">
        <v>68</v>
      </c>
      <c r="AM803" s="422" t="s">
        <v>197</v>
      </c>
      <c r="AN803" s="422" t="s">
        <v>170</v>
      </c>
      <c r="AO803" s="314">
        <f t="shared" si="1669"/>
        <v>0.775011574074074</v>
      </c>
      <c r="AP803" s="315">
        <f t="shared" si="1670"/>
        <v>211</v>
      </c>
      <c r="AQ803" s="316" t="str">
        <f t="shared" si="1671"/>
        <v>MICRO</v>
      </c>
    </row>
    <row r="804" ht="29.25" customHeight="1" outlineLevel="1" spans="1:43">
      <c r="A804" s="363"/>
      <c r="B804" s="317">
        <v>0.791678240740741</v>
      </c>
      <c r="C804" s="293" t="str">
        <f t="shared" ref="C804:G804" si="1681">TEXT(IF($B804=0," ",$B804-C$6),"hh:mm am/pm")</f>
        <v>17:00 001/p1</v>
      </c>
      <c r="D804" s="293" t="str">
        <f t="shared" si="1681"/>
        <v>15:00 001/p1</v>
      </c>
      <c r="E804" s="293" t="str">
        <f t="shared" si="1681"/>
        <v>16:00 001/p1</v>
      </c>
      <c r="F804" s="293" t="str">
        <f t="shared" si="1681"/>
        <v>17:00 001/p1</v>
      </c>
      <c r="G804" s="293" t="str">
        <f t="shared" si="1681"/>
        <v>18:00 001/p1</v>
      </c>
      <c r="H804" s="293" t="str">
        <f t="shared" ref="H804:I804" si="1682">TEXT(IF($B804=0," ",$B804+H$6),"hh:mm am/pm")</f>
        <v>01:00 001/p1</v>
      </c>
      <c r="I804" s="293" t="str">
        <f t="shared" si="1682"/>
        <v>06:00 001/p1</v>
      </c>
      <c r="J804" s="29"/>
      <c r="K804" s="431"/>
      <c r="L804" s="432" t="s">
        <v>291</v>
      </c>
      <c r="M804" s="387" t="s">
        <v>196</v>
      </c>
      <c r="N804" s="442" t="s">
        <v>57</v>
      </c>
      <c r="O804" s="443" t="s">
        <v>74</v>
      </c>
      <c r="P804" s="444" t="s">
        <v>59</v>
      </c>
      <c r="Q804" s="445">
        <f t="shared" si="1678"/>
        <v>400</v>
      </c>
      <c r="R804" s="414" t="s">
        <v>60</v>
      </c>
      <c r="S804" s="413"/>
      <c r="T804" s="414">
        <v>0.1</v>
      </c>
      <c r="U804" s="409" t="s">
        <v>62</v>
      </c>
      <c r="V804" s="442">
        <v>2</v>
      </c>
      <c r="W804" s="442">
        <v>2</v>
      </c>
      <c r="X804" s="415"/>
      <c r="Y804" s="416" t="s">
        <v>79</v>
      </c>
      <c r="Z804" s="409">
        <v>4</v>
      </c>
      <c r="AA804" s="417">
        <v>60000</v>
      </c>
      <c r="AB804" s="417" t="s">
        <v>65</v>
      </c>
      <c r="AC804" s="414">
        <v>0.05</v>
      </c>
      <c r="AD804" s="414">
        <v>0</v>
      </c>
      <c r="AE804" s="418" t="s">
        <v>66</v>
      </c>
      <c r="AF804" s="419">
        <v>30000</v>
      </c>
      <c r="AG804" s="420">
        <v>7</v>
      </c>
      <c r="AH804" s="452">
        <v>6</v>
      </c>
      <c r="AI804" s="452">
        <v>5</v>
      </c>
      <c r="AJ804" s="418">
        <v>13</v>
      </c>
      <c r="AK804" s="421" t="s">
        <v>67</v>
      </c>
      <c r="AL804" s="428" t="s">
        <v>68</v>
      </c>
      <c r="AM804" s="422" t="s">
        <v>197</v>
      </c>
      <c r="AN804" s="422" t="s">
        <v>170</v>
      </c>
      <c r="AO804" s="314">
        <f t="shared" si="1669"/>
        <v>0.858344907407407</v>
      </c>
      <c r="AP804" s="315">
        <f t="shared" si="1670"/>
        <v>211</v>
      </c>
      <c r="AQ804" s="316" t="str">
        <f t="shared" si="1671"/>
        <v>MICRO</v>
      </c>
    </row>
    <row r="805" ht="29.25" customHeight="1" outlineLevel="1" spans="1:43">
      <c r="A805" s="363"/>
      <c r="B805" s="317">
        <v>0.875011574074074</v>
      </c>
      <c r="C805" s="293" t="str">
        <f t="shared" ref="C805:G805" si="1683">TEXT(IF($B805=0," ",$B805-C$6),"hh:mm am/pm")</f>
        <v>19:00 001/p1</v>
      </c>
      <c r="D805" s="293" t="str">
        <f t="shared" si="1683"/>
        <v>17:00 001/p1</v>
      </c>
      <c r="E805" s="293" t="str">
        <f t="shared" si="1683"/>
        <v>18:00 001/p1</v>
      </c>
      <c r="F805" s="293" t="str">
        <f t="shared" si="1683"/>
        <v>19:00 001/p1</v>
      </c>
      <c r="G805" s="293" t="str">
        <f t="shared" si="1683"/>
        <v>20:00 001/p1</v>
      </c>
      <c r="H805" s="293" t="str">
        <f t="shared" ref="H805:I805" si="1684">TEXT(IF($B805=0," ",$B805+H$6),"hh:mm am/pm")</f>
        <v>03:00 001/p1</v>
      </c>
      <c r="I805" s="293" t="str">
        <f t="shared" si="1684"/>
        <v>08:00 001/p1</v>
      </c>
      <c r="J805" s="29"/>
      <c r="K805" s="431"/>
      <c r="L805" s="432" t="s">
        <v>435</v>
      </c>
      <c r="M805" s="387" t="s">
        <v>196</v>
      </c>
      <c r="N805" s="442" t="s">
        <v>57</v>
      </c>
      <c r="O805" s="443" t="s">
        <v>74</v>
      </c>
      <c r="P805" s="444" t="s">
        <v>59</v>
      </c>
      <c r="Q805" s="445">
        <f>40*5</f>
        <v>200</v>
      </c>
      <c r="R805" s="414" t="s">
        <v>60</v>
      </c>
      <c r="S805" s="413"/>
      <c r="T805" s="414">
        <v>0.1</v>
      </c>
      <c r="U805" s="409" t="s">
        <v>62</v>
      </c>
      <c r="V805" s="442">
        <v>0</v>
      </c>
      <c r="W805" s="442">
        <v>1</v>
      </c>
      <c r="X805" s="415"/>
      <c r="Y805" s="416" t="s">
        <v>79</v>
      </c>
      <c r="Z805" s="409">
        <v>3</v>
      </c>
      <c r="AA805" s="417">
        <v>50000</v>
      </c>
      <c r="AB805" s="417" t="s">
        <v>65</v>
      </c>
      <c r="AC805" s="414">
        <v>0.05</v>
      </c>
      <c r="AD805" s="414">
        <v>0</v>
      </c>
      <c r="AE805" s="418" t="s">
        <v>66</v>
      </c>
      <c r="AF805" s="419">
        <v>30000</v>
      </c>
      <c r="AG805" s="420">
        <v>7</v>
      </c>
      <c r="AH805" s="452">
        <v>6</v>
      </c>
      <c r="AI805" s="452">
        <v>5</v>
      </c>
      <c r="AJ805" s="418">
        <v>13</v>
      </c>
      <c r="AK805" s="421" t="s">
        <v>67</v>
      </c>
      <c r="AL805" s="428" t="s">
        <v>68</v>
      </c>
      <c r="AM805" s="422" t="s">
        <v>197</v>
      </c>
      <c r="AN805" s="422" t="s">
        <v>170</v>
      </c>
      <c r="AO805" s="314">
        <f t="shared" si="1669"/>
        <v>0.941678240740741</v>
      </c>
      <c r="AP805" s="315" t="e">
        <f t="shared" si="1670"/>
        <v>#DIV/0!</v>
      </c>
      <c r="AQ805" s="316" t="str">
        <f t="shared" si="1671"/>
        <v> </v>
      </c>
    </row>
    <row r="806" ht="29.25" customHeight="1" outlineLevel="1" spans="1:43">
      <c r="A806" s="363"/>
      <c r="B806" s="317">
        <v>0.958344907407407</v>
      </c>
      <c r="C806" s="293" t="str">
        <f t="shared" ref="C806:G806" si="1685">TEXT(IF($B806=0," ",$B806-C$6),"hh:mm am/pm")</f>
        <v>21:00 001/p1</v>
      </c>
      <c r="D806" s="293" t="str">
        <f t="shared" si="1685"/>
        <v>19:00 001/p1</v>
      </c>
      <c r="E806" s="293" t="str">
        <f t="shared" si="1685"/>
        <v>20:00 001/p1</v>
      </c>
      <c r="F806" s="293" t="str">
        <f t="shared" si="1685"/>
        <v>21:00 001/p1</v>
      </c>
      <c r="G806" s="293" t="str">
        <f t="shared" si="1685"/>
        <v>22:00 001/p1</v>
      </c>
      <c r="H806" s="293" t="str">
        <f t="shared" ref="H806:I806" si="1686">TEXT(IF($B806=0," ",$B806+H$6),"hh:mm am/pm")</f>
        <v>05:00 001/p1</v>
      </c>
      <c r="I806" s="293" t="str">
        <f t="shared" si="1686"/>
        <v>10:00 001/p1</v>
      </c>
      <c r="J806" s="124"/>
      <c r="K806" s="406"/>
      <c r="L806" s="407" t="s">
        <v>220</v>
      </c>
      <c r="M806" s="387" t="s">
        <v>196</v>
      </c>
      <c r="N806" s="442" t="s">
        <v>57</v>
      </c>
      <c r="O806" s="443" t="s">
        <v>74</v>
      </c>
      <c r="P806" s="444" t="s">
        <v>59</v>
      </c>
      <c r="Q806" s="445">
        <f>40*2</f>
        <v>80</v>
      </c>
      <c r="R806" s="446" t="s">
        <v>60</v>
      </c>
      <c r="S806" s="447"/>
      <c r="T806" s="446">
        <v>0.1</v>
      </c>
      <c r="U806" s="442" t="s">
        <v>62</v>
      </c>
      <c r="V806" s="442">
        <v>0.6</v>
      </c>
      <c r="W806" s="442">
        <v>1</v>
      </c>
      <c r="X806" s="499"/>
      <c r="Y806" s="449" t="s">
        <v>79</v>
      </c>
      <c r="Z806" s="442">
        <v>2</v>
      </c>
      <c r="AA806" s="450">
        <v>50000</v>
      </c>
      <c r="AB806" s="450" t="s">
        <v>65</v>
      </c>
      <c r="AC806" s="446">
        <v>0.05</v>
      </c>
      <c r="AD806" s="446">
        <v>0</v>
      </c>
      <c r="AE806" s="451" t="s">
        <v>66</v>
      </c>
      <c r="AF806" s="448">
        <v>30000</v>
      </c>
      <c r="AG806" s="452">
        <v>6</v>
      </c>
      <c r="AH806" s="452">
        <v>5</v>
      </c>
      <c r="AI806" s="452">
        <v>4</v>
      </c>
      <c r="AJ806" s="451">
        <v>13</v>
      </c>
      <c r="AK806" s="453" t="s">
        <v>67</v>
      </c>
      <c r="AL806" s="454" t="s">
        <v>68</v>
      </c>
      <c r="AM806" s="455" t="s">
        <v>197</v>
      </c>
      <c r="AN806" s="455" t="s">
        <v>170</v>
      </c>
      <c r="AO806" s="314">
        <f t="shared" si="1669"/>
        <v>1.0159837962963</v>
      </c>
      <c r="AP806" s="315">
        <f t="shared" si="1670"/>
        <v>141</v>
      </c>
      <c r="AQ806" s="316" t="str">
        <f t="shared" si="1671"/>
        <v>MICRO</v>
      </c>
    </row>
    <row r="807" ht="29.25" customHeight="1" outlineLevel="1" spans="1:43">
      <c r="A807" s="363"/>
      <c r="B807" s="365"/>
      <c r="C807" s="293" t="str">
        <f t="shared" ref="C807:G807" si="1687">TEXT(IF($B807=0," ",$B807-C$6),"hh:mm am/pm")</f>
        <v> </v>
      </c>
      <c r="D807" s="293" t="str">
        <f t="shared" si="1687"/>
        <v> </v>
      </c>
      <c r="E807" s="293" t="str">
        <f t="shared" si="1687"/>
        <v> </v>
      </c>
      <c r="F807" s="293" t="str">
        <f t="shared" si="1687"/>
        <v> </v>
      </c>
      <c r="G807" s="293" t="str">
        <f t="shared" si="1687"/>
        <v> </v>
      </c>
      <c r="H807" s="293" t="str">
        <f t="shared" ref="H807:I807" si="1688">TEXT(IF($B807=0," ",$B807+H$6),"hh:mm am/pm")</f>
        <v> </v>
      </c>
      <c r="I807" s="293" t="str">
        <f t="shared" si="1688"/>
        <v> </v>
      </c>
      <c r="J807" s="485"/>
      <c r="K807" s="366"/>
      <c r="L807" s="366"/>
      <c r="M807" s="368"/>
      <c r="N807" s="369"/>
      <c r="O807" s="370"/>
      <c r="P807" s="370"/>
      <c r="Q807" s="369"/>
      <c r="R807" s="369"/>
      <c r="S807" s="369"/>
      <c r="T807" s="371"/>
      <c r="U807" s="369"/>
      <c r="V807" s="369"/>
      <c r="W807" s="369"/>
      <c r="X807" s="372"/>
      <c r="Y807" s="367"/>
      <c r="Z807" s="369"/>
      <c r="AA807" s="372"/>
      <c r="AB807" s="372"/>
      <c r="AC807" s="371"/>
      <c r="AD807" s="371"/>
      <c r="AE807" s="367"/>
      <c r="AF807" s="372"/>
      <c r="AG807" s="367"/>
      <c r="AH807" s="367"/>
      <c r="AI807" s="367"/>
      <c r="AJ807" s="367"/>
      <c r="AK807" s="373"/>
      <c r="AL807" s="373"/>
      <c r="AM807" s="373"/>
      <c r="AN807" s="373"/>
      <c r="AO807" s="314" t="str">
        <f t="shared" si="1669"/>
        <v> </v>
      </c>
      <c r="AP807" s="374">
        <f t="shared" si="1670"/>
        <v>0</v>
      </c>
      <c r="AQ807" s="316" t="str">
        <f t="shared" si="1671"/>
        <v> </v>
      </c>
    </row>
    <row r="808" ht="29.25" customHeight="1" outlineLevel="1" spans="1:43">
      <c r="A808" s="363" t="s">
        <v>410</v>
      </c>
      <c r="B808" s="317">
        <v>0.5</v>
      </c>
      <c r="C808" s="293" t="str">
        <f t="shared" ref="C808:G808" si="1689">TEXT(IF($B808=0," ",$B808-C$6),"hh:mm am/pm")</f>
        <v>10:00 001/p1</v>
      </c>
      <c r="D808" s="293" t="str">
        <f t="shared" si="1689"/>
        <v>08:00 001/p1</v>
      </c>
      <c r="E808" s="293" t="str">
        <f t="shared" si="1689"/>
        <v>09:00 001/p1</v>
      </c>
      <c r="F808" s="293" t="str">
        <f t="shared" si="1689"/>
        <v>10:00 001/p1</v>
      </c>
      <c r="G808" s="293" t="str">
        <f t="shared" si="1689"/>
        <v>11:00 001/p1</v>
      </c>
      <c r="H808" s="293" t="str">
        <f t="shared" ref="H808:I808" si="1690">TEXT(IF($B808=0," ",$B808+H$6),"hh:mm am/pm")</f>
        <v>18:00 001/p1</v>
      </c>
      <c r="I808" s="293" t="str">
        <f t="shared" si="1690"/>
        <v>23:00 001/p1</v>
      </c>
      <c r="J808" s="423" t="str">
        <f>L825</f>
        <v>#AS Supremo</v>
      </c>
      <c r="K808" s="424"/>
      <c r="L808" s="425" t="s">
        <v>384</v>
      </c>
      <c r="M808" s="408" t="s">
        <v>196</v>
      </c>
      <c r="N808" s="409" t="s">
        <v>57</v>
      </c>
      <c r="O808" s="410" t="s">
        <v>74</v>
      </c>
      <c r="P808" s="411" t="s">
        <v>59</v>
      </c>
      <c r="Q808" s="412">
        <f>110*2</f>
        <v>220</v>
      </c>
      <c r="R808" s="409" t="s">
        <v>60</v>
      </c>
      <c r="S808" s="426"/>
      <c r="T808" s="414">
        <v>0.1</v>
      </c>
      <c r="U808" s="409" t="s">
        <v>62</v>
      </c>
      <c r="V808" s="409">
        <v>2</v>
      </c>
      <c r="W808" s="409">
        <v>4</v>
      </c>
      <c r="X808" s="448">
        <v>25000</v>
      </c>
      <c r="Y808" s="416" t="s">
        <v>79</v>
      </c>
      <c r="Z808" s="409">
        <v>6</v>
      </c>
      <c r="AA808" s="417">
        <v>50000</v>
      </c>
      <c r="AB808" s="417" t="s">
        <v>65</v>
      </c>
      <c r="AC808" s="414">
        <v>0.05</v>
      </c>
      <c r="AD808" s="414">
        <v>0</v>
      </c>
      <c r="AE808" s="418" t="s">
        <v>66</v>
      </c>
      <c r="AF808" s="419">
        <v>20000</v>
      </c>
      <c r="AG808" s="420">
        <v>7</v>
      </c>
      <c r="AH808" s="420">
        <v>6</v>
      </c>
      <c r="AI808" s="420">
        <v>5</v>
      </c>
      <c r="AJ808" s="418">
        <v>13</v>
      </c>
      <c r="AK808" s="428" t="s">
        <v>67</v>
      </c>
      <c r="AL808" s="428" t="s">
        <v>68</v>
      </c>
      <c r="AM808" s="422" t="s">
        <v>197</v>
      </c>
      <c r="AN808" s="422" t="s">
        <v>198</v>
      </c>
      <c r="AO808" s="314">
        <f t="shared" si="1669"/>
        <v>0.566666666666667</v>
      </c>
      <c r="AP808" s="315">
        <f t="shared" si="1670"/>
        <v>116</v>
      </c>
      <c r="AQ808" s="316" t="str">
        <f t="shared" si="1671"/>
        <v>MICRO</v>
      </c>
    </row>
    <row r="809" ht="29.25" customHeight="1" outlineLevel="1" spans="1:43">
      <c r="B809" s="317">
        <v>0.583333333333333</v>
      </c>
      <c r="C809" s="293" t="str">
        <f t="shared" ref="C809:G809" si="1691">TEXT(IF($B809=0," ",$B809-C$6),"hh:mm am/pm")</f>
        <v>12:00 001/p1</v>
      </c>
      <c r="D809" s="293" t="str">
        <f t="shared" si="1691"/>
        <v>10:00 001/p1</v>
      </c>
      <c r="E809" s="293" t="str">
        <f t="shared" si="1691"/>
        <v>11:00 001/p1</v>
      </c>
      <c r="F809" s="293" t="str">
        <f t="shared" si="1691"/>
        <v>12:00 001/p1</v>
      </c>
      <c r="G809" s="293" t="str">
        <f t="shared" si="1691"/>
        <v>13:00 001/p1</v>
      </c>
      <c r="H809" s="293" t="str">
        <f t="shared" ref="H809:I809" si="1692">TEXT(IF($B809=0," ",$B809+H$6),"hh:mm am/pm")</f>
        <v>20:00 001/p1</v>
      </c>
      <c r="I809" s="293" t="str">
        <f t="shared" si="1692"/>
        <v>01:00 001/p1</v>
      </c>
      <c r="J809" s="29"/>
      <c r="K809" s="431"/>
      <c r="L809" s="432" t="s">
        <v>436</v>
      </c>
      <c r="M809" s="408" t="s">
        <v>196</v>
      </c>
      <c r="N809" s="409" t="s">
        <v>57</v>
      </c>
      <c r="O809" s="410" t="s">
        <v>74</v>
      </c>
      <c r="P809" s="411" t="s">
        <v>59</v>
      </c>
      <c r="Q809" s="412">
        <f>110*3</f>
        <v>330</v>
      </c>
      <c r="R809" s="409" t="s">
        <v>60</v>
      </c>
      <c r="S809" s="426"/>
      <c r="T809" s="414">
        <v>0.1</v>
      </c>
      <c r="U809" s="409" t="s">
        <v>62</v>
      </c>
      <c r="V809" s="409">
        <v>3</v>
      </c>
      <c r="W809" s="409">
        <v>4</v>
      </c>
      <c r="X809" s="448">
        <v>25000</v>
      </c>
      <c r="Y809" s="416" t="s">
        <v>79</v>
      </c>
      <c r="Z809" s="409">
        <v>6</v>
      </c>
      <c r="AA809" s="417">
        <v>50000</v>
      </c>
      <c r="AB809" s="417" t="s">
        <v>65</v>
      </c>
      <c r="AC809" s="414">
        <v>0.05</v>
      </c>
      <c r="AD809" s="414">
        <v>0</v>
      </c>
      <c r="AE809" s="418" t="s">
        <v>66</v>
      </c>
      <c r="AF809" s="419">
        <v>20000</v>
      </c>
      <c r="AG809" s="420">
        <v>7</v>
      </c>
      <c r="AH809" s="420">
        <v>6</v>
      </c>
      <c r="AI809" s="420">
        <v>5</v>
      </c>
      <c r="AJ809" s="418">
        <v>13</v>
      </c>
      <c r="AK809" s="428" t="s">
        <v>67</v>
      </c>
      <c r="AL809" s="428" t="s">
        <v>68</v>
      </c>
      <c r="AM809" s="422" t="s">
        <v>197</v>
      </c>
      <c r="AN809" s="422" t="s">
        <v>198</v>
      </c>
      <c r="AO809" s="314">
        <f t="shared" si="1669"/>
        <v>0.65</v>
      </c>
      <c r="AP809" s="315">
        <f t="shared" si="1670"/>
        <v>116</v>
      </c>
      <c r="AQ809" s="316" t="str">
        <f t="shared" si="1671"/>
        <v>MICRO</v>
      </c>
    </row>
    <row r="810" ht="29.25" customHeight="1" outlineLevel="1" spans="1:43">
      <c r="B810" s="317">
        <v>0.666666666666667</v>
      </c>
      <c r="C810" s="293" t="str">
        <f t="shared" ref="C810:G810" si="1693">TEXT(IF($B810=0," ",$B810-C$6),"hh:mm am/pm")</f>
        <v>14:00 001/p1</v>
      </c>
      <c r="D810" s="293" t="str">
        <f t="shared" si="1693"/>
        <v>12:00 001/p1</v>
      </c>
      <c r="E810" s="293" t="str">
        <f t="shared" si="1693"/>
        <v>13:00 001/p1</v>
      </c>
      <c r="F810" s="293" t="str">
        <f t="shared" si="1693"/>
        <v>14:00 001/p1</v>
      </c>
      <c r="G810" s="293" t="str">
        <f t="shared" si="1693"/>
        <v>15:00 001/p1</v>
      </c>
      <c r="H810" s="293" t="str">
        <f t="shared" ref="H810:I810" si="1694">TEXT(IF($B810=0," ",$B810+H$6),"hh:mm am/pm")</f>
        <v>22:00 001/p1</v>
      </c>
      <c r="I810" s="293" t="str">
        <f t="shared" si="1694"/>
        <v>03:00 001/p1</v>
      </c>
      <c r="J810" s="29"/>
      <c r="K810" s="431"/>
      <c r="L810" s="564" t="s">
        <v>437</v>
      </c>
      <c r="M810" s="408" t="s">
        <v>196</v>
      </c>
      <c r="N810" s="409" t="s">
        <v>57</v>
      </c>
      <c r="O810" s="410" t="s">
        <v>74</v>
      </c>
      <c r="P810" s="411" t="s">
        <v>59</v>
      </c>
      <c r="Q810" s="412">
        <f t="shared" ref="Q810:Q813" si="1695">110*5</f>
        <v>550</v>
      </c>
      <c r="R810" s="409" t="s">
        <v>60</v>
      </c>
      <c r="S810" s="426"/>
      <c r="T810" s="414">
        <v>0.1</v>
      </c>
      <c r="U810" s="409" t="s">
        <v>62</v>
      </c>
      <c r="V810" s="409">
        <v>5</v>
      </c>
      <c r="W810" s="409">
        <v>5</v>
      </c>
      <c r="X810" s="448">
        <v>25000</v>
      </c>
      <c r="Y810" s="416" t="s">
        <v>79</v>
      </c>
      <c r="Z810" s="409">
        <v>6</v>
      </c>
      <c r="AA810" s="417">
        <v>50000</v>
      </c>
      <c r="AB810" s="417" t="s">
        <v>65</v>
      </c>
      <c r="AC810" s="414">
        <v>0.05</v>
      </c>
      <c r="AD810" s="414">
        <v>0</v>
      </c>
      <c r="AE810" s="418" t="s">
        <v>66</v>
      </c>
      <c r="AF810" s="419">
        <v>20000</v>
      </c>
      <c r="AG810" s="420">
        <v>7</v>
      </c>
      <c r="AH810" s="420">
        <v>6</v>
      </c>
      <c r="AI810" s="420">
        <v>5</v>
      </c>
      <c r="AJ810" s="418">
        <v>13</v>
      </c>
      <c r="AK810" s="428" t="s">
        <v>67</v>
      </c>
      <c r="AL810" s="428" t="s">
        <v>68</v>
      </c>
      <c r="AM810" s="422" t="s">
        <v>197</v>
      </c>
      <c r="AN810" s="422" t="s">
        <v>198</v>
      </c>
      <c r="AO810" s="314">
        <f t="shared" si="1669"/>
        <v>0.733333333333333</v>
      </c>
      <c r="AP810" s="315">
        <f t="shared" si="1670"/>
        <v>116</v>
      </c>
      <c r="AQ810" s="316" t="str">
        <f t="shared" si="1671"/>
        <v>MICRO</v>
      </c>
    </row>
    <row r="811" ht="29.25" customHeight="1" outlineLevel="1" spans="1:43">
      <c r="A811" s="363" t="s">
        <v>410</v>
      </c>
      <c r="B811" s="317">
        <v>0.750011574074074</v>
      </c>
      <c r="C811" s="293" t="str">
        <f t="shared" ref="C811:G811" si="1696">TEXT(IF($B811=0," ",$B811-C$6),"hh:mm am/pm")</f>
        <v>16:00 001/p1</v>
      </c>
      <c r="D811" s="293" t="str">
        <f t="shared" si="1696"/>
        <v>14:00 001/p1</v>
      </c>
      <c r="E811" s="293" t="str">
        <f t="shared" si="1696"/>
        <v>15:00 001/p1</v>
      </c>
      <c r="F811" s="293" t="str">
        <f t="shared" si="1696"/>
        <v>16:00 001/p1</v>
      </c>
      <c r="G811" s="293" t="str">
        <f t="shared" si="1696"/>
        <v>17:00 001/p1</v>
      </c>
      <c r="H811" s="293" t="str">
        <f t="shared" ref="H811:I811" si="1697">TEXT(IF($B811=0," ",$B811+H$6),"hh:mm am/pm")</f>
        <v>00:00 001/p1</v>
      </c>
      <c r="I811" s="293" t="str">
        <f t="shared" si="1697"/>
        <v>05:00 001/p1</v>
      </c>
      <c r="J811" s="29"/>
      <c r="K811" s="431"/>
      <c r="L811" s="564" t="s">
        <v>437</v>
      </c>
      <c r="M811" s="408" t="s">
        <v>196</v>
      </c>
      <c r="N811" s="409" t="s">
        <v>57</v>
      </c>
      <c r="O811" s="410" t="s">
        <v>74</v>
      </c>
      <c r="P811" s="411" t="s">
        <v>59</v>
      </c>
      <c r="Q811" s="412">
        <f t="shared" si="1695"/>
        <v>550</v>
      </c>
      <c r="R811" s="414" t="s">
        <v>60</v>
      </c>
      <c r="S811" s="413"/>
      <c r="T811" s="414">
        <v>0.1</v>
      </c>
      <c r="U811" s="409" t="s">
        <v>62</v>
      </c>
      <c r="V811" s="409">
        <v>5</v>
      </c>
      <c r="W811" s="409">
        <v>5</v>
      </c>
      <c r="X811" s="448">
        <v>25000</v>
      </c>
      <c r="Y811" s="416" t="s">
        <v>79</v>
      </c>
      <c r="Z811" s="409">
        <v>6</v>
      </c>
      <c r="AA811" s="417">
        <v>50000</v>
      </c>
      <c r="AB811" s="417" t="s">
        <v>65</v>
      </c>
      <c r="AC811" s="414">
        <v>0.05</v>
      </c>
      <c r="AD811" s="414">
        <v>0</v>
      </c>
      <c r="AE811" s="418" t="s">
        <v>66</v>
      </c>
      <c r="AF811" s="419">
        <v>20000</v>
      </c>
      <c r="AG811" s="420">
        <v>7</v>
      </c>
      <c r="AH811" s="420">
        <v>6</v>
      </c>
      <c r="AI811" s="420">
        <v>5</v>
      </c>
      <c r="AJ811" s="418">
        <v>13</v>
      </c>
      <c r="AK811" s="428" t="s">
        <v>67</v>
      </c>
      <c r="AL811" s="428" t="s">
        <v>68</v>
      </c>
      <c r="AM811" s="422" t="s">
        <v>197</v>
      </c>
      <c r="AN811" s="422" t="s">
        <v>198</v>
      </c>
      <c r="AO811" s="314">
        <f t="shared" si="1669"/>
        <v>0.816678240740741</v>
      </c>
      <c r="AP811" s="315">
        <f t="shared" si="1670"/>
        <v>116</v>
      </c>
      <c r="AQ811" s="316" t="str">
        <f t="shared" si="1671"/>
        <v>MICRO</v>
      </c>
    </row>
    <row r="812" ht="29.25" customHeight="1" outlineLevel="1" spans="1:43">
      <c r="B812" s="317">
        <v>0.833344907407407</v>
      </c>
      <c r="C812" s="293" t="str">
        <f t="shared" ref="C812:G812" si="1698">TEXT(IF($B812=0," ",$B812-C$6),"hh:mm am/pm")</f>
        <v>18:00 001/p1</v>
      </c>
      <c r="D812" s="293" t="str">
        <f t="shared" si="1698"/>
        <v>16:00 001/p1</v>
      </c>
      <c r="E812" s="293" t="str">
        <f t="shared" si="1698"/>
        <v>17:00 001/p1</v>
      </c>
      <c r="F812" s="293" t="str">
        <f t="shared" si="1698"/>
        <v>18:00 001/p1</v>
      </c>
      <c r="G812" s="293" t="str">
        <f t="shared" si="1698"/>
        <v>19:00 001/p1</v>
      </c>
      <c r="H812" s="293" t="str">
        <f t="shared" ref="H812:I812" si="1699">TEXT(IF($B812=0," ",$B812+H$6),"hh:mm am/pm")</f>
        <v>02:00 001/p1</v>
      </c>
      <c r="I812" s="293" t="str">
        <f t="shared" si="1699"/>
        <v>07:00 001/p1</v>
      </c>
      <c r="J812" s="29"/>
      <c r="K812" s="431"/>
      <c r="L812" s="432" t="s">
        <v>437</v>
      </c>
      <c r="M812" s="408" t="s">
        <v>196</v>
      </c>
      <c r="N812" s="409" t="s">
        <v>57</v>
      </c>
      <c r="O812" s="410" t="s">
        <v>74</v>
      </c>
      <c r="P812" s="411" t="s">
        <v>59</v>
      </c>
      <c r="Q812" s="412">
        <f t="shared" si="1695"/>
        <v>550</v>
      </c>
      <c r="R812" s="414" t="s">
        <v>60</v>
      </c>
      <c r="S812" s="413"/>
      <c r="T812" s="414">
        <v>0.1</v>
      </c>
      <c r="U812" s="409" t="s">
        <v>62</v>
      </c>
      <c r="V812" s="409">
        <v>5</v>
      </c>
      <c r="W812" s="409">
        <v>5</v>
      </c>
      <c r="X812" s="448">
        <v>25000</v>
      </c>
      <c r="Y812" s="416" t="s">
        <v>79</v>
      </c>
      <c r="Z812" s="409">
        <v>6</v>
      </c>
      <c r="AA812" s="417">
        <v>50000</v>
      </c>
      <c r="AB812" s="417" t="s">
        <v>65</v>
      </c>
      <c r="AC812" s="414">
        <v>0.05</v>
      </c>
      <c r="AD812" s="414">
        <v>0</v>
      </c>
      <c r="AE812" s="418" t="s">
        <v>66</v>
      </c>
      <c r="AF812" s="419">
        <v>20000</v>
      </c>
      <c r="AG812" s="420">
        <v>7</v>
      </c>
      <c r="AH812" s="420">
        <v>6</v>
      </c>
      <c r="AI812" s="420">
        <v>5</v>
      </c>
      <c r="AJ812" s="418">
        <v>13</v>
      </c>
      <c r="AK812" s="428" t="s">
        <v>67</v>
      </c>
      <c r="AL812" s="428" t="s">
        <v>68</v>
      </c>
      <c r="AM812" s="422" t="s">
        <v>197</v>
      </c>
      <c r="AN812" s="422" t="s">
        <v>198</v>
      </c>
      <c r="AO812" s="314">
        <f t="shared" si="1669"/>
        <v>0.900011574074074</v>
      </c>
      <c r="AP812" s="315">
        <f t="shared" si="1670"/>
        <v>116</v>
      </c>
      <c r="AQ812" s="316" t="str">
        <f t="shared" si="1671"/>
        <v>MICRO</v>
      </c>
    </row>
    <row r="813" ht="29.25" customHeight="1" outlineLevel="1" spans="1:43">
      <c r="B813" s="317">
        <v>0.916678240740741</v>
      </c>
      <c r="C813" s="293" t="str">
        <f t="shared" ref="C813:G813" si="1700">TEXT(IF($B813=0," ",$B813-C$6),"hh:mm am/pm")</f>
        <v>20:00 001/p1</v>
      </c>
      <c r="D813" s="293" t="str">
        <f t="shared" si="1700"/>
        <v>18:00 001/p1</v>
      </c>
      <c r="E813" s="293" t="str">
        <f t="shared" si="1700"/>
        <v>19:00 001/p1</v>
      </c>
      <c r="F813" s="293" t="str">
        <f t="shared" si="1700"/>
        <v>20:00 001/p1</v>
      </c>
      <c r="G813" s="293" t="str">
        <f t="shared" si="1700"/>
        <v>21:00 001/p1</v>
      </c>
      <c r="H813" s="293" t="str">
        <f t="shared" ref="H813:I813" si="1701">TEXT(IF($B813=0," ",$B813+H$6),"hh:mm am/pm")</f>
        <v>04:00 001/p1</v>
      </c>
      <c r="I813" s="293" t="str">
        <f t="shared" si="1701"/>
        <v>09:00 001/p1</v>
      </c>
      <c r="J813" s="124"/>
      <c r="K813" s="406"/>
      <c r="L813" s="407" t="s">
        <v>437</v>
      </c>
      <c r="M813" s="408" t="s">
        <v>196</v>
      </c>
      <c r="N813" s="409" t="s">
        <v>57</v>
      </c>
      <c r="O813" s="410" t="s">
        <v>74</v>
      </c>
      <c r="P813" s="411" t="s">
        <v>59</v>
      </c>
      <c r="Q813" s="412">
        <f t="shared" si="1695"/>
        <v>550</v>
      </c>
      <c r="R813" s="414" t="s">
        <v>60</v>
      </c>
      <c r="S813" s="413"/>
      <c r="T813" s="414">
        <v>0.1</v>
      </c>
      <c r="U813" s="409" t="s">
        <v>62</v>
      </c>
      <c r="V813" s="409">
        <v>4</v>
      </c>
      <c r="W813" s="409">
        <v>4</v>
      </c>
      <c r="X813" s="448">
        <v>25000</v>
      </c>
      <c r="Y813" s="416" t="s">
        <v>79</v>
      </c>
      <c r="Z813" s="409">
        <v>6</v>
      </c>
      <c r="AA813" s="417">
        <v>50000</v>
      </c>
      <c r="AB813" s="417" t="s">
        <v>65</v>
      </c>
      <c r="AC813" s="414">
        <v>0.05</v>
      </c>
      <c r="AD813" s="414">
        <v>0</v>
      </c>
      <c r="AE813" s="418" t="s">
        <v>66</v>
      </c>
      <c r="AF813" s="419">
        <v>20000</v>
      </c>
      <c r="AG813" s="420">
        <v>7</v>
      </c>
      <c r="AH813" s="420">
        <v>6</v>
      </c>
      <c r="AI813" s="420">
        <v>5</v>
      </c>
      <c r="AJ813" s="418">
        <v>13</v>
      </c>
      <c r="AK813" s="428" t="s">
        <v>67</v>
      </c>
      <c r="AL813" s="428" t="s">
        <v>68</v>
      </c>
      <c r="AM813" s="422" t="s">
        <v>197</v>
      </c>
      <c r="AN813" s="422" t="s">
        <v>198</v>
      </c>
      <c r="AO813" s="314">
        <f t="shared" si="1669"/>
        <v>0.983344907407407</v>
      </c>
      <c r="AP813" s="315">
        <f t="shared" si="1670"/>
        <v>145</v>
      </c>
      <c r="AQ813" s="316" t="str">
        <f t="shared" si="1671"/>
        <v>MICRO</v>
      </c>
    </row>
    <row r="814" ht="29.25" customHeight="1" outlineLevel="1" spans="1:43">
      <c r="A814" s="363"/>
      <c r="B814" s="383"/>
      <c r="C814" s="293" t="str">
        <f t="shared" ref="C814:G814" si="1702">TEXT(IF($B814=0," ",$B814-C$6),"hh:mm am/pm")</f>
        <v> </v>
      </c>
      <c r="D814" s="293" t="str">
        <f t="shared" si="1702"/>
        <v> </v>
      </c>
      <c r="E814" s="293" t="str">
        <f t="shared" si="1702"/>
        <v> </v>
      </c>
      <c r="F814" s="293" t="str">
        <f t="shared" si="1702"/>
        <v> </v>
      </c>
      <c r="G814" s="293" t="str">
        <f t="shared" si="1702"/>
        <v> </v>
      </c>
      <c r="H814" s="293" t="str">
        <f t="shared" ref="H814:I814" si="1703">TEXT(IF($B814=0," ",$B814+H$6),"hh:mm am/pm")</f>
        <v> </v>
      </c>
      <c r="I814" s="293" t="str">
        <f t="shared" si="1703"/>
        <v> </v>
      </c>
      <c r="J814" s="485"/>
      <c r="K814" s="366"/>
      <c r="L814" s="366"/>
      <c r="M814" s="435"/>
      <c r="N814" s="436"/>
      <c r="O814" s="437"/>
      <c r="P814" s="437"/>
      <c r="Q814" s="436"/>
      <c r="R814" s="436"/>
      <c r="S814" s="436"/>
      <c r="T814" s="438"/>
      <c r="U814" s="436"/>
      <c r="V814" s="436"/>
      <c r="W814" s="436"/>
      <c r="X814" s="439"/>
      <c r="Y814" s="366"/>
      <c r="Z814" s="436"/>
      <c r="AA814" s="439"/>
      <c r="AB814" s="439"/>
      <c r="AC814" s="438"/>
      <c r="AD814" s="438"/>
      <c r="AE814" s="366"/>
      <c r="AF814" s="439"/>
      <c r="AG814" s="366"/>
      <c r="AH814" s="366"/>
      <c r="AI814" s="366"/>
      <c r="AJ814" s="366"/>
      <c r="AK814" s="440"/>
      <c r="AL814" s="440"/>
      <c r="AM814" s="440"/>
      <c r="AN814" s="440"/>
      <c r="AO814" s="383"/>
      <c r="AP814" s="374"/>
      <c r="AQ814" s="383"/>
    </row>
    <row r="815" ht="29.25" customHeight="1" outlineLevel="1" spans="1:43">
      <c r="A815" s="363" t="s">
        <v>410</v>
      </c>
      <c r="B815" s="292">
        <v>0.500011574074074</v>
      </c>
      <c r="C815" s="293" t="str">
        <f t="shared" ref="C815:G815" si="1704">TEXT(IF($B815=0," ",$B815-C$6),"hh:mm am/pm")</f>
        <v>10:00 001/p1</v>
      </c>
      <c r="D815" s="293" t="str">
        <f t="shared" si="1704"/>
        <v>08:00 001/p1</v>
      </c>
      <c r="E815" s="293" t="str">
        <f t="shared" si="1704"/>
        <v>09:00 001/p1</v>
      </c>
      <c r="F815" s="293" t="str">
        <f t="shared" si="1704"/>
        <v>10:00 001/p1</v>
      </c>
      <c r="G815" s="293" t="str">
        <f t="shared" si="1704"/>
        <v>11:00 001/p1</v>
      </c>
      <c r="H815" s="293" t="str">
        <f t="shared" ref="H815:I815" si="1705">TEXT(IF($B815=0," ",$B815+H$6),"hh:mm am/pm")</f>
        <v>18:00 001/p1</v>
      </c>
      <c r="I815" s="293" t="str">
        <f t="shared" si="1705"/>
        <v>23:00 001/p1</v>
      </c>
      <c r="J815" s="423" t="s">
        <v>215</v>
      </c>
      <c r="K815" s="424"/>
      <c r="L815" s="425" t="s">
        <v>216</v>
      </c>
      <c r="M815" s="387" t="s">
        <v>196</v>
      </c>
      <c r="N815" s="442" t="s">
        <v>57</v>
      </c>
      <c r="O815" s="443" t="s">
        <v>74</v>
      </c>
      <c r="P815" s="444" t="s">
        <v>59</v>
      </c>
      <c r="Q815" s="445">
        <f t="shared" ref="Q815:Q820" si="1706">15*4</f>
        <v>60</v>
      </c>
      <c r="R815" s="446" t="s">
        <v>60</v>
      </c>
      <c r="S815" s="447"/>
      <c r="T815" s="446">
        <v>0.1</v>
      </c>
      <c r="U815" s="442" t="s">
        <v>62</v>
      </c>
      <c r="V815" s="442">
        <v>0.6</v>
      </c>
      <c r="W815" s="442">
        <v>1</v>
      </c>
      <c r="X815" s="448">
        <v>25000</v>
      </c>
      <c r="Y815" s="449" t="s">
        <v>79</v>
      </c>
      <c r="Z815" s="442">
        <v>1</v>
      </c>
      <c r="AA815" s="450">
        <v>40000</v>
      </c>
      <c r="AB815" s="450" t="s">
        <v>65</v>
      </c>
      <c r="AC815" s="446">
        <v>0.05</v>
      </c>
      <c r="AD815" s="446">
        <v>0</v>
      </c>
      <c r="AE815" s="451" t="s">
        <v>66</v>
      </c>
      <c r="AF815" s="448">
        <v>20000</v>
      </c>
      <c r="AG815" s="452">
        <v>7</v>
      </c>
      <c r="AH815" s="452">
        <v>6</v>
      </c>
      <c r="AI815" s="452">
        <v>5</v>
      </c>
      <c r="AJ815" s="451">
        <v>13</v>
      </c>
      <c r="AK815" s="453" t="s">
        <v>67</v>
      </c>
      <c r="AL815" s="454" t="s">
        <v>68</v>
      </c>
      <c r="AM815" s="455" t="s">
        <v>197</v>
      </c>
      <c r="AN815" s="455" t="s">
        <v>198</v>
      </c>
      <c r="AO815" s="314">
        <f t="shared" ref="AO815:AO820" si="1707">IF(B815=0," ",TIME(,ROUNDDOWN(AG815*AJ815/60,0)*5+(AG815*AJ815),)+B815)</f>
        <v>0.566678240740741</v>
      </c>
      <c r="AP815" s="315">
        <f t="shared" ref="AP815:AP820" si="1708">IF(Q815=0,,ROUNDUP(Q815/(V815*(1-AC815-AD815)),0))</f>
        <v>106</v>
      </c>
      <c r="AQ815" s="316" t="str">
        <f t="shared" ref="AQ815:AQ820" si="1709">IFERROR(IF(V815=0," ",IF(V815&lt;=5,"MICRO",IF(V815&lt;=19.8,"LOW",IF(V815&lt;=99.8,"MEDIUM",IF(V815&lt;=500,"HIGH",IF(V815&gt;500,"SUPER HIGH",)))))),"")</f>
        <v>MICRO</v>
      </c>
    </row>
    <row r="816" ht="29.25" customHeight="1" outlineLevel="1" spans="1:43">
      <c r="B816" s="292">
        <v>0.583344907407407</v>
      </c>
      <c r="C816" s="293" t="str">
        <f t="shared" ref="C816:G816" si="1710">TEXT(IF($B816=0," ",$B816-C$6),"hh:mm am/pm")</f>
        <v>12:00 001/p1</v>
      </c>
      <c r="D816" s="293" t="str">
        <f t="shared" si="1710"/>
        <v>10:00 001/p1</v>
      </c>
      <c r="E816" s="293" t="str">
        <f t="shared" si="1710"/>
        <v>11:00 001/p1</v>
      </c>
      <c r="F816" s="293" t="str">
        <f t="shared" si="1710"/>
        <v>12:00 001/p1</v>
      </c>
      <c r="G816" s="293" t="str">
        <f t="shared" si="1710"/>
        <v>13:00 001/p1</v>
      </c>
      <c r="H816" s="293" t="str">
        <f t="shared" ref="H816:I816" si="1711">TEXT(IF($B816=0," ",$B816+H$6),"hh:mm am/pm")</f>
        <v>20:00 001/p1</v>
      </c>
      <c r="I816" s="293" t="str">
        <f t="shared" si="1711"/>
        <v>01:00 001/p1</v>
      </c>
      <c r="J816" s="29"/>
      <c r="K816" s="431"/>
      <c r="L816" s="432" t="s">
        <v>216</v>
      </c>
      <c r="M816" s="387" t="s">
        <v>196</v>
      </c>
      <c r="N816" s="442" t="s">
        <v>57</v>
      </c>
      <c r="O816" s="443" t="s">
        <v>74</v>
      </c>
      <c r="P816" s="444" t="s">
        <v>59</v>
      </c>
      <c r="Q816" s="445">
        <f t="shared" si="1706"/>
        <v>60</v>
      </c>
      <c r="R816" s="446" t="s">
        <v>60</v>
      </c>
      <c r="S816" s="447"/>
      <c r="T816" s="446">
        <v>0.1</v>
      </c>
      <c r="U816" s="442" t="s">
        <v>62</v>
      </c>
      <c r="V816" s="442">
        <v>0.6</v>
      </c>
      <c r="W816" s="442">
        <v>1</v>
      </c>
      <c r="X816" s="448">
        <v>25000</v>
      </c>
      <c r="Y816" s="449" t="s">
        <v>79</v>
      </c>
      <c r="Z816" s="442">
        <v>1</v>
      </c>
      <c r="AA816" s="450">
        <v>40000</v>
      </c>
      <c r="AB816" s="450" t="s">
        <v>65</v>
      </c>
      <c r="AC816" s="446">
        <v>0.05</v>
      </c>
      <c r="AD816" s="446">
        <v>0</v>
      </c>
      <c r="AE816" s="451" t="s">
        <v>66</v>
      </c>
      <c r="AF816" s="448">
        <v>20000</v>
      </c>
      <c r="AG816" s="452">
        <v>7</v>
      </c>
      <c r="AH816" s="452">
        <v>6</v>
      </c>
      <c r="AI816" s="452">
        <v>5</v>
      </c>
      <c r="AJ816" s="451">
        <v>13</v>
      </c>
      <c r="AK816" s="453" t="s">
        <v>67</v>
      </c>
      <c r="AL816" s="454" t="s">
        <v>68</v>
      </c>
      <c r="AM816" s="455" t="s">
        <v>197</v>
      </c>
      <c r="AN816" s="455" t="s">
        <v>198</v>
      </c>
      <c r="AO816" s="314">
        <f t="shared" si="1707"/>
        <v>0.650011574074074</v>
      </c>
      <c r="AP816" s="315">
        <f t="shared" si="1708"/>
        <v>106</v>
      </c>
      <c r="AQ816" s="316" t="str">
        <f t="shared" si="1709"/>
        <v>MICRO</v>
      </c>
    </row>
    <row r="817" ht="29.25" customHeight="1" outlineLevel="1" spans="1:43">
      <c r="B817" s="292">
        <v>0.666678240740741</v>
      </c>
      <c r="C817" s="293" t="str">
        <f t="shared" ref="C817:G817" si="1712">TEXT(IF($B817=0," ",$B817-C$6),"hh:mm am/pm")</f>
        <v>14:00 001/p1</v>
      </c>
      <c r="D817" s="293" t="str">
        <f t="shared" si="1712"/>
        <v>12:00 001/p1</v>
      </c>
      <c r="E817" s="293" t="str">
        <f t="shared" si="1712"/>
        <v>13:00 001/p1</v>
      </c>
      <c r="F817" s="293" t="str">
        <f t="shared" si="1712"/>
        <v>14:00 001/p1</v>
      </c>
      <c r="G817" s="293" t="str">
        <f t="shared" si="1712"/>
        <v>15:00 001/p1</v>
      </c>
      <c r="H817" s="293" t="str">
        <f t="shared" ref="H817:I817" si="1713">TEXT(IF($B817=0," ",$B817+H$6),"hh:mm am/pm")</f>
        <v>22:00 001/p1</v>
      </c>
      <c r="I817" s="293" t="str">
        <f t="shared" si="1713"/>
        <v>03:00 001/p1</v>
      </c>
      <c r="J817" s="29"/>
      <c r="K817" s="431"/>
      <c r="L817" s="432" t="s">
        <v>216</v>
      </c>
      <c r="M817" s="387" t="s">
        <v>196</v>
      </c>
      <c r="N817" s="442" t="s">
        <v>57</v>
      </c>
      <c r="O817" s="443" t="s">
        <v>74</v>
      </c>
      <c r="P817" s="444" t="s">
        <v>59</v>
      </c>
      <c r="Q817" s="445">
        <f t="shared" si="1706"/>
        <v>60</v>
      </c>
      <c r="R817" s="446" t="s">
        <v>60</v>
      </c>
      <c r="S817" s="447"/>
      <c r="T817" s="446">
        <v>0.1</v>
      </c>
      <c r="U817" s="442" t="s">
        <v>62</v>
      </c>
      <c r="V817" s="442">
        <v>0.6</v>
      </c>
      <c r="W817" s="442">
        <v>1</v>
      </c>
      <c r="X817" s="448">
        <v>25000</v>
      </c>
      <c r="Y817" s="449" t="s">
        <v>79</v>
      </c>
      <c r="Z817" s="442">
        <v>1</v>
      </c>
      <c r="AA817" s="450">
        <v>40000</v>
      </c>
      <c r="AB817" s="450" t="s">
        <v>65</v>
      </c>
      <c r="AC817" s="446">
        <v>0.05</v>
      </c>
      <c r="AD817" s="446">
        <v>0</v>
      </c>
      <c r="AE817" s="451" t="s">
        <v>66</v>
      </c>
      <c r="AF817" s="448">
        <v>20000</v>
      </c>
      <c r="AG817" s="452">
        <v>7</v>
      </c>
      <c r="AH817" s="452">
        <v>6</v>
      </c>
      <c r="AI817" s="452">
        <v>5</v>
      </c>
      <c r="AJ817" s="451">
        <v>13</v>
      </c>
      <c r="AK817" s="453" t="s">
        <v>67</v>
      </c>
      <c r="AL817" s="454" t="s">
        <v>68</v>
      </c>
      <c r="AM817" s="455" t="s">
        <v>197</v>
      </c>
      <c r="AN817" s="455" t="s">
        <v>198</v>
      </c>
      <c r="AO817" s="314">
        <f t="shared" si="1707"/>
        <v>0.733344907407407</v>
      </c>
      <c r="AP817" s="315">
        <f t="shared" si="1708"/>
        <v>106</v>
      </c>
      <c r="AQ817" s="316" t="str">
        <f t="shared" si="1709"/>
        <v>MICRO</v>
      </c>
    </row>
    <row r="818" ht="29.25" customHeight="1" outlineLevel="1" spans="1:43">
      <c r="A818" s="363" t="s">
        <v>410</v>
      </c>
      <c r="B818" s="292">
        <v>0.750011574074074</v>
      </c>
      <c r="C818" s="293" t="str">
        <f t="shared" ref="C818:G818" si="1714">TEXT(IF($B818=0," ",$B818-C$6),"hh:mm am/pm")</f>
        <v>16:00 001/p1</v>
      </c>
      <c r="D818" s="293" t="str">
        <f t="shared" si="1714"/>
        <v>14:00 001/p1</v>
      </c>
      <c r="E818" s="293" t="str">
        <f t="shared" si="1714"/>
        <v>15:00 001/p1</v>
      </c>
      <c r="F818" s="293" t="str">
        <f t="shared" si="1714"/>
        <v>16:00 001/p1</v>
      </c>
      <c r="G818" s="293" t="str">
        <f t="shared" si="1714"/>
        <v>17:00 001/p1</v>
      </c>
      <c r="H818" s="293" t="str">
        <f t="shared" ref="H818:I818" si="1715">TEXT(IF($B818=0," ",$B818+H$6),"hh:mm am/pm")</f>
        <v>00:00 001/p1</v>
      </c>
      <c r="I818" s="293" t="str">
        <f t="shared" si="1715"/>
        <v>05:00 001/p1</v>
      </c>
      <c r="J818" s="29"/>
      <c r="K818" s="431"/>
      <c r="L818" s="432" t="s">
        <v>216</v>
      </c>
      <c r="M818" s="387" t="s">
        <v>196</v>
      </c>
      <c r="N818" s="442" t="s">
        <v>57</v>
      </c>
      <c r="O818" s="443" t="s">
        <v>74</v>
      </c>
      <c r="P818" s="444" t="s">
        <v>59</v>
      </c>
      <c r="Q818" s="445">
        <f t="shared" si="1706"/>
        <v>60</v>
      </c>
      <c r="R818" s="446" t="s">
        <v>60</v>
      </c>
      <c r="S818" s="447"/>
      <c r="T818" s="446">
        <v>0.1</v>
      </c>
      <c r="U818" s="442" t="s">
        <v>62</v>
      </c>
      <c r="V818" s="442">
        <v>0.6</v>
      </c>
      <c r="W818" s="442">
        <v>1</v>
      </c>
      <c r="X818" s="448">
        <v>25000</v>
      </c>
      <c r="Y818" s="449" t="s">
        <v>79</v>
      </c>
      <c r="Z818" s="442">
        <v>1</v>
      </c>
      <c r="AA818" s="450">
        <v>40000</v>
      </c>
      <c r="AB818" s="450" t="s">
        <v>65</v>
      </c>
      <c r="AC818" s="446">
        <v>0.05</v>
      </c>
      <c r="AD818" s="446">
        <v>0</v>
      </c>
      <c r="AE818" s="451" t="s">
        <v>66</v>
      </c>
      <c r="AF818" s="448">
        <v>20000</v>
      </c>
      <c r="AG818" s="452">
        <v>7</v>
      </c>
      <c r="AH818" s="452">
        <v>6</v>
      </c>
      <c r="AI818" s="452">
        <v>5</v>
      </c>
      <c r="AJ818" s="451">
        <v>13</v>
      </c>
      <c r="AK818" s="453" t="s">
        <v>67</v>
      </c>
      <c r="AL818" s="454" t="s">
        <v>68</v>
      </c>
      <c r="AM818" s="455" t="s">
        <v>197</v>
      </c>
      <c r="AN818" s="455" t="s">
        <v>198</v>
      </c>
      <c r="AO818" s="314">
        <f t="shared" si="1707"/>
        <v>0.816678240740741</v>
      </c>
      <c r="AP818" s="315">
        <f t="shared" si="1708"/>
        <v>106</v>
      </c>
      <c r="AQ818" s="316" t="str">
        <f t="shared" si="1709"/>
        <v>MICRO</v>
      </c>
    </row>
    <row r="819" ht="29.25" customHeight="1" outlineLevel="1" spans="1:43">
      <c r="B819" s="292">
        <v>0.833344907407407</v>
      </c>
      <c r="C819" s="293" t="str">
        <f t="shared" ref="C819:G819" si="1716">TEXT(IF($B819=0," ",$B819-C$6),"hh:mm am/pm")</f>
        <v>18:00 001/p1</v>
      </c>
      <c r="D819" s="293" t="str">
        <f t="shared" si="1716"/>
        <v>16:00 001/p1</v>
      </c>
      <c r="E819" s="293" t="str">
        <f t="shared" si="1716"/>
        <v>17:00 001/p1</v>
      </c>
      <c r="F819" s="293" t="str">
        <f t="shared" si="1716"/>
        <v>18:00 001/p1</v>
      </c>
      <c r="G819" s="293" t="str">
        <f t="shared" si="1716"/>
        <v>19:00 001/p1</v>
      </c>
      <c r="H819" s="293" t="str">
        <f t="shared" ref="H819:I819" si="1717">TEXT(IF($B819=0," ",$B819+H$6),"hh:mm am/pm")</f>
        <v>02:00 001/p1</v>
      </c>
      <c r="I819" s="293" t="str">
        <f t="shared" si="1717"/>
        <v>07:00 001/p1</v>
      </c>
      <c r="J819" s="29"/>
      <c r="K819" s="431"/>
      <c r="L819" s="432" t="s">
        <v>216</v>
      </c>
      <c r="M819" s="387" t="s">
        <v>196</v>
      </c>
      <c r="N819" s="442" t="s">
        <v>57</v>
      </c>
      <c r="O819" s="443" t="s">
        <v>74</v>
      </c>
      <c r="P819" s="444" t="s">
        <v>59</v>
      </c>
      <c r="Q819" s="445">
        <f t="shared" si="1706"/>
        <v>60</v>
      </c>
      <c r="R819" s="446" t="s">
        <v>60</v>
      </c>
      <c r="S819" s="447"/>
      <c r="T819" s="446">
        <v>0.1</v>
      </c>
      <c r="U819" s="442" t="s">
        <v>62</v>
      </c>
      <c r="V819" s="442">
        <v>0.6</v>
      </c>
      <c r="W819" s="442">
        <v>1</v>
      </c>
      <c r="X819" s="448">
        <v>25000</v>
      </c>
      <c r="Y819" s="449" t="s">
        <v>79</v>
      </c>
      <c r="Z819" s="442">
        <v>1</v>
      </c>
      <c r="AA819" s="450">
        <v>40000</v>
      </c>
      <c r="AB819" s="450" t="s">
        <v>65</v>
      </c>
      <c r="AC819" s="446">
        <v>0.05</v>
      </c>
      <c r="AD819" s="446">
        <v>0</v>
      </c>
      <c r="AE819" s="451" t="s">
        <v>66</v>
      </c>
      <c r="AF819" s="448">
        <v>20000</v>
      </c>
      <c r="AG819" s="452">
        <v>7</v>
      </c>
      <c r="AH819" s="452">
        <v>6</v>
      </c>
      <c r="AI819" s="452">
        <v>5</v>
      </c>
      <c r="AJ819" s="451">
        <v>13</v>
      </c>
      <c r="AK819" s="453" t="s">
        <v>67</v>
      </c>
      <c r="AL819" s="454" t="s">
        <v>68</v>
      </c>
      <c r="AM819" s="455" t="s">
        <v>197</v>
      </c>
      <c r="AN819" s="455" t="s">
        <v>198</v>
      </c>
      <c r="AO819" s="314">
        <f t="shared" si="1707"/>
        <v>0.900011574074074</v>
      </c>
      <c r="AP819" s="315">
        <f t="shared" si="1708"/>
        <v>106</v>
      </c>
      <c r="AQ819" s="316" t="str">
        <f t="shared" si="1709"/>
        <v>MICRO</v>
      </c>
    </row>
    <row r="820" ht="29.25" customHeight="1" outlineLevel="1" spans="1:43">
      <c r="B820" s="292">
        <v>0.916678240740741</v>
      </c>
      <c r="C820" s="293" t="str">
        <f t="shared" ref="C820:G820" si="1718">TEXT(IF($B820=0," ",$B820-C$6),"hh:mm am/pm")</f>
        <v>20:00 001/p1</v>
      </c>
      <c r="D820" s="293" t="str">
        <f t="shared" si="1718"/>
        <v>18:00 001/p1</v>
      </c>
      <c r="E820" s="293" t="str">
        <f t="shared" si="1718"/>
        <v>19:00 001/p1</v>
      </c>
      <c r="F820" s="293" t="str">
        <f t="shared" si="1718"/>
        <v>20:00 001/p1</v>
      </c>
      <c r="G820" s="293" t="str">
        <f t="shared" si="1718"/>
        <v>21:00 001/p1</v>
      </c>
      <c r="H820" s="293" t="str">
        <f t="shared" ref="H820:I820" si="1719">TEXT(IF($B820=0," ",$B820+H$6),"hh:mm am/pm")</f>
        <v>04:00 001/p1</v>
      </c>
      <c r="I820" s="293" t="str">
        <f t="shared" si="1719"/>
        <v>09:00 001/p1</v>
      </c>
      <c r="J820" s="124"/>
      <c r="K820" s="406"/>
      <c r="L820" s="407" t="s">
        <v>216</v>
      </c>
      <c r="M820" s="387" t="s">
        <v>196</v>
      </c>
      <c r="N820" s="442" t="s">
        <v>57</v>
      </c>
      <c r="O820" s="443" t="s">
        <v>74</v>
      </c>
      <c r="P820" s="444" t="s">
        <v>59</v>
      </c>
      <c r="Q820" s="445">
        <f t="shared" si="1706"/>
        <v>60</v>
      </c>
      <c r="R820" s="446" t="s">
        <v>60</v>
      </c>
      <c r="S820" s="447"/>
      <c r="T820" s="446">
        <v>0.1</v>
      </c>
      <c r="U820" s="442" t="s">
        <v>62</v>
      </c>
      <c r="V820" s="442">
        <v>0.6</v>
      </c>
      <c r="W820" s="442">
        <v>1</v>
      </c>
      <c r="X820" s="448">
        <v>25000</v>
      </c>
      <c r="Y820" s="449" t="s">
        <v>79</v>
      </c>
      <c r="Z820" s="442">
        <v>1</v>
      </c>
      <c r="AA820" s="450">
        <v>40000</v>
      </c>
      <c r="AB820" s="450" t="s">
        <v>65</v>
      </c>
      <c r="AC820" s="446">
        <v>0.05</v>
      </c>
      <c r="AD820" s="446">
        <v>0</v>
      </c>
      <c r="AE820" s="451" t="s">
        <v>66</v>
      </c>
      <c r="AF820" s="448">
        <v>20000</v>
      </c>
      <c r="AG820" s="452">
        <v>7</v>
      </c>
      <c r="AH820" s="452">
        <v>6</v>
      </c>
      <c r="AI820" s="452">
        <v>5</v>
      </c>
      <c r="AJ820" s="451">
        <v>13</v>
      </c>
      <c r="AK820" s="453" t="s">
        <v>67</v>
      </c>
      <c r="AL820" s="454" t="s">
        <v>68</v>
      </c>
      <c r="AM820" s="455" t="s">
        <v>197</v>
      </c>
      <c r="AN820" s="455" t="s">
        <v>198</v>
      </c>
      <c r="AO820" s="314">
        <f t="shared" si="1707"/>
        <v>0.983344907407407</v>
      </c>
      <c r="AP820" s="315">
        <f t="shared" si="1708"/>
        <v>106</v>
      </c>
      <c r="AQ820" s="316" t="str">
        <f t="shared" si="1709"/>
        <v>MICRO</v>
      </c>
    </row>
    <row r="821" ht="29.25" customHeight="1" outlineLevel="1" spans="1:43">
      <c r="B821" s="383"/>
      <c r="C821" s="434"/>
      <c r="D821" s="434"/>
      <c r="E821" s="434"/>
      <c r="F821" s="434"/>
      <c r="G821" s="434"/>
      <c r="H821" s="293" t="str">
        <f t="shared" ref="H821:I821" si="1720">TEXT(IF($B821=0," ",$B821+H$6),"hh:mm am/pm")</f>
        <v> </v>
      </c>
      <c r="I821" s="293" t="str">
        <f t="shared" si="1720"/>
        <v> </v>
      </c>
      <c r="J821" s="485"/>
      <c r="K821" s="366"/>
      <c r="L821" s="366"/>
      <c r="M821" s="435"/>
      <c r="N821" s="436"/>
      <c r="O821" s="437"/>
      <c r="P821" s="437"/>
      <c r="Q821" s="436"/>
      <c r="R821" s="436"/>
      <c r="S821" s="436"/>
      <c r="T821" s="438"/>
      <c r="U821" s="436"/>
      <c r="V821" s="436"/>
      <c r="W821" s="436"/>
      <c r="X821" s="436"/>
      <c r="Y821" s="366"/>
      <c r="Z821" s="439"/>
      <c r="AA821" s="439"/>
      <c r="AB821" s="439"/>
      <c r="AC821" s="438"/>
      <c r="AD821" s="438"/>
      <c r="AE821" s="366"/>
      <c r="AF821" s="439"/>
      <c r="AG821" s="366"/>
      <c r="AH821" s="366"/>
      <c r="AI821" s="366"/>
      <c r="AJ821" s="366"/>
      <c r="AK821" s="440"/>
      <c r="AL821" s="440"/>
      <c r="AM821" s="440"/>
      <c r="AN821" s="440"/>
      <c r="AO821" s="383"/>
      <c r="AP821" s="374"/>
      <c r="AQ821" s="383"/>
    </row>
    <row r="822" ht="24" customHeight="1" spans="1:43">
      <c r="A822" s="363"/>
      <c r="B822" s="458"/>
      <c r="C822" s="459"/>
      <c r="D822" s="459"/>
      <c r="E822" s="459"/>
      <c r="F822" s="459"/>
      <c r="G822" s="459"/>
      <c r="H822" s="459"/>
      <c r="I822" s="460"/>
      <c r="J822" s="380" t="s">
        <v>438</v>
      </c>
      <c r="K822" s="380"/>
      <c r="L822" s="380" t="s">
        <v>438</v>
      </c>
      <c r="O822" s="380"/>
      <c r="Q822" s="380" t="s">
        <v>438</v>
      </c>
      <c r="V822" s="380" t="s">
        <v>438</v>
      </c>
      <c r="AB822" s="380" t="s">
        <v>438</v>
      </c>
      <c r="AE822" s="380" t="s">
        <v>438</v>
      </c>
      <c r="AF822" s="380"/>
      <c r="AG822" s="380"/>
      <c r="AH822" s="380"/>
      <c r="AI822" s="380"/>
      <c r="AJ822" s="380" t="s">
        <v>438</v>
      </c>
      <c r="AM822" s="314"/>
      <c r="AN822" s="314"/>
      <c r="AO822" s="314"/>
      <c r="AP822" s="314"/>
      <c r="AQ822" s="314"/>
    </row>
    <row r="823" ht="29.25" customHeight="1" outlineLevel="1" spans="1:43">
      <c r="A823" s="291" t="s">
        <v>438</v>
      </c>
      <c r="B823" s="292">
        <v>0.541678240740741</v>
      </c>
      <c r="C823" s="293" t="str">
        <f t="shared" ref="C823:G823" si="1721">TEXT(IF($B823=0," ",$B823-C$6),"hh:mm am/pm")</f>
        <v>11:00 001/p1</v>
      </c>
      <c r="D823" s="293" t="str">
        <f t="shared" si="1721"/>
        <v>09:00 001/p1</v>
      </c>
      <c r="E823" s="293" t="str">
        <f t="shared" si="1721"/>
        <v>10:00 001/p1</v>
      </c>
      <c r="F823" s="293" t="str">
        <f t="shared" si="1721"/>
        <v>11:00 001/p1</v>
      </c>
      <c r="G823" s="293" t="str">
        <f t="shared" si="1721"/>
        <v>12:00 001/p1</v>
      </c>
      <c r="H823" s="293" t="str">
        <f t="shared" ref="H823:I823" si="1722">TEXT(IF($B823=0," ",$B823+H$6),"hh:mm am/pm")</f>
        <v>19:00 001/p1</v>
      </c>
      <c r="I823" s="293" t="str">
        <f t="shared" si="1722"/>
        <v>00:00 001/p1</v>
      </c>
      <c r="J823" s="318" t="s">
        <v>439</v>
      </c>
      <c r="K823" s="295"/>
      <c r="L823" s="546" t="s">
        <v>440</v>
      </c>
      <c r="M823" s="547" t="s">
        <v>56</v>
      </c>
      <c r="N823" s="548" t="s">
        <v>57</v>
      </c>
      <c r="O823" s="549" t="s">
        <v>233</v>
      </c>
      <c r="P823" s="550" t="s">
        <v>75</v>
      </c>
      <c r="Q823" s="551">
        <v>10200</v>
      </c>
      <c r="R823" s="325" t="s">
        <v>76</v>
      </c>
      <c r="S823" s="552"/>
      <c r="T823" s="553" t="s">
        <v>61</v>
      </c>
      <c r="U823" s="548" t="s">
        <v>62</v>
      </c>
      <c r="V823" s="548">
        <v>15</v>
      </c>
      <c r="W823" s="548">
        <v>15</v>
      </c>
      <c r="X823" s="554"/>
      <c r="Y823" s="555" t="s">
        <v>63</v>
      </c>
      <c r="Z823" s="552"/>
      <c r="AA823" s="556" t="s">
        <v>64</v>
      </c>
      <c r="AB823" s="556" t="s">
        <v>65</v>
      </c>
      <c r="AC823" s="557">
        <v>0.1</v>
      </c>
      <c r="AD823" s="557">
        <v>0.02</v>
      </c>
      <c r="AE823" s="553" t="s">
        <v>66</v>
      </c>
      <c r="AF823" s="558">
        <v>50000</v>
      </c>
      <c r="AG823" s="559">
        <v>12</v>
      </c>
      <c r="AH823" s="559">
        <v>10</v>
      </c>
      <c r="AI823" s="559">
        <v>10</v>
      </c>
      <c r="AJ823" s="553">
        <v>15</v>
      </c>
      <c r="AK823" s="560" t="s">
        <v>67</v>
      </c>
      <c r="AL823" s="560" t="s">
        <v>68</v>
      </c>
      <c r="AM823" s="561" t="s">
        <v>69</v>
      </c>
      <c r="AN823" s="561" t="s">
        <v>70</v>
      </c>
      <c r="AO823" s="314">
        <f t="shared" ref="AO823:AO934" si="1723">IF(B823=0," ",TIME(,ROUNDDOWN(AG823*AJ823/60,0)*5+(AG823*AJ823),)+B823)</f>
        <v>0.677094907407407</v>
      </c>
      <c r="AP823" s="315">
        <f t="shared" ref="AP823:AP934" si="1724">IF(Q823=0,,ROUNDUP(Q823/(V823*(1-AC823-AD823)),0))</f>
        <v>773</v>
      </c>
      <c r="AQ823" s="316" t="str">
        <f t="shared" ref="AQ823:AQ934" si="1725">IFERROR(IF(V823=0," ",IF(V823&lt;=5,"MICRO",IF(V823&lt;=19.8,"LOW",IF(V823&lt;=99.8,"MEDIUM",IF(V823&lt;=500,"HIGH",IF(V823&gt;500,"SUPER HIGH",)))))),"")</f>
        <v>LOW</v>
      </c>
    </row>
    <row r="824" ht="29.25" customHeight="1" outlineLevel="1" spans="1:43">
      <c r="A824" s="291" t="s">
        <v>71</v>
      </c>
      <c r="B824" s="317">
        <v>0.583344907407407</v>
      </c>
      <c r="C824" s="293" t="str">
        <f t="shared" ref="C824:G824" si="1726">TEXT(IF($B824=0," ",$B824-C$6),"hh:mm am/pm")</f>
        <v>12:00 001/p1</v>
      </c>
      <c r="D824" s="293" t="str">
        <f t="shared" si="1726"/>
        <v>10:00 001/p1</v>
      </c>
      <c r="E824" s="293" t="str">
        <f t="shared" si="1726"/>
        <v>11:00 001/p1</v>
      </c>
      <c r="F824" s="293" t="str">
        <f t="shared" si="1726"/>
        <v>12:00 001/p1</v>
      </c>
      <c r="G824" s="293" t="str">
        <f t="shared" si="1726"/>
        <v>13:00 001/p1</v>
      </c>
      <c r="H824" s="293" t="str">
        <f t="shared" ref="H824:I824" si="1727">TEXT(IF($B824=0," ",$B824+H$6),"hh:mm am/pm")</f>
        <v>20:00 001/p1</v>
      </c>
      <c r="I824" s="293" t="str">
        <f t="shared" si="1727"/>
        <v>01:00 001/p1</v>
      </c>
      <c r="J824" s="318" t="s">
        <v>295</v>
      </c>
      <c r="K824" s="295"/>
      <c r="L824" s="319" t="s">
        <v>296</v>
      </c>
      <c r="M824" s="320" t="s">
        <v>56</v>
      </c>
      <c r="N824" s="321" t="s">
        <v>57</v>
      </c>
      <c r="O824" s="322" t="s">
        <v>58</v>
      </c>
      <c r="P824" s="323" t="s">
        <v>59</v>
      </c>
      <c r="Q824" s="324">
        <v>10200</v>
      </c>
      <c r="R824" s="325" t="s">
        <v>76</v>
      </c>
      <c r="S824" s="326"/>
      <c r="T824" s="331" t="s">
        <v>92</v>
      </c>
      <c r="U824" s="321" t="s">
        <v>62</v>
      </c>
      <c r="V824" s="321">
        <v>22</v>
      </c>
      <c r="W824" s="321">
        <v>22</v>
      </c>
      <c r="X824" s="328"/>
      <c r="Y824" s="329" t="s">
        <v>63</v>
      </c>
      <c r="Z824" s="326"/>
      <c r="AA824" s="330" t="s">
        <v>64</v>
      </c>
      <c r="AB824" s="330" t="s">
        <v>65</v>
      </c>
      <c r="AC824" s="331">
        <v>0.1</v>
      </c>
      <c r="AD824" s="331">
        <v>0.02</v>
      </c>
      <c r="AE824" s="327" t="s">
        <v>66</v>
      </c>
      <c r="AF824" s="332">
        <v>50000</v>
      </c>
      <c r="AG824" s="333">
        <v>12</v>
      </c>
      <c r="AH824" s="333">
        <v>12</v>
      </c>
      <c r="AI824" s="333">
        <v>12</v>
      </c>
      <c r="AJ824" s="327">
        <v>15</v>
      </c>
      <c r="AK824" s="335" t="s">
        <v>67</v>
      </c>
      <c r="AL824" s="335" t="s">
        <v>68</v>
      </c>
      <c r="AM824" s="336" t="s">
        <v>69</v>
      </c>
      <c r="AN824" s="336" t="s">
        <v>70</v>
      </c>
      <c r="AO824" s="314">
        <f t="shared" si="1723"/>
        <v>0.718761574074074</v>
      </c>
      <c r="AP824" s="315">
        <f t="shared" si="1724"/>
        <v>527</v>
      </c>
      <c r="AQ824" s="316" t="str">
        <f t="shared" si="1725"/>
        <v>MEDIUM</v>
      </c>
    </row>
    <row r="825" ht="29.25" customHeight="1" outlineLevel="1" spans="1:43">
      <c r="A825" s="291">
        <f>COUNTIF(M823:M912,"Side event")</f>
        <v>75</v>
      </c>
      <c r="B825" s="317">
        <v>0.625011574074074</v>
      </c>
      <c r="C825" s="293" t="str">
        <f t="shared" ref="C825:G825" si="1728">TEXT(IF($B825=0," ",$B825-C$6),"hh:mm am/pm")</f>
        <v>13:00 001/p1</v>
      </c>
      <c r="D825" s="293" t="str">
        <f t="shared" si="1728"/>
        <v>11:00 001/p1</v>
      </c>
      <c r="E825" s="293" t="str">
        <f t="shared" si="1728"/>
        <v>12:00 001/p1</v>
      </c>
      <c r="F825" s="293" t="str">
        <f t="shared" si="1728"/>
        <v>13:00 001/p1</v>
      </c>
      <c r="G825" s="293" t="str">
        <f t="shared" si="1728"/>
        <v>14:00 001/p1</v>
      </c>
      <c r="H825" s="293" t="str">
        <f t="shared" ref="H825:I825" si="1729">TEXT(IF($B825=0," ",$B825+H$6),"hh:mm am/pm")</f>
        <v>21:00 001/p1</v>
      </c>
      <c r="I825" s="293" t="str">
        <f t="shared" si="1729"/>
        <v>02:00 001/p1</v>
      </c>
      <c r="J825" s="565" t="s">
        <v>441</v>
      </c>
      <c r="K825" s="295"/>
      <c r="L825" s="546" t="s">
        <v>382</v>
      </c>
      <c r="M825" s="547" t="s">
        <v>56</v>
      </c>
      <c r="N825" s="548" t="s">
        <v>57</v>
      </c>
      <c r="O825" s="549" t="s">
        <v>82</v>
      </c>
      <c r="P825" s="550" t="s">
        <v>59</v>
      </c>
      <c r="Q825" s="551">
        <v>204400</v>
      </c>
      <c r="R825" s="566" t="s">
        <v>442</v>
      </c>
      <c r="S825" s="552"/>
      <c r="T825" s="553" t="s">
        <v>92</v>
      </c>
      <c r="U825" s="548" t="s">
        <v>62</v>
      </c>
      <c r="V825" s="548">
        <v>110</v>
      </c>
      <c r="W825" s="548">
        <v>110</v>
      </c>
      <c r="X825" s="558">
        <v>60000</v>
      </c>
      <c r="Y825" s="555" t="s">
        <v>63</v>
      </c>
      <c r="Z825" s="552"/>
      <c r="AA825" s="556" t="s">
        <v>64</v>
      </c>
      <c r="AB825" s="556" t="s">
        <v>65</v>
      </c>
      <c r="AC825" s="557">
        <v>0.1</v>
      </c>
      <c r="AD825" s="557">
        <v>0.02</v>
      </c>
      <c r="AE825" s="553" t="s">
        <v>66</v>
      </c>
      <c r="AF825" s="558">
        <v>50000</v>
      </c>
      <c r="AG825" s="559">
        <v>15</v>
      </c>
      <c r="AH825" s="559">
        <v>12</v>
      </c>
      <c r="AI825" s="559">
        <v>12</v>
      </c>
      <c r="AJ825" s="553">
        <v>15</v>
      </c>
      <c r="AK825" s="560" t="s">
        <v>67</v>
      </c>
      <c r="AL825" s="560" t="s">
        <v>68</v>
      </c>
      <c r="AM825" s="561" t="s">
        <v>69</v>
      </c>
      <c r="AN825" s="561" t="s">
        <v>70</v>
      </c>
      <c r="AO825" s="314">
        <f t="shared" si="1723"/>
        <v>0.791678240740741</v>
      </c>
      <c r="AP825" s="315">
        <f t="shared" si="1724"/>
        <v>2112</v>
      </c>
      <c r="AQ825" s="316" t="str">
        <f t="shared" si="1725"/>
        <v>HIGH</v>
      </c>
    </row>
    <row r="826" ht="29.25" customHeight="1" outlineLevel="1" spans="1:43">
      <c r="A826" s="291" t="s">
        <v>56</v>
      </c>
      <c r="B826" s="317">
        <v>0.666678240740741</v>
      </c>
      <c r="C826" s="293" t="str">
        <f t="shared" ref="C826:G826" si="1730">TEXT(IF($B826=0," ",$B826-C$6),"hh:mm am/pm")</f>
        <v>14:00 001/p1</v>
      </c>
      <c r="D826" s="293" t="str">
        <f t="shared" si="1730"/>
        <v>12:00 001/p1</v>
      </c>
      <c r="E826" s="293" t="str">
        <f t="shared" si="1730"/>
        <v>13:00 001/p1</v>
      </c>
      <c r="F826" s="293" t="str">
        <f t="shared" si="1730"/>
        <v>14:00 001/p1</v>
      </c>
      <c r="G826" s="293" t="str">
        <f t="shared" si="1730"/>
        <v>15:00 001/p1</v>
      </c>
      <c r="H826" s="293" t="str">
        <f t="shared" ref="H826:I826" si="1731">TEXT(IF($B826=0," ",$B826+H$6),"hh:mm am/pm")</f>
        <v>22:00 001/p1</v>
      </c>
      <c r="I826" s="293" t="str">
        <f t="shared" si="1731"/>
        <v>03:00 001/p1</v>
      </c>
      <c r="J826" s="294" t="s">
        <v>443</v>
      </c>
      <c r="K826" s="295"/>
      <c r="L826" s="319" t="s">
        <v>444</v>
      </c>
      <c r="M826" s="320" t="s">
        <v>56</v>
      </c>
      <c r="N826" s="321" t="s">
        <v>100</v>
      </c>
      <c r="O826" s="322" t="s">
        <v>82</v>
      </c>
      <c r="P826" s="323" t="s">
        <v>101</v>
      </c>
      <c r="Q826" s="324">
        <v>20000</v>
      </c>
      <c r="R826" s="375" t="s">
        <v>60</v>
      </c>
      <c r="S826" s="326"/>
      <c r="T826" s="327" t="s">
        <v>61</v>
      </c>
      <c r="U826" s="321" t="s">
        <v>62</v>
      </c>
      <c r="V826" s="321">
        <v>60</v>
      </c>
      <c r="W826" s="321">
        <v>60</v>
      </c>
      <c r="X826" s="358">
        <v>60000</v>
      </c>
      <c r="Y826" s="329" t="s">
        <v>63</v>
      </c>
      <c r="Z826" s="326"/>
      <c r="AA826" s="330" t="s">
        <v>64</v>
      </c>
      <c r="AB826" s="330" t="s">
        <v>65</v>
      </c>
      <c r="AC826" s="331">
        <v>0.1</v>
      </c>
      <c r="AD826" s="331">
        <v>0.02</v>
      </c>
      <c r="AE826" s="327" t="s">
        <v>66</v>
      </c>
      <c r="AF826" s="332">
        <v>50000</v>
      </c>
      <c r="AG826" s="333">
        <v>12</v>
      </c>
      <c r="AH826" s="333">
        <v>12</v>
      </c>
      <c r="AI826" s="333">
        <v>12</v>
      </c>
      <c r="AJ826" s="327">
        <v>15</v>
      </c>
      <c r="AK826" s="335" t="s">
        <v>67</v>
      </c>
      <c r="AL826" s="335" t="s">
        <v>68</v>
      </c>
      <c r="AM826" s="336" t="s">
        <v>69</v>
      </c>
      <c r="AN826" s="336" t="s">
        <v>70</v>
      </c>
      <c r="AO826" s="314">
        <f t="shared" si="1723"/>
        <v>0.802094907407407</v>
      </c>
      <c r="AP826" s="315">
        <f t="shared" si="1724"/>
        <v>379</v>
      </c>
      <c r="AQ826" s="316" t="str">
        <f t="shared" si="1725"/>
        <v>MEDIUM</v>
      </c>
    </row>
    <row r="827" ht="29.25" customHeight="1" outlineLevel="1" spans="1:43">
      <c r="A827" s="291">
        <f>COUNTIF(M823:M912,"Main Event")</f>
        <v>11</v>
      </c>
      <c r="B827" s="317">
        <v>0.708344907407407</v>
      </c>
      <c r="C827" s="293" t="str">
        <f t="shared" ref="C827:G827" si="1732">TEXT(IF($B827=0," ",$B827-C$6),"hh:mm am/pm")</f>
        <v>15:00 001/p1</v>
      </c>
      <c r="D827" s="293" t="str">
        <f t="shared" si="1732"/>
        <v>13:00 001/p1</v>
      </c>
      <c r="E827" s="293" t="str">
        <f t="shared" si="1732"/>
        <v>14:00 001/p1</v>
      </c>
      <c r="F827" s="293" t="str">
        <f t="shared" si="1732"/>
        <v>15:00 001/p1</v>
      </c>
      <c r="G827" s="293" t="str">
        <f t="shared" si="1732"/>
        <v>16:00 001/p1</v>
      </c>
      <c r="H827" s="293" t="str">
        <f t="shared" ref="H827:I827" si="1733">TEXT(IF($B827=0," ",$B827+H$6),"hh:mm am/pm")</f>
        <v>23:00 001/p1</v>
      </c>
      <c r="I827" s="293" t="str">
        <f t="shared" si="1733"/>
        <v>04:00 001/p1</v>
      </c>
      <c r="J827" s="318" t="s">
        <v>445</v>
      </c>
      <c r="K827" s="295"/>
      <c r="L827" s="546" t="s">
        <v>446</v>
      </c>
      <c r="M827" s="547" t="s">
        <v>56</v>
      </c>
      <c r="N827" s="548" t="s">
        <v>57</v>
      </c>
      <c r="O827" s="549" t="s">
        <v>82</v>
      </c>
      <c r="P827" s="550" t="s">
        <v>75</v>
      </c>
      <c r="Q827" s="551">
        <v>20200</v>
      </c>
      <c r="R827" s="325" t="s">
        <v>76</v>
      </c>
      <c r="S827" s="552"/>
      <c r="T827" s="553" t="s">
        <v>92</v>
      </c>
      <c r="U827" s="548" t="s">
        <v>62</v>
      </c>
      <c r="V827" s="548">
        <v>11</v>
      </c>
      <c r="W827" s="548">
        <v>11</v>
      </c>
      <c r="X827" s="558">
        <v>60000</v>
      </c>
      <c r="Y827" s="555" t="s">
        <v>63</v>
      </c>
      <c r="Z827" s="552"/>
      <c r="AA827" s="556" t="s">
        <v>64</v>
      </c>
      <c r="AB827" s="556" t="s">
        <v>65</v>
      </c>
      <c r="AC827" s="557">
        <v>0.1</v>
      </c>
      <c r="AD827" s="557">
        <v>0.02</v>
      </c>
      <c r="AE827" s="553" t="s">
        <v>66</v>
      </c>
      <c r="AF827" s="558">
        <v>50000</v>
      </c>
      <c r="AG827" s="559">
        <v>12</v>
      </c>
      <c r="AH827" s="559">
        <v>10</v>
      </c>
      <c r="AI827" s="559">
        <v>10</v>
      </c>
      <c r="AJ827" s="553">
        <v>15</v>
      </c>
      <c r="AK827" s="560" t="s">
        <v>67</v>
      </c>
      <c r="AL827" s="560" t="s">
        <v>68</v>
      </c>
      <c r="AM827" s="561" t="s">
        <v>69</v>
      </c>
      <c r="AN827" s="561" t="s">
        <v>70</v>
      </c>
      <c r="AO827" s="314">
        <f t="shared" si="1723"/>
        <v>0.843761574074074</v>
      </c>
      <c r="AP827" s="315">
        <f t="shared" si="1724"/>
        <v>2087</v>
      </c>
      <c r="AQ827" s="316" t="str">
        <f t="shared" si="1725"/>
        <v>LOW</v>
      </c>
    </row>
    <row r="828" ht="29.25" customHeight="1" outlineLevel="1" spans="1:43">
      <c r="A828" s="291" t="s">
        <v>89</v>
      </c>
      <c r="B828" s="317">
        <v>0.708344907407407</v>
      </c>
      <c r="C828" s="293" t="str">
        <f t="shared" ref="C828:G828" si="1734">TEXT(IF($B828=0," ",$B828-C$6),"hh:mm am/pm")</f>
        <v>15:00 001/p1</v>
      </c>
      <c r="D828" s="293" t="str">
        <f t="shared" si="1734"/>
        <v>13:00 001/p1</v>
      </c>
      <c r="E828" s="293" t="str">
        <f t="shared" si="1734"/>
        <v>14:00 001/p1</v>
      </c>
      <c r="F828" s="293" t="str">
        <f t="shared" si="1734"/>
        <v>15:00 001/p1</v>
      </c>
      <c r="G828" s="293" t="str">
        <f t="shared" si="1734"/>
        <v>16:00 001/p1</v>
      </c>
      <c r="H828" s="293" t="str">
        <f t="shared" ref="H828:I828" si="1735">TEXT(IF($B828=0," ",$B828+H$6),"hh:mm am/pm")</f>
        <v>23:00 001/p1</v>
      </c>
      <c r="I828" s="293" t="str">
        <f t="shared" si="1735"/>
        <v>04:00 001/p1</v>
      </c>
      <c r="J828" s="294" t="s">
        <v>447</v>
      </c>
      <c r="K828" s="295"/>
      <c r="L828" s="319" t="s">
        <v>300</v>
      </c>
      <c r="M828" s="320" t="s">
        <v>56</v>
      </c>
      <c r="N828" s="321" t="s">
        <v>57</v>
      </c>
      <c r="O828" s="322" t="s">
        <v>74</v>
      </c>
      <c r="P828" s="323" t="s">
        <v>59</v>
      </c>
      <c r="Q828" s="324">
        <v>15000</v>
      </c>
      <c r="R828" s="375" t="s">
        <v>60</v>
      </c>
      <c r="S828" s="326"/>
      <c r="T828" s="327" t="s">
        <v>61</v>
      </c>
      <c r="U828" s="321" t="s">
        <v>62</v>
      </c>
      <c r="V828" s="321">
        <v>50</v>
      </c>
      <c r="W828" s="326"/>
      <c r="X828" s="328"/>
      <c r="Y828" s="329" t="s">
        <v>161</v>
      </c>
      <c r="Z828" s="326"/>
      <c r="AA828" s="330" t="s">
        <v>162</v>
      </c>
      <c r="AB828" s="330" t="s">
        <v>65</v>
      </c>
      <c r="AC828" s="331">
        <v>0.1</v>
      </c>
      <c r="AD828" s="331">
        <v>0.02</v>
      </c>
      <c r="AE828" s="327" t="s">
        <v>66</v>
      </c>
      <c r="AF828" s="332">
        <v>40000</v>
      </c>
      <c r="AG828" s="333">
        <v>15</v>
      </c>
      <c r="AH828" s="333">
        <v>12</v>
      </c>
      <c r="AI828" s="333">
        <v>12</v>
      </c>
      <c r="AJ828" s="327">
        <v>13</v>
      </c>
      <c r="AK828" s="335" t="s">
        <v>67</v>
      </c>
      <c r="AL828" s="335" t="s">
        <v>68</v>
      </c>
      <c r="AM828" s="336" t="s">
        <v>69</v>
      </c>
      <c r="AN828" s="336" t="s">
        <v>70</v>
      </c>
      <c r="AO828" s="314">
        <f t="shared" si="1723"/>
        <v>0.854178240740741</v>
      </c>
      <c r="AP828" s="315">
        <f t="shared" si="1724"/>
        <v>341</v>
      </c>
      <c r="AQ828" s="316" t="str">
        <f t="shared" si="1725"/>
        <v>MEDIUM</v>
      </c>
    </row>
    <row r="829" ht="29.25" customHeight="1" outlineLevel="1" spans="1:43">
      <c r="A829" s="361">
        <f>SUM(Q823:Q912,Q914:Q990)</f>
        <v>531521</v>
      </c>
      <c r="B829" s="317">
        <v>0.750011574074074</v>
      </c>
      <c r="C829" s="293" t="str">
        <f t="shared" ref="C829:G829" si="1736">TEXT(IF($B829=0," ",$B829-C$6),"hh:mm am/pm")</f>
        <v>16:00 001/p1</v>
      </c>
      <c r="D829" s="293" t="str">
        <f t="shared" si="1736"/>
        <v>14:00 001/p1</v>
      </c>
      <c r="E829" s="293" t="str">
        <f t="shared" si="1736"/>
        <v>15:00 001/p1</v>
      </c>
      <c r="F829" s="293" t="str">
        <f t="shared" si="1736"/>
        <v>16:00 001/p1</v>
      </c>
      <c r="G829" s="293" t="str">
        <f t="shared" si="1736"/>
        <v>17:00 001/p1</v>
      </c>
      <c r="H829" s="293" t="str">
        <f t="shared" ref="H829:I829" si="1737">TEXT(IF($B829=0," ",$B829+H$6),"hh:mm am/pm")</f>
        <v>00:00 001/p1</v>
      </c>
      <c r="I829" s="293" t="str">
        <f t="shared" si="1737"/>
        <v>05:00 001/p1</v>
      </c>
      <c r="J829" s="294" t="s">
        <v>448</v>
      </c>
      <c r="K829" s="295"/>
      <c r="L829" s="337" t="s">
        <v>449</v>
      </c>
      <c r="M829" s="338" t="s">
        <v>56</v>
      </c>
      <c r="N829" s="339" t="s">
        <v>57</v>
      </c>
      <c r="O829" s="340" t="s">
        <v>74</v>
      </c>
      <c r="P829" s="341" t="s">
        <v>59</v>
      </c>
      <c r="Q829" s="342">
        <v>41700</v>
      </c>
      <c r="R829" s="343" t="s">
        <v>87</v>
      </c>
      <c r="S829" s="344"/>
      <c r="T829" s="349" t="s">
        <v>77</v>
      </c>
      <c r="U829" s="339" t="s">
        <v>78</v>
      </c>
      <c r="V829" s="339">
        <v>10</v>
      </c>
      <c r="W829" s="339">
        <v>10</v>
      </c>
      <c r="X829" s="354"/>
      <c r="Y829" s="347" t="s">
        <v>79</v>
      </c>
      <c r="Z829" s="339">
        <v>12</v>
      </c>
      <c r="AA829" s="348">
        <v>250000</v>
      </c>
      <c r="AB829" s="348" t="s">
        <v>65</v>
      </c>
      <c r="AC829" s="349">
        <v>0.1</v>
      </c>
      <c r="AD829" s="349">
        <v>0.02</v>
      </c>
      <c r="AE829" s="345" t="s">
        <v>88</v>
      </c>
      <c r="AF829" s="346">
        <v>50000</v>
      </c>
      <c r="AG829" s="350">
        <v>12</v>
      </c>
      <c r="AH829" s="350">
        <v>10</v>
      </c>
      <c r="AI829" s="350">
        <v>10</v>
      </c>
      <c r="AJ829" s="345">
        <v>15</v>
      </c>
      <c r="AK829" s="352" t="s">
        <v>67</v>
      </c>
      <c r="AL829" s="352" t="s">
        <v>68</v>
      </c>
      <c r="AM829" s="353" t="s">
        <v>69</v>
      </c>
      <c r="AN829" s="353" t="s">
        <v>70</v>
      </c>
      <c r="AO829" s="314">
        <f t="shared" si="1723"/>
        <v>0.885428240740741</v>
      </c>
      <c r="AP829" s="315">
        <f t="shared" si="1724"/>
        <v>4739</v>
      </c>
      <c r="AQ829" s="316" t="str">
        <f t="shared" si="1725"/>
        <v>LOW</v>
      </c>
    </row>
    <row r="830" ht="29.25" customHeight="1" outlineLevel="1" spans="1:43">
      <c r="A830" s="363"/>
      <c r="B830" s="317">
        <v>0.791678240740741</v>
      </c>
      <c r="C830" s="293" t="str">
        <f t="shared" ref="C830:G830" si="1738">TEXT(IF($B830=0," ",$B830-C$6),"hh:mm am/pm")</f>
        <v>17:00 001/p1</v>
      </c>
      <c r="D830" s="293" t="str">
        <f t="shared" si="1738"/>
        <v>15:00 001/p1</v>
      </c>
      <c r="E830" s="293" t="str">
        <f t="shared" si="1738"/>
        <v>16:00 001/p1</v>
      </c>
      <c r="F830" s="293" t="str">
        <f t="shared" si="1738"/>
        <v>17:00 001/p1</v>
      </c>
      <c r="G830" s="293" t="str">
        <f t="shared" si="1738"/>
        <v>18:00 001/p1</v>
      </c>
      <c r="H830" s="293" t="str">
        <f t="shared" ref="H830:I830" si="1739">TEXT(IF($B830=0," ",$B830+H$6),"hh:mm am/pm")</f>
        <v>01:00 001/p1</v>
      </c>
      <c r="I830" s="293" t="str">
        <f t="shared" si="1739"/>
        <v>06:00 001/p1</v>
      </c>
      <c r="J830" s="318" t="s">
        <v>389</v>
      </c>
      <c r="K830" s="295"/>
      <c r="L830" s="319" t="s">
        <v>96</v>
      </c>
      <c r="M830" s="320" t="s">
        <v>56</v>
      </c>
      <c r="N830" s="321" t="s">
        <v>57</v>
      </c>
      <c r="O830" s="322" t="s">
        <v>82</v>
      </c>
      <c r="P830" s="323" t="s">
        <v>59</v>
      </c>
      <c r="Q830" s="324">
        <v>20300</v>
      </c>
      <c r="R830" s="325" t="s">
        <v>97</v>
      </c>
      <c r="S830" s="326"/>
      <c r="T830" s="327" t="s">
        <v>92</v>
      </c>
      <c r="U830" s="321" t="s">
        <v>62</v>
      </c>
      <c r="V830" s="321">
        <v>30</v>
      </c>
      <c r="W830" s="321">
        <v>30</v>
      </c>
      <c r="X830" s="328"/>
      <c r="Y830" s="329" t="s">
        <v>63</v>
      </c>
      <c r="Z830" s="326"/>
      <c r="AA830" s="330" t="s">
        <v>64</v>
      </c>
      <c r="AB830" s="330" t="s">
        <v>65</v>
      </c>
      <c r="AC830" s="331">
        <v>0.1</v>
      </c>
      <c r="AD830" s="331">
        <v>0.02</v>
      </c>
      <c r="AE830" s="327" t="s">
        <v>66</v>
      </c>
      <c r="AF830" s="332">
        <v>50000</v>
      </c>
      <c r="AG830" s="333">
        <v>12</v>
      </c>
      <c r="AH830" s="333">
        <v>12</v>
      </c>
      <c r="AI830" s="333">
        <v>12</v>
      </c>
      <c r="AJ830" s="327">
        <v>15</v>
      </c>
      <c r="AK830" s="335" t="s">
        <v>67</v>
      </c>
      <c r="AL830" s="335" t="s">
        <v>68</v>
      </c>
      <c r="AM830" s="336" t="s">
        <v>69</v>
      </c>
      <c r="AN830" s="336" t="s">
        <v>70</v>
      </c>
      <c r="AO830" s="314">
        <f t="shared" si="1723"/>
        <v>0.927094907407407</v>
      </c>
      <c r="AP830" s="315">
        <f t="shared" si="1724"/>
        <v>769</v>
      </c>
      <c r="AQ830" s="316" t="str">
        <f t="shared" si="1725"/>
        <v>MEDIUM</v>
      </c>
    </row>
    <row r="831" ht="29.25" customHeight="1" outlineLevel="1" spans="1:43">
      <c r="A831" s="363"/>
      <c r="B831" s="317">
        <v>0.791678240740741</v>
      </c>
      <c r="C831" s="293" t="str">
        <f t="shared" ref="C831:G831" si="1740">TEXT(IF($B831=0," ",$B831-C$6),"hh:mm am/pm")</f>
        <v>17:00 001/p1</v>
      </c>
      <c r="D831" s="293" t="str">
        <f t="shared" si="1740"/>
        <v>15:00 001/p1</v>
      </c>
      <c r="E831" s="293" t="str">
        <f t="shared" si="1740"/>
        <v>16:00 001/p1</v>
      </c>
      <c r="F831" s="293" t="str">
        <f t="shared" si="1740"/>
        <v>17:00 001/p1</v>
      </c>
      <c r="G831" s="293" t="str">
        <f t="shared" si="1740"/>
        <v>18:00 001/p1</v>
      </c>
      <c r="H831" s="293" t="str">
        <f t="shared" ref="H831:I831" si="1741">TEXT(IF($B831=0," ",$B831+H$6),"hh:mm am/pm")</f>
        <v>01:00 001/p1</v>
      </c>
      <c r="I831" s="293" t="str">
        <f t="shared" si="1741"/>
        <v>06:00 001/p1</v>
      </c>
      <c r="J831" s="294" t="s">
        <v>450</v>
      </c>
      <c r="K831" s="295"/>
      <c r="L831" s="337" t="s">
        <v>451</v>
      </c>
      <c r="M831" s="338" t="s">
        <v>56</v>
      </c>
      <c r="N831" s="339" t="s">
        <v>57</v>
      </c>
      <c r="O831" s="340" t="s">
        <v>82</v>
      </c>
      <c r="P831" s="341" t="s">
        <v>59</v>
      </c>
      <c r="Q831" s="342">
        <v>20000</v>
      </c>
      <c r="R831" s="343" t="s">
        <v>60</v>
      </c>
      <c r="S831" s="344"/>
      <c r="T831" s="349" t="s">
        <v>92</v>
      </c>
      <c r="U831" s="339" t="s">
        <v>62</v>
      </c>
      <c r="V831" s="339">
        <v>150</v>
      </c>
      <c r="W831" s="339">
        <v>150</v>
      </c>
      <c r="X831" s="309">
        <v>60000</v>
      </c>
      <c r="Y831" s="306" t="s">
        <v>63</v>
      </c>
      <c r="Z831" s="303"/>
      <c r="AA831" s="348" t="s">
        <v>64</v>
      </c>
      <c r="AB831" s="348" t="s">
        <v>65</v>
      </c>
      <c r="AC831" s="349">
        <v>0.1</v>
      </c>
      <c r="AD831" s="349">
        <v>0.02</v>
      </c>
      <c r="AE831" s="348" t="s">
        <v>66</v>
      </c>
      <c r="AF831" s="346">
        <v>50000</v>
      </c>
      <c r="AG831" s="350">
        <v>12</v>
      </c>
      <c r="AH831" s="350">
        <v>12</v>
      </c>
      <c r="AI831" s="350">
        <v>12</v>
      </c>
      <c r="AJ831" s="345">
        <v>15</v>
      </c>
      <c r="AK831" s="352" t="s">
        <v>67</v>
      </c>
      <c r="AL831" s="352" t="s">
        <v>68</v>
      </c>
      <c r="AM831" s="353" t="s">
        <v>69</v>
      </c>
      <c r="AN831" s="353" t="s">
        <v>70</v>
      </c>
      <c r="AO831" s="314">
        <f t="shared" si="1723"/>
        <v>0.927094907407407</v>
      </c>
      <c r="AP831" s="315">
        <f t="shared" si="1724"/>
        <v>152</v>
      </c>
      <c r="AQ831" s="316" t="str">
        <f t="shared" si="1725"/>
        <v>HIGH</v>
      </c>
    </row>
    <row r="832" ht="29.25" customHeight="1" outlineLevel="1" spans="1:43">
      <c r="A832" s="363" t="s">
        <v>438</v>
      </c>
      <c r="B832" s="317">
        <v>0.833344907407407</v>
      </c>
      <c r="C832" s="293" t="str">
        <f t="shared" ref="C832:G832" si="1742">TEXT(IF($B832=0," ",$B832-C$6),"hh:mm am/pm")</f>
        <v>18:00 001/p1</v>
      </c>
      <c r="D832" s="293" t="str">
        <f t="shared" si="1742"/>
        <v>16:00 001/p1</v>
      </c>
      <c r="E832" s="293" t="str">
        <f t="shared" si="1742"/>
        <v>17:00 001/p1</v>
      </c>
      <c r="F832" s="293" t="str">
        <f t="shared" si="1742"/>
        <v>18:00 001/p1</v>
      </c>
      <c r="G832" s="293" t="str">
        <f t="shared" si="1742"/>
        <v>19:00 001/p1</v>
      </c>
      <c r="H832" s="293" t="str">
        <f t="shared" ref="H832:I832" si="1743">TEXT(IF($B832=0," ",$B832+H$6),"hh:mm am/pm")</f>
        <v>02:00 001/p1</v>
      </c>
      <c r="I832" s="293" t="str">
        <f t="shared" si="1743"/>
        <v>07:00 001/p1</v>
      </c>
      <c r="J832" s="294" t="s">
        <v>452</v>
      </c>
      <c r="K832" s="295"/>
      <c r="L832" s="319" t="s">
        <v>99</v>
      </c>
      <c r="M832" s="320" t="s">
        <v>56</v>
      </c>
      <c r="N832" s="321" t="s">
        <v>100</v>
      </c>
      <c r="O832" s="322" t="s">
        <v>82</v>
      </c>
      <c r="P832" s="323" t="s">
        <v>101</v>
      </c>
      <c r="Q832" s="324">
        <v>20000</v>
      </c>
      <c r="R832" s="375" t="s">
        <v>60</v>
      </c>
      <c r="S832" s="326"/>
      <c r="T832" s="331" t="s">
        <v>92</v>
      </c>
      <c r="U832" s="321" t="s">
        <v>78</v>
      </c>
      <c r="V832" s="321">
        <v>160</v>
      </c>
      <c r="W832" s="321">
        <v>160</v>
      </c>
      <c r="X832" s="358">
        <v>60000</v>
      </c>
      <c r="Y832" s="329" t="s">
        <v>63</v>
      </c>
      <c r="Z832" s="326"/>
      <c r="AA832" s="330" t="s">
        <v>64</v>
      </c>
      <c r="AB832" s="330" t="s">
        <v>65</v>
      </c>
      <c r="AC832" s="331">
        <v>0.1</v>
      </c>
      <c r="AD832" s="331">
        <v>0.02</v>
      </c>
      <c r="AE832" s="327" t="s">
        <v>66</v>
      </c>
      <c r="AF832" s="332">
        <v>40000</v>
      </c>
      <c r="AG832" s="333">
        <v>12</v>
      </c>
      <c r="AH832" s="333">
        <v>12</v>
      </c>
      <c r="AI832" s="333">
        <v>12</v>
      </c>
      <c r="AJ832" s="327">
        <v>15</v>
      </c>
      <c r="AK832" s="335" t="s">
        <v>67</v>
      </c>
      <c r="AL832" s="335" t="s">
        <v>68</v>
      </c>
      <c r="AM832" s="336" t="s">
        <v>69</v>
      </c>
      <c r="AN832" s="336" t="s">
        <v>70</v>
      </c>
      <c r="AO832" s="314">
        <f t="shared" si="1723"/>
        <v>0.968761574074074</v>
      </c>
      <c r="AP832" s="315">
        <f t="shared" si="1724"/>
        <v>143</v>
      </c>
      <c r="AQ832" s="316" t="str">
        <f t="shared" si="1725"/>
        <v>HIGH</v>
      </c>
    </row>
    <row r="833" ht="29.25" customHeight="1" outlineLevel="1" spans="1:43">
      <c r="B833" s="317">
        <v>0.833344907407407</v>
      </c>
      <c r="C833" s="293" t="str">
        <f t="shared" ref="C833:G833" si="1744">TEXT(IF($B833=0," ",$B833-C$6),"hh:mm am/pm")</f>
        <v>18:00 001/p1</v>
      </c>
      <c r="D833" s="293" t="str">
        <f t="shared" si="1744"/>
        <v>16:00 001/p1</v>
      </c>
      <c r="E833" s="293" t="str">
        <f t="shared" si="1744"/>
        <v>17:00 001/p1</v>
      </c>
      <c r="F833" s="293" t="str">
        <f t="shared" si="1744"/>
        <v>18:00 001/p1</v>
      </c>
      <c r="G833" s="293" t="str">
        <f t="shared" si="1744"/>
        <v>19:00 001/p1</v>
      </c>
      <c r="H833" s="293" t="str">
        <f t="shared" ref="H833:I833" si="1745">TEXT(IF($B833=0," ",$B833+H$6),"hh:mm am/pm")</f>
        <v>02:00 001/p1</v>
      </c>
      <c r="I833" s="293" t="str">
        <f t="shared" si="1745"/>
        <v>07:00 001/p1</v>
      </c>
      <c r="J833" s="318" t="s">
        <v>453</v>
      </c>
      <c r="K833" s="295"/>
      <c r="L833" s="337" t="s">
        <v>308</v>
      </c>
      <c r="M833" s="338" t="s">
        <v>56</v>
      </c>
      <c r="N833" s="339" t="s">
        <v>57</v>
      </c>
      <c r="O833" s="340" t="s">
        <v>82</v>
      </c>
      <c r="P833" s="341" t="s">
        <v>59</v>
      </c>
      <c r="Q833" s="342">
        <v>6200</v>
      </c>
      <c r="R833" s="325" t="s">
        <v>76</v>
      </c>
      <c r="S833" s="344"/>
      <c r="T833" s="349" t="s">
        <v>92</v>
      </c>
      <c r="U833" s="339" t="s">
        <v>62</v>
      </c>
      <c r="V833" s="339">
        <v>15</v>
      </c>
      <c r="W833" s="339">
        <v>15</v>
      </c>
      <c r="X833" s="354"/>
      <c r="Y833" s="347" t="s">
        <v>63</v>
      </c>
      <c r="Z833" s="344"/>
      <c r="AA833" s="348" t="s">
        <v>64</v>
      </c>
      <c r="AB833" s="348" t="s">
        <v>65</v>
      </c>
      <c r="AC833" s="349">
        <v>0.1</v>
      </c>
      <c r="AD833" s="349">
        <v>0.02</v>
      </c>
      <c r="AE833" s="345" t="s">
        <v>66</v>
      </c>
      <c r="AF833" s="346">
        <v>50000</v>
      </c>
      <c r="AG833" s="350">
        <v>10</v>
      </c>
      <c r="AH833" s="350">
        <v>10</v>
      </c>
      <c r="AI833" s="350">
        <v>10</v>
      </c>
      <c r="AJ833" s="345">
        <v>15</v>
      </c>
      <c r="AK833" s="352" t="s">
        <v>67</v>
      </c>
      <c r="AL833" s="352" t="s">
        <v>68</v>
      </c>
      <c r="AM833" s="353" t="s">
        <v>69</v>
      </c>
      <c r="AN833" s="353" t="s">
        <v>70</v>
      </c>
      <c r="AO833" s="314">
        <f t="shared" si="1723"/>
        <v>0.944456018518518</v>
      </c>
      <c r="AP833" s="315">
        <f t="shared" si="1724"/>
        <v>470</v>
      </c>
      <c r="AQ833" s="316" t="str">
        <f t="shared" si="1725"/>
        <v>LOW</v>
      </c>
    </row>
    <row r="834" ht="29.25" customHeight="1" outlineLevel="1" spans="1:43">
      <c r="B834" s="365"/>
      <c r="C834" s="293" t="str">
        <f t="shared" ref="C834:G834" si="1746">TEXT(IF($B834=0," ",$B834-C$6),"hh:mm am/pm")</f>
        <v> </v>
      </c>
      <c r="D834" s="293" t="str">
        <f t="shared" si="1746"/>
        <v> </v>
      </c>
      <c r="E834" s="293" t="str">
        <f t="shared" si="1746"/>
        <v> </v>
      </c>
      <c r="F834" s="293" t="str">
        <f t="shared" si="1746"/>
        <v> </v>
      </c>
      <c r="G834" s="293" t="str">
        <f t="shared" si="1746"/>
        <v> </v>
      </c>
      <c r="H834" s="293" t="str">
        <f t="shared" ref="H834:I834" si="1747">TEXT(IF($B834=0," ",$B834+H$6),"hh:mm am/pm")</f>
        <v> </v>
      </c>
      <c r="I834" s="293" t="str">
        <f t="shared" si="1747"/>
        <v> </v>
      </c>
      <c r="J834" s="295"/>
      <c r="K834" s="366"/>
      <c r="L834" s="488"/>
      <c r="M834" s="489"/>
      <c r="N834" s="490"/>
      <c r="O834" s="491"/>
      <c r="P834" s="491"/>
      <c r="Q834" s="490"/>
      <c r="R834" s="490"/>
      <c r="S834" s="490"/>
      <c r="T834" s="493"/>
      <c r="U834" s="490"/>
      <c r="V834" s="490"/>
      <c r="W834" s="490"/>
      <c r="X834" s="492"/>
      <c r="Y834" s="488"/>
      <c r="Z834" s="490"/>
      <c r="AA834" s="492"/>
      <c r="AB834" s="492"/>
      <c r="AC834" s="493"/>
      <c r="AD834" s="493"/>
      <c r="AE834" s="488"/>
      <c r="AF834" s="492"/>
      <c r="AG834" s="488"/>
      <c r="AH834" s="488"/>
      <c r="AI834" s="488"/>
      <c r="AJ834" s="488"/>
      <c r="AK834" s="494"/>
      <c r="AL834" s="494"/>
      <c r="AM834" s="495"/>
      <c r="AN834" s="495"/>
      <c r="AO834" s="314" t="str">
        <f t="shared" si="1723"/>
        <v> </v>
      </c>
      <c r="AP834" s="374">
        <f t="shared" si="1724"/>
        <v>0</v>
      </c>
      <c r="AQ834" s="316" t="str">
        <f t="shared" si="1725"/>
        <v> </v>
      </c>
    </row>
    <row r="835" ht="29.25" customHeight="1" outlineLevel="1" spans="1:43">
      <c r="B835" s="317">
        <v>1.15740740740741e-5</v>
      </c>
      <c r="C835" s="293" t="e">
        <f t="shared" ref="C835:G835" si="1748">TEXT(IF($B835=0," ",$B835-C$6),"hh:mm am/pm")</f>
        <v>#VALUE!</v>
      </c>
      <c r="D835" s="293" t="e">
        <f t="shared" si="1748"/>
        <v>#VALUE!</v>
      </c>
      <c r="E835" s="293" t="e">
        <f t="shared" si="1748"/>
        <v>#VALUE!</v>
      </c>
      <c r="F835" s="293" t="e">
        <f t="shared" si="1748"/>
        <v>#VALUE!</v>
      </c>
      <c r="G835" s="293" t="e">
        <f t="shared" si="1748"/>
        <v>#VALUE!</v>
      </c>
      <c r="H835" s="293" t="str">
        <f t="shared" ref="H835:I835" si="1749">TEXT(IF($B835=0," ",$B835+H$6),"hh:mm am/pm")</f>
        <v>06:00 001/p1</v>
      </c>
      <c r="I835" s="293" t="str">
        <f t="shared" si="1749"/>
        <v>11:00 001/p1</v>
      </c>
      <c r="J835" s="294" t="s">
        <v>454</v>
      </c>
      <c r="K835" s="295"/>
      <c r="L835" s="337" t="s">
        <v>346</v>
      </c>
      <c r="M835" s="338" t="s">
        <v>71</v>
      </c>
      <c r="N835" s="339" t="s">
        <v>57</v>
      </c>
      <c r="O835" s="340" t="s">
        <v>74</v>
      </c>
      <c r="P835" s="341" t="s">
        <v>101</v>
      </c>
      <c r="Q835" s="342">
        <v>1200</v>
      </c>
      <c r="R835" s="343" t="s">
        <v>60</v>
      </c>
      <c r="S835" s="344"/>
      <c r="T835" s="345" t="s">
        <v>61</v>
      </c>
      <c r="U835" s="339" t="s">
        <v>78</v>
      </c>
      <c r="V835" s="339">
        <v>7</v>
      </c>
      <c r="W835" s="339">
        <v>7</v>
      </c>
      <c r="X835" s="354"/>
      <c r="Y835" s="347" t="s">
        <v>79</v>
      </c>
      <c r="Z835" s="344"/>
      <c r="AA835" s="348" t="s">
        <v>64</v>
      </c>
      <c r="AB835" s="348" t="s">
        <v>65</v>
      </c>
      <c r="AC835" s="349">
        <v>0.1</v>
      </c>
      <c r="AD835" s="349">
        <v>0.02</v>
      </c>
      <c r="AE835" s="345" t="s">
        <v>88</v>
      </c>
      <c r="AF835" s="346">
        <v>50000</v>
      </c>
      <c r="AG835" s="350">
        <v>6</v>
      </c>
      <c r="AH835" s="350">
        <v>5</v>
      </c>
      <c r="AI835" s="350">
        <v>6</v>
      </c>
      <c r="AJ835" s="345">
        <v>13</v>
      </c>
      <c r="AK835" s="352" t="s">
        <v>67</v>
      </c>
      <c r="AL835" s="352" t="s">
        <v>68</v>
      </c>
      <c r="AM835" s="353" t="s">
        <v>69</v>
      </c>
      <c r="AN835" s="353" t="s">
        <v>70</v>
      </c>
      <c r="AO835" s="314">
        <f t="shared" si="1723"/>
        <v>0.057650462962963</v>
      </c>
      <c r="AP835" s="315">
        <f t="shared" si="1724"/>
        <v>195</v>
      </c>
      <c r="AQ835" s="316" t="str">
        <f t="shared" si="1725"/>
        <v>LOW</v>
      </c>
    </row>
    <row r="836" ht="29.25" customHeight="1" outlineLevel="1" spans="1:43">
      <c r="A836" s="363" t="s">
        <v>438</v>
      </c>
      <c r="B836" s="317">
        <v>1.15740740740741e-5</v>
      </c>
      <c r="C836" s="293" t="e">
        <f t="shared" ref="C836:G836" si="1750">TEXT(IF($B836=0," ",$B836-C$6),"hh:mm am/pm")</f>
        <v>#VALUE!</v>
      </c>
      <c r="D836" s="293" t="e">
        <f t="shared" si="1750"/>
        <v>#VALUE!</v>
      </c>
      <c r="E836" s="293" t="e">
        <f t="shared" si="1750"/>
        <v>#VALUE!</v>
      </c>
      <c r="F836" s="293" t="e">
        <f t="shared" si="1750"/>
        <v>#VALUE!</v>
      </c>
      <c r="G836" s="293" t="e">
        <f t="shared" si="1750"/>
        <v>#VALUE!</v>
      </c>
      <c r="H836" s="293" t="str">
        <f t="shared" ref="H836:I836" si="1751">TEXT(IF($B836=0," ",$B836+H$6),"hh:mm am/pm")</f>
        <v>06:00 001/p1</v>
      </c>
      <c r="I836" s="293" t="str">
        <f t="shared" si="1751"/>
        <v>11:00 001/p1</v>
      </c>
      <c r="J836" s="294" t="s">
        <v>310</v>
      </c>
      <c r="K836" s="295"/>
      <c r="L836" s="319" t="s">
        <v>108</v>
      </c>
      <c r="M836" s="320" t="s">
        <v>71</v>
      </c>
      <c r="N836" s="321" t="s">
        <v>100</v>
      </c>
      <c r="O836" s="322" t="s">
        <v>109</v>
      </c>
      <c r="P836" s="323" t="s">
        <v>101</v>
      </c>
      <c r="Q836" s="324">
        <v>300</v>
      </c>
      <c r="R836" s="375" t="s">
        <v>60</v>
      </c>
      <c r="S836" s="326"/>
      <c r="T836" s="327" t="s">
        <v>61</v>
      </c>
      <c r="U836" s="321" t="s">
        <v>62</v>
      </c>
      <c r="V836" s="321">
        <v>2</v>
      </c>
      <c r="W836" s="321">
        <v>2</v>
      </c>
      <c r="X836" s="328"/>
      <c r="Y836" s="329" t="s">
        <v>63</v>
      </c>
      <c r="Z836" s="326"/>
      <c r="AA836" s="330" t="s">
        <v>64</v>
      </c>
      <c r="AB836" s="330" t="s">
        <v>65</v>
      </c>
      <c r="AC836" s="331">
        <v>0.1</v>
      </c>
      <c r="AD836" s="331">
        <v>0</v>
      </c>
      <c r="AE836" s="327" t="s">
        <v>88</v>
      </c>
      <c r="AF836" s="332">
        <v>60000</v>
      </c>
      <c r="AG836" s="333">
        <v>6</v>
      </c>
      <c r="AH836" s="333">
        <v>5</v>
      </c>
      <c r="AI836" s="333">
        <v>5</v>
      </c>
      <c r="AJ836" s="327">
        <v>12</v>
      </c>
      <c r="AK836" s="335" t="s">
        <v>67</v>
      </c>
      <c r="AL836" s="335" t="s">
        <v>68</v>
      </c>
      <c r="AM836" s="336" t="s">
        <v>69</v>
      </c>
      <c r="AN836" s="336" t="s">
        <v>70</v>
      </c>
      <c r="AO836" s="314">
        <f t="shared" si="1723"/>
        <v>0.0534837962962963</v>
      </c>
      <c r="AP836" s="315">
        <f t="shared" si="1724"/>
        <v>167</v>
      </c>
      <c r="AQ836" s="316" t="str">
        <f t="shared" si="1725"/>
        <v>MICRO</v>
      </c>
    </row>
    <row r="837" ht="29.25" customHeight="1" outlineLevel="1" spans="1:43">
      <c r="B837" s="317">
        <v>0.013900462962963</v>
      </c>
      <c r="C837" s="293" t="e">
        <f t="shared" ref="C837:G837" si="1752">TEXT(IF($B837=0," ",$B837-C$6),"hh:mm am/pm")</f>
        <v>#VALUE!</v>
      </c>
      <c r="D837" s="293" t="e">
        <f t="shared" si="1752"/>
        <v>#VALUE!</v>
      </c>
      <c r="E837" s="293" t="e">
        <f t="shared" si="1752"/>
        <v>#VALUE!</v>
      </c>
      <c r="F837" s="293" t="e">
        <f t="shared" si="1752"/>
        <v>#VALUE!</v>
      </c>
      <c r="G837" s="293" t="e">
        <f t="shared" si="1752"/>
        <v>#VALUE!</v>
      </c>
      <c r="H837" s="293" t="str">
        <f t="shared" ref="H837:I837" si="1753">TEXT(IF($B837=0," ",$B837+H$6),"hh:mm am/pm")</f>
        <v>06:20 001/p1</v>
      </c>
      <c r="I837" s="293" t="str">
        <f t="shared" si="1753"/>
        <v>11:20 001/p1</v>
      </c>
      <c r="J837" s="294" t="s">
        <v>455</v>
      </c>
      <c r="K837" s="295"/>
      <c r="L837" s="337" t="s">
        <v>111</v>
      </c>
      <c r="M837" s="338" t="s">
        <v>71</v>
      </c>
      <c r="N837" s="339" t="s">
        <v>57</v>
      </c>
      <c r="O837" s="340" t="s">
        <v>109</v>
      </c>
      <c r="P837" s="341" t="s">
        <v>75</v>
      </c>
      <c r="Q837" s="342">
        <v>150</v>
      </c>
      <c r="R837" s="343" t="s">
        <v>60</v>
      </c>
      <c r="S837" s="344"/>
      <c r="T837" s="345" t="s">
        <v>61</v>
      </c>
      <c r="U837" s="339" t="s">
        <v>62</v>
      </c>
      <c r="V837" s="339">
        <v>1</v>
      </c>
      <c r="W837" s="339">
        <v>1</v>
      </c>
      <c r="X837" s="354"/>
      <c r="Y837" s="347" t="s">
        <v>63</v>
      </c>
      <c r="Z837" s="344"/>
      <c r="AA837" s="348" t="s">
        <v>64</v>
      </c>
      <c r="AB837" s="348" t="s">
        <v>65</v>
      </c>
      <c r="AC837" s="349">
        <v>0.1</v>
      </c>
      <c r="AD837" s="349">
        <v>0</v>
      </c>
      <c r="AE837" s="345" t="s">
        <v>112</v>
      </c>
      <c r="AF837" s="346">
        <v>15000</v>
      </c>
      <c r="AG837" s="350">
        <v>6</v>
      </c>
      <c r="AH837" s="350">
        <v>5</v>
      </c>
      <c r="AI837" s="350">
        <v>5</v>
      </c>
      <c r="AJ837" s="345">
        <v>13</v>
      </c>
      <c r="AK837" s="352" t="s">
        <v>67</v>
      </c>
      <c r="AL837" s="352" t="s">
        <v>68</v>
      </c>
      <c r="AM837" s="353" t="s">
        <v>69</v>
      </c>
      <c r="AN837" s="353" t="s">
        <v>70</v>
      </c>
      <c r="AO837" s="314">
        <f t="shared" si="1723"/>
        <v>0.0715393518518519</v>
      </c>
      <c r="AP837" s="315">
        <f t="shared" si="1724"/>
        <v>167</v>
      </c>
      <c r="AQ837" s="316" t="str">
        <f t="shared" si="1725"/>
        <v>MICRO</v>
      </c>
    </row>
    <row r="838" ht="29.25" customHeight="1" outlineLevel="1" spans="1:43">
      <c r="B838" s="317">
        <v>0.0208449074074074</v>
      </c>
      <c r="C838" s="293" t="e">
        <f t="shared" ref="C838:G838" si="1754">TEXT(IF($B838=0," ",$B838-C$6),"hh:mm am/pm")</f>
        <v>#VALUE!</v>
      </c>
      <c r="D838" s="293" t="e">
        <f t="shared" si="1754"/>
        <v>#VALUE!</v>
      </c>
      <c r="E838" s="293" t="e">
        <f t="shared" si="1754"/>
        <v>#VALUE!</v>
      </c>
      <c r="F838" s="293" t="e">
        <f t="shared" si="1754"/>
        <v>#VALUE!</v>
      </c>
      <c r="G838" s="293" t="e">
        <f t="shared" si="1754"/>
        <v>#VALUE!</v>
      </c>
      <c r="H838" s="293" t="str">
        <f t="shared" ref="H838:I838" si="1755">TEXT(IF($B838=0," ",$B838+H$6),"hh:mm am/pm")</f>
        <v>06:30 001/p1</v>
      </c>
      <c r="I838" s="293" t="str">
        <f t="shared" si="1755"/>
        <v>11:30 001/p1</v>
      </c>
      <c r="J838" s="294" t="s">
        <v>134</v>
      </c>
      <c r="K838" s="295"/>
      <c r="L838" s="319" t="s">
        <v>114</v>
      </c>
      <c r="M838" s="320" t="s">
        <v>71</v>
      </c>
      <c r="N838" s="321" t="s">
        <v>57</v>
      </c>
      <c r="O838" s="322" t="s">
        <v>74</v>
      </c>
      <c r="P838" s="323" t="s">
        <v>75</v>
      </c>
      <c r="Q838" s="324">
        <v>200</v>
      </c>
      <c r="R838" s="375" t="s">
        <v>60</v>
      </c>
      <c r="S838" s="326"/>
      <c r="T838" s="327" t="s">
        <v>115</v>
      </c>
      <c r="U838" s="321" t="s">
        <v>62</v>
      </c>
      <c r="V838" s="321">
        <v>0.4</v>
      </c>
      <c r="W838" s="321">
        <v>0.4</v>
      </c>
      <c r="X838" s="328"/>
      <c r="Y838" s="329" t="s">
        <v>79</v>
      </c>
      <c r="Z838" s="321">
        <v>0.4</v>
      </c>
      <c r="AA838" s="330">
        <v>50000</v>
      </c>
      <c r="AB838" s="330" t="s">
        <v>65</v>
      </c>
      <c r="AC838" s="331">
        <v>0.1</v>
      </c>
      <c r="AD838" s="331">
        <v>0</v>
      </c>
      <c r="AE838" s="327" t="s">
        <v>66</v>
      </c>
      <c r="AF838" s="332">
        <v>30000</v>
      </c>
      <c r="AG838" s="333">
        <v>5</v>
      </c>
      <c r="AH838" s="333">
        <v>5</v>
      </c>
      <c r="AI838" s="333">
        <v>5</v>
      </c>
      <c r="AJ838" s="327">
        <v>13</v>
      </c>
      <c r="AK838" s="335" t="s">
        <v>67</v>
      </c>
      <c r="AL838" s="335" t="s">
        <v>68</v>
      </c>
      <c r="AM838" s="336" t="s">
        <v>69</v>
      </c>
      <c r="AN838" s="336" t="s">
        <v>70</v>
      </c>
      <c r="AO838" s="314">
        <f t="shared" si="1723"/>
        <v>0.0694560185185185</v>
      </c>
      <c r="AP838" s="315">
        <f t="shared" si="1724"/>
        <v>556</v>
      </c>
      <c r="AQ838" s="316" t="str">
        <f t="shared" si="1725"/>
        <v>MICRO</v>
      </c>
    </row>
    <row r="839" ht="29.25" customHeight="1" outlineLevel="1" spans="1:43">
      <c r="A839" s="363" t="s">
        <v>438</v>
      </c>
      <c r="B839" s="317">
        <v>0.0208449074074074</v>
      </c>
      <c r="C839" s="293" t="e">
        <f t="shared" ref="C839:G839" si="1756">TEXT(IF($B839=0," ",$B839-C$6),"hh:mm am/pm")</f>
        <v>#VALUE!</v>
      </c>
      <c r="D839" s="293" t="e">
        <f t="shared" si="1756"/>
        <v>#VALUE!</v>
      </c>
      <c r="E839" s="293" t="e">
        <f t="shared" si="1756"/>
        <v>#VALUE!</v>
      </c>
      <c r="F839" s="293" t="e">
        <f t="shared" si="1756"/>
        <v>#VALUE!</v>
      </c>
      <c r="G839" s="293" t="e">
        <f t="shared" si="1756"/>
        <v>#VALUE!</v>
      </c>
      <c r="H839" s="293" t="str">
        <f t="shared" ref="H839:I839" si="1757">TEXT(IF($B839=0," ",$B839+H$6),"hh:mm am/pm")</f>
        <v>06:30 001/p1</v>
      </c>
      <c r="I839" s="293" t="str">
        <f t="shared" si="1757"/>
        <v>11:30 001/p1</v>
      </c>
      <c r="J839" s="294" t="s">
        <v>417</v>
      </c>
      <c r="K839" s="295"/>
      <c r="L839" s="337" t="s">
        <v>117</v>
      </c>
      <c r="M839" s="338" t="s">
        <v>71</v>
      </c>
      <c r="N839" s="339" t="s">
        <v>100</v>
      </c>
      <c r="O839" s="340" t="s">
        <v>74</v>
      </c>
      <c r="P839" s="341" t="s">
        <v>101</v>
      </c>
      <c r="Q839" s="342">
        <v>300</v>
      </c>
      <c r="R839" s="343" t="s">
        <v>60</v>
      </c>
      <c r="S839" s="344"/>
      <c r="T839" s="345" t="s">
        <v>61</v>
      </c>
      <c r="U839" s="339" t="s">
        <v>62</v>
      </c>
      <c r="V839" s="339">
        <v>1</v>
      </c>
      <c r="W839" s="339">
        <v>1</v>
      </c>
      <c r="X839" s="354"/>
      <c r="Y839" s="347" t="s">
        <v>79</v>
      </c>
      <c r="Z839" s="339">
        <v>1</v>
      </c>
      <c r="AA839" s="348">
        <v>90000</v>
      </c>
      <c r="AB839" s="348" t="s">
        <v>65</v>
      </c>
      <c r="AC839" s="349">
        <v>0.1</v>
      </c>
      <c r="AD839" s="349">
        <v>0.02</v>
      </c>
      <c r="AE839" s="345" t="s">
        <v>88</v>
      </c>
      <c r="AF839" s="346">
        <v>30000</v>
      </c>
      <c r="AG839" s="350">
        <v>6</v>
      </c>
      <c r="AH839" s="350">
        <v>5</v>
      </c>
      <c r="AI839" s="350">
        <v>5</v>
      </c>
      <c r="AJ839" s="345">
        <v>12</v>
      </c>
      <c r="AK839" s="352" t="s">
        <v>67</v>
      </c>
      <c r="AL839" s="352" t="s">
        <v>68</v>
      </c>
      <c r="AM839" s="353" t="s">
        <v>69</v>
      </c>
      <c r="AN839" s="353" t="s">
        <v>70</v>
      </c>
      <c r="AO839" s="314">
        <f t="shared" si="1723"/>
        <v>0.0743171296296296</v>
      </c>
      <c r="AP839" s="315">
        <f t="shared" si="1724"/>
        <v>341</v>
      </c>
      <c r="AQ839" s="316" t="str">
        <f t="shared" si="1725"/>
        <v>MICRO</v>
      </c>
    </row>
    <row r="840" ht="29.25" customHeight="1" outlineLevel="1" spans="1:43">
      <c r="B840" s="317">
        <v>0.0416782407407407</v>
      </c>
      <c r="C840" s="293" t="e">
        <f t="shared" ref="C840:G840" si="1758">TEXT(IF($B840=0," ",$B840-C$6),"hh:mm am/pm")</f>
        <v>#VALUE!</v>
      </c>
      <c r="D840" s="293" t="e">
        <f t="shared" si="1758"/>
        <v>#VALUE!</v>
      </c>
      <c r="E840" s="293" t="e">
        <f t="shared" si="1758"/>
        <v>#VALUE!</v>
      </c>
      <c r="F840" s="293" t="e">
        <f t="shared" si="1758"/>
        <v>#VALUE!</v>
      </c>
      <c r="G840" s="293" t="str">
        <f t="shared" si="1758"/>
        <v>00:00 001/p1</v>
      </c>
      <c r="H840" s="293" t="str">
        <f t="shared" ref="H840:I840" si="1759">TEXT(IF($B840=0," ",$B840+H$6),"hh:mm am/pm")</f>
        <v>07:00 001/p1</v>
      </c>
      <c r="I840" s="293" t="str">
        <f t="shared" si="1759"/>
        <v>12:00 001/p1</v>
      </c>
      <c r="J840" s="294" t="s">
        <v>118</v>
      </c>
      <c r="K840" s="295"/>
      <c r="L840" s="319" t="s">
        <v>119</v>
      </c>
      <c r="M840" s="320" t="s">
        <v>71</v>
      </c>
      <c r="N840" s="321" t="s">
        <v>57</v>
      </c>
      <c r="O840" s="322" t="s">
        <v>74</v>
      </c>
      <c r="P840" s="323" t="s">
        <v>101</v>
      </c>
      <c r="Q840" s="324">
        <v>1600</v>
      </c>
      <c r="R840" s="375" t="s">
        <v>60</v>
      </c>
      <c r="S840" s="326"/>
      <c r="T840" s="327" t="s">
        <v>77</v>
      </c>
      <c r="U840" s="321" t="s">
        <v>78</v>
      </c>
      <c r="V840" s="321">
        <v>3</v>
      </c>
      <c r="W840" s="321">
        <v>3</v>
      </c>
      <c r="X840" s="328"/>
      <c r="Y840" s="329" t="s">
        <v>79</v>
      </c>
      <c r="Z840" s="321">
        <v>3</v>
      </c>
      <c r="AA840" s="330">
        <v>160000</v>
      </c>
      <c r="AB840" s="330" t="s">
        <v>65</v>
      </c>
      <c r="AC840" s="331">
        <v>0.1</v>
      </c>
      <c r="AD840" s="331">
        <v>0.02</v>
      </c>
      <c r="AE840" s="327" t="s">
        <v>88</v>
      </c>
      <c r="AF840" s="332">
        <v>40000</v>
      </c>
      <c r="AG840" s="333">
        <v>6</v>
      </c>
      <c r="AH840" s="333">
        <v>5</v>
      </c>
      <c r="AI840" s="333">
        <v>6</v>
      </c>
      <c r="AJ840" s="327">
        <v>13</v>
      </c>
      <c r="AK840" s="335" t="s">
        <v>67</v>
      </c>
      <c r="AL840" s="335" t="s">
        <v>68</v>
      </c>
      <c r="AM840" s="336" t="s">
        <v>69</v>
      </c>
      <c r="AN840" s="336" t="s">
        <v>70</v>
      </c>
      <c r="AO840" s="314">
        <f t="shared" si="1723"/>
        <v>0.0993171296296296</v>
      </c>
      <c r="AP840" s="315">
        <f t="shared" si="1724"/>
        <v>607</v>
      </c>
      <c r="AQ840" s="316" t="str">
        <f t="shared" si="1725"/>
        <v>MICRO</v>
      </c>
    </row>
    <row r="841" ht="29.25" customHeight="1" outlineLevel="1" spans="1:43">
      <c r="B841" s="317">
        <v>0.0416782407407407</v>
      </c>
      <c r="C841" s="293" t="e">
        <f t="shared" ref="C841:G841" si="1760">TEXT(IF($B841=0," ",$B841-C$6),"hh:mm am/pm")</f>
        <v>#VALUE!</v>
      </c>
      <c r="D841" s="293" t="e">
        <f t="shared" si="1760"/>
        <v>#VALUE!</v>
      </c>
      <c r="E841" s="293" t="e">
        <f t="shared" si="1760"/>
        <v>#VALUE!</v>
      </c>
      <c r="F841" s="293" t="e">
        <f t="shared" si="1760"/>
        <v>#VALUE!</v>
      </c>
      <c r="G841" s="293" t="str">
        <f t="shared" si="1760"/>
        <v>00:00 001/p1</v>
      </c>
      <c r="H841" s="293" t="str">
        <f t="shared" ref="H841:I841" si="1761">TEXT(IF($B841=0," ",$B841+H$6),"hh:mm am/pm")</f>
        <v>07:00 001/p1</v>
      </c>
      <c r="I841" s="293" t="str">
        <f t="shared" si="1761"/>
        <v>12:00 001/p1</v>
      </c>
      <c r="J841" s="294" t="s">
        <v>252</v>
      </c>
      <c r="K841" s="295"/>
      <c r="L841" s="337" t="s">
        <v>121</v>
      </c>
      <c r="M841" s="338" t="s">
        <v>71</v>
      </c>
      <c r="N841" s="339" t="s">
        <v>122</v>
      </c>
      <c r="O841" s="340" t="s">
        <v>109</v>
      </c>
      <c r="P841" s="341" t="s">
        <v>101</v>
      </c>
      <c r="Q841" s="342">
        <v>400</v>
      </c>
      <c r="R841" s="343" t="s">
        <v>60</v>
      </c>
      <c r="S841" s="344"/>
      <c r="T841" s="345" t="s">
        <v>61</v>
      </c>
      <c r="U841" s="339" t="s">
        <v>62</v>
      </c>
      <c r="V841" s="339">
        <v>10</v>
      </c>
      <c r="W841" s="339">
        <v>10</v>
      </c>
      <c r="X841" s="354"/>
      <c r="Y841" s="347" t="s">
        <v>63</v>
      </c>
      <c r="Z841" s="344"/>
      <c r="AA841" s="348" t="s">
        <v>64</v>
      </c>
      <c r="AB841" s="348" t="s">
        <v>65</v>
      </c>
      <c r="AC841" s="349">
        <v>0.1</v>
      </c>
      <c r="AD841" s="349">
        <v>0.02</v>
      </c>
      <c r="AE841" s="345" t="s">
        <v>66</v>
      </c>
      <c r="AF841" s="346">
        <v>50000</v>
      </c>
      <c r="AG841" s="350">
        <v>6</v>
      </c>
      <c r="AH841" s="350">
        <v>5</v>
      </c>
      <c r="AI841" s="350">
        <v>5</v>
      </c>
      <c r="AJ841" s="345">
        <v>15</v>
      </c>
      <c r="AK841" s="352" t="s">
        <v>67</v>
      </c>
      <c r="AL841" s="352" t="s">
        <v>68</v>
      </c>
      <c r="AM841" s="353" t="s">
        <v>69</v>
      </c>
      <c r="AN841" s="353" t="s">
        <v>70</v>
      </c>
      <c r="AO841" s="314">
        <f t="shared" si="1723"/>
        <v>0.107650462962963</v>
      </c>
      <c r="AP841" s="315">
        <f t="shared" si="1724"/>
        <v>46</v>
      </c>
      <c r="AQ841" s="316" t="str">
        <f t="shared" si="1725"/>
        <v>LOW</v>
      </c>
    </row>
    <row r="842" ht="29.25" customHeight="1" outlineLevel="1" spans="1:43">
      <c r="A842" s="363" t="s">
        <v>438</v>
      </c>
      <c r="B842" s="317">
        <v>0.0625115740740741</v>
      </c>
      <c r="C842" s="293" t="e">
        <f t="shared" ref="C842:G842" si="1762">TEXT(IF($B842=0," ",$B842-C$6),"hh:mm am/pm")</f>
        <v>#VALUE!</v>
      </c>
      <c r="D842" s="293" t="e">
        <f t="shared" si="1762"/>
        <v>#VALUE!</v>
      </c>
      <c r="E842" s="293" t="e">
        <f t="shared" si="1762"/>
        <v>#VALUE!</v>
      </c>
      <c r="F842" s="293" t="e">
        <f t="shared" si="1762"/>
        <v>#VALUE!</v>
      </c>
      <c r="G842" s="293" t="str">
        <f t="shared" si="1762"/>
        <v>00:30 001/p1</v>
      </c>
      <c r="H842" s="293" t="str">
        <f t="shared" ref="H842:I842" si="1763">TEXT(IF($B842=0," ",$B842+H$6),"hh:mm am/pm")</f>
        <v>07:30 001/p1</v>
      </c>
      <c r="I842" s="293" t="str">
        <f t="shared" si="1763"/>
        <v>12:30 001/p1</v>
      </c>
      <c r="J842" s="294" t="s">
        <v>123</v>
      </c>
      <c r="K842" s="295"/>
      <c r="L842" s="319" t="s">
        <v>124</v>
      </c>
      <c r="M842" s="320" t="s">
        <v>71</v>
      </c>
      <c r="N842" s="321" t="s">
        <v>100</v>
      </c>
      <c r="O842" s="322" t="s">
        <v>82</v>
      </c>
      <c r="P842" s="323" t="s">
        <v>101</v>
      </c>
      <c r="Q842" s="324">
        <v>100</v>
      </c>
      <c r="R842" s="375" t="s">
        <v>60</v>
      </c>
      <c r="S842" s="326"/>
      <c r="T842" s="327" t="s">
        <v>61</v>
      </c>
      <c r="U842" s="321" t="s">
        <v>62</v>
      </c>
      <c r="V842" s="321">
        <v>0.6</v>
      </c>
      <c r="W842" s="321">
        <v>0.6</v>
      </c>
      <c r="X842" s="328"/>
      <c r="Y842" s="329" t="s">
        <v>63</v>
      </c>
      <c r="Z842" s="326"/>
      <c r="AA842" s="330" t="s">
        <v>64</v>
      </c>
      <c r="AB842" s="330" t="s">
        <v>65</v>
      </c>
      <c r="AC842" s="331">
        <v>0.1</v>
      </c>
      <c r="AD842" s="331">
        <v>0</v>
      </c>
      <c r="AE842" s="327" t="s">
        <v>66</v>
      </c>
      <c r="AF842" s="332">
        <v>30000</v>
      </c>
      <c r="AG842" s="333">
        <v>5</v>
      </c>
      <c r="AH842" s="333">
        <v>5</v>
      </c>
      <c r="AI842" s="333">
        <v>5</v>
      </c>
      <c r="AJ842" s="327">
        <v>13</v>
      </c>
      <c r="AK842" s="335" t="s">
        <v>67</v>
      </c>
      <c r="AL842" s="335" t="s">
        <v>68</v>
      </c>
      <c r="AM842" s="336" t="s">
        <v>69</v>
      </c>
      <c r="AN842" s="336" t="s">
        <v>70</v>
      </c>
      <c r="AO842" s="314">
        <f t="shared" si="1723"/>
        <v>0.111122685185185</v>
      </c>
      <c r="AP842" s="315">
        <f t="shared" si="1724"/>
        <v>186</v>
      </c>
      <c r="AQ842" s="316" t="str">
        <f t="shared" si="1725"/>
        <v>MICRO</v>
      </c>
    </row>
    <row r="843" ht="29.25" customHeight="1" outlineLevel="1" spans="1:43">
      <c r="B843" s="317">
        <v>0.0833449074074074</v>
      </c>
      <c r="C843" s="293" t="str">
        <f t="shared" ref="C843:G843" si="1764">TEXT(IF($B843=0," ",$B843-C$6),"hh:mm am/pm")</f>
        <v>00:00 001/p1</v>
      </c>
      <c r="D843" s="293" t="e">
        <f t="shared" si="1764"/>
        <v>#VALUE!</v>
      </c>
      <c r="E843" s="293" t="e">
        <f t="shared" si="1764"/>
        <v>#VALUE!</v>
      </c>
      <c r="F843" s="293" t="str">
        <f t="shared" si="1764"/>
        <v>00:00 001/p1</v>
      </c>
      <c r="G843" s="293" t="str">
        <f t="shared" si="1764"/>
        <v>01:00 001/p1</v>
      </c>
      <c r="H843" s="293" t="str">
        <f t="shared" ref="H843:I843" si="1765">TEXT(IF($B843=0," ",$B843+H$6),"hh:mm am/pm")</f>
        <v>08:00 001/p1</v>
      </c>
      <c r="I843" s="293" t="str">
        <f t="shared" si="1765"/>
        <v>13:00 001/p1</v>
      </c>
      <c r="J843" s="294" t="s">
        <v>143</v>
      </c>
      <c r="K843" s="295"/>
      <c r="L843" s="337" t="s">
        <v>126</v>
      </c>
      <c r="M843" s="338" t="s">
        <v>71</v>
      </c>
      <c r="N843" s="339" t="s">
        <v>57</v>
      </c>
      <c r="O843" s="340" t="s">
        <v>82</v>
      </c>
      <c r="P843" s="341" t="s">
        <v>59</v>
      </c>
      <c r="Q843" s="342">
        <v>800</v>
      </c>
      <c r="R843" s="343" t="s">
        <v>60</v>
      </c>
      <c r="S843" s="344"/>
      <c r="T843" s="345" t="s">
        <v>61</v>
      </c>
      <c r="U843" s="339" t="s">
        <v>62</v>
      </c>
      <c r="V843" s="339">
        <v>7</v>
      </c>
      <c r="W843" s="339">
        <v>7</v>
      </c>
      <c r="X843" s="354"/>
      <c r="Y843" s="347" t="s">
        <v>63</v>
      </c>
      <c r="Z843" s="344"/>
      <c r="AA843" s="348" t="s">
        <v>64</v>
      </c>
      <c r="AB843" s="348" t="s">
        <v>65</v>
      </c>
      <c r="AC843" s="349">
        <v>0.1</v>
      </c>
      <c r="AD843" s="349">
        <v>0.02</v>
      </c>
      <c r="AE843" s="345" t="s">
        <v>88</v>
      </c>
      <c r="AF843" s="346">
        <v>40000</v>
      </c>
      <c r="AG843" s="350">
        <v>6</v>
      </c>
      <c r="AH843" s="350">
        <v>5</v>
      </c>
      <c r="AI843" s="350">
        <v>5</v>
      </c>
      <c r="AJ843" s="345">
        <v>13</v>
      </c>
      <c r="AK843" s="352" t="s">
        <v>67</v>
      </c>
      <c r="AL843" s="352" t="s">
        <v>68</v>
      </c>
      <c r="AM843" s="353" t="s">
        <v>69</v>
      </c>
      <c r="AN843" s="353" t="s">
        <v>70</v>
      </c>
      <c r="AO843" s="314">
        <f t="shared" si="1723"/>
        <v>0.140983796296296</v>
      </c>
      <c r="AP843" s="315">
        <f t="shared" si="1724"/>
        <v>130</v>
      </c>
      <c r="AQ843" s="316" t="str">
        <f t="shared" si="1725"/>
        <v>LOW</v>
      </c>
    </row>
    <row r="844" ht="29.25" customHeight="1" outlineLevel="1" spans="1:43">
      <c r="B844" s="317">
        <v>0.0833449074074074</v>
      </c>
      <c r="C844" s="293" t="str">
        <f t="shared" ref="C844:G844" si="1766">TEXT(IF($B844=0," ",$B844-C$6),"hh:mm am/pm")</f>
        <v>00:00 001/p1</v>
      </c>
      <c r="D844" s="293" t="e">
        <f t="shared" si="1766"/>
        <v>#VALUE!</v>
      </c>
      <c r="E844" s="293" t="e">
        <f t="shared" si="1766"/>
        <v>#VALUE!</v>
      </c>
      <c r="F844" s="293" t="str">
        <f t="shared" si="1766"/>
        <v>00:00 001/p1</v>
      </c>
      <c r="G844" s="293" t="str">
        <f t="shared" si="1766"/>
        <v>01:00 001/p1</v>
      </c>
      <c r="H844" s="293" t="str">
        <f t="shared" ref="H844:I844" si="1767">TEXT(IF($B844=0," ",$B844+H$6),"hh:mm am/pm")</f>
        <v>08:00 001/p1</v>
      </c>
      <c r="I844" s="293" t="str">
        <f t="shared" si="1767"/>
        <v>13:00 001/p1</v>
      </c>
      <c r="J844" s="294" t="s">
        <v>323</v>
      </c>
      <c r="K844" s="295"/>
      <c r="L844" s="319" t="s">
        <v>139</v>
      </c>
      <c r="M844" s="320" t="s">
        <v>71</v>
      </c>
      <c r="N844" s="321" t="s">
        <v>100</v>
      </c>
      <c r="O844" s="322" t="s">
        <v>82</v>
      </c>
      <c r="P844" s="323" t="s">
        <v>101</v>
      </c>
      <c r="Q844" s="324">
        <v>400</v>
      </c>
      <c r="R844" s="375" t="s">
        <v>60</v>
      </c>
      <c r="S844" s="326"/>
      <c r="T844" s="327" t="s">
        <v>61</v>
      </c>
      <c r="U844" s="321" t="s">
        <v>62</v>
      </c>
      <c r="V844" s="321">
        <v>6</v>
      </c>
      <c r="W844" s="321">
        <v>6</v>
      </c>
      <c r="X844" s="328"/>
      <c r="Y844" s="329" t="s">
        <v>63</v>
      </c>
      <c r="Z844" s="326"/>
      <c r="AA844" s="330" t="s">
        <v>64</v>
      </c>
      <c r="AB844" s="330" t="s">
        <v>65</v>
      </c>
      <c r="AC844" s="331">
        <v>0.1</v>
      </c>
      <c r="AD844" s="331">
        <v>0.02</v>
      </c>
      <c r="AE844" s="327" t="s">
        <v>66</v>
      </c>
      <c r="AF844" s="332">
        <v>50000</v>
      </c>
      <c r="AG844" s="333">
        <v>6</v>
      </c>
      <c r="AH844" s="333">
        <v>5</v>
      </c>
      <c r="AI844" s="333">
        <v>5</v>
      </c>
      <c r="AJ844" s="327">
        <v>15</v>
      </c>
      <c r="AK844" s="335" t="s">
        <v>67</v>
      </c>
      <c r="AL844" s="335" t="s">
        <v>68</v>
      </c>
      <c r="AM844" s="336" t="s">
        <v>69</v>
      </c>
      <c r="AN844" s="336" t="s">
        <v>70</v>
      </c>
      <c r="AO844" s="314">
        <f t="shared" si="1723"/>
        <v>0.14931712962963</v>
      </c>
      <c r="AP844" s="315">
        <f t="shared" si="1724"/>
        <v>76</v>
      </c>
      <c r="AQ844" s="316" t="str">
        <f t="shared" si="1725"/>
        <v>LOW</v>
      </c>
    </row>
    <row r="845" ht="29.25" customHeight="1" outlineLevel="1" spans="1:43">
      <c r="A845" s="363" t="s">
        <v>438</v>
      </c>
      <c r="B845" s="317">
        <v>0.104178240740741</v>
      </c>
      <c r="C845" s="293" t="str">
        <f t="shared" ref="C845:G845" si="1768">TEXT(IF($B845=0," ",$B845-C$6),"hh:mm am/pm")</f>
        <v>00:30 001/p1</v>
      </c>
      <c r="D845" s="293" t="e">
        <f t="shared" si="1768"/>
        <v>#VALUE!</v>
      </c>
      <c r="E845" s="293" t="e">
        <f t="shared" si="1768"/>
        <v>#VALUE!</v>
      </c>
      <c r="F845" s="293" t="str">
        <f t="shared" si="1768"/>
        <v>00:30 001/p1</v>
      </c>
      <c r="G845" s="293" t="str">
        <f t="shared" si="1768"/>
        <v>01:30 001/p1</v>
      </c>
      <c r="H845" s="293" t="str">
        <f t="shared" ref="H845:I845" si="1769">TEXT(IF($B845=0," ",$B845+H$6),"hh:mm am/pm")</f>
        <v>08:30 001/p1</v>
      </c>
      <c r="I845" s="293" t="str">
        <f t="shared" si="1769"/>
        <v>13:30 001/p1</v>
      </c>
      <c r="J845" s="318" t="s">
        <v>314</v>
      </c>
      <c r="K845" s="295"/>
      <c r="L845" s="337" t="s">
        <v>315</v>
      </c>
      <c r="M845" s="338" t="s">
        <v>71</v>
      </c>
      <c r="N845" s="339" t="s">
        <v>57</v>
      </c>
      <c r="O845" s="340" t="s">
        <v>74</v>
      </c>
      <c r="P845" s="341" t="s">
        <v>101</v>
      </c>
      <c r="Q845" s="342">
        <v>330</v>
      </c>
      <c r="R845" s="377" t="s">
        <v>181</v>
      </c>
      <c r="S845" s="344"/>
      <c r="T845" s="345" t="s">
        <v>115</v>
      </c>
      <c r="U845" s="339" t="s">
        <v>62</v>
      </c>
      <c r="V845" s="339">
        <v>0.6</v>
      </c>
      <c r="W845" s="339">
        <v>0.6</v>
      </c>
      <c r="X845" s="354"/>
      <c r="Y845" s="347" t="s">
        <v>79</v>
      </c>
      <c r="Z845" s="339">
        <v>0.8</v>
      </c>
      <c r="AA845" s="348">
        <v>100000</v>
      </c>
      <c r="AB845" s="348" t="s">
        <v>65</v>
      </c>
      <c r="AC845" s="349">
        <v>0.1</v>
      </c>
      <c r="AD845" s="349">
        <v>0</v>
      </c>
      <c r="AE845" s="345" t="s">
        <v>88</v>
      </c>
      <c r="AF845" s="346">
        <v>50000</v>
      </c>
      <c r="AG845" s="350">
        <v>5</v>
      </c>
      <c r="AH845" s="350">
        <v>5</v>
      </c>
      <c r="AI845" s="350">
        <v>5</v>
      </c>
      <c r="AJ845" s="345">
        <v>13</v>
      </c>
      <c r="AK845" s="352" t="s">
        <v>67</v>
      </c>
      <c r="AL845" s="352" t="s">
        <v>68</v>
      </c>
      <c r="AM845" s="353" t="s">
        <v>69</v>
      </c>
      <c r="AN845" s="353" t="s">
        <v>70</v>
      </c>
      <c r="AO845" s="314">
        <f t="shared" si="1723"/>
        <v>0.152789351851852</v>
      </c>
      <c r="AP845" s="315">
        <f t="shared" si="1724"/>
        <v>612</v>
      </c>
      <c r="AQ845" s="316" t="str">
        <f t="shared" si="1725"/>
        <v>MICRO</v>
      </c>
    </row>
    <row r="846" ht="29.25" customHeight="1" outlineLevel="1" spans="1:43">
      <c r="B846" s="317">
        <v>0.131956018518519</v>
      </c>
      <c r="C846" s="293" t="str">
        <f t="shared" ref="C846:G846" si="1770">TEXT(IF($B846=0," ",$B846-C$6),"hh:mm am/pm")</f>
        <v>01:10 001/p1</v>
      </c>
      <c r="D846" s="293" t="e">
        <f t="shared" si="1770"/>
        <v>#VALUE!</v>
      </c>
      <c r="E846" s="293" t="str">
        <f t="shared" si="1770"/>
        <v>00:10 001/p1</v>
      </c>
      <c r="F846" s="293" t="str">
        <f t="shared" si="1770"/>
        <v>01:10 001/p1</v>
      </c>
      <c r="G846" s="293" t="str">
        <f t="shared" si="1770"/>
        <v>02:10 001/p1</v>
      </c>
      <c r="H846" s="293" t="str">
        <f t="shared" ref="H846:I846" si="1771">TEXT(IF($B846=0," ",$B846+H$6),"hh:mm am/pm")</f>
        <v>09:10 001/p1</v>
      </c>
      <c r="I846" s="293" t="str">
        <f t="shared" si="1771"/>
        <v>14:10 001/p1</v>
      </c>
      <c r="J846" s="294" t="s">
        <v>312</v>
      </c>
      <c r="K846" s="295"/>
      <c r="L846" s="319" t="s">
        <v>117</v>
      </c>
      <c r="M846" s="320" t="s">
        <v>71</v>
      </c>
      <c r="N846" s="321" t="s">
        <v>100</v>
      </c>
      <c r="O846" s="322" t="s">
        <v>74</v>
      </c>
      <c r="P846" s="323" t="s">
        <v>101</v>
      </c>
      <c r="Q846" s="324">
        <v>200</v>
      </c>
      <c r="R846" s="375" t="s">
        <v>60</v>
      </c>
      <c r="S846" s="326"/>
      <c r="T846" s="327" t="s">
        <v>61</v>
      </c>
      <c r="U846" s="321" t="s">
        <v>62</v>
      </c>
      <c r="V846" s="321">
        <v>2</v>
      </c>
      <c r="W846" s="321">
        <v>2</v>
      </c>
      <c r="X846" s="328"/>
      <c r="Y846" s="329" t="s">
        <v>79</v>
      </c>
      <c r="Z846" s="321">
        <v>2</v>
      </c>
      <c r="AA846" s="330">
        <v>80000</v>
      </c>
      <c r="AB846" s="330" t="s">
        <v>65</v>
      </c>
      <c r="AC846" s="331">
        <v>0.1</v>
      </c>
      <c r="AD846" s="331">
        <v>0.02</v>
      </c>
      <c r="AE846" s="327" t="s">
        <v>88</v>
      </c>
      <c r="AF846" s="332">
        <v>40000</v>
      </c>
      <c r="AG846" s="333">
        <v>5</v>
      </c>
      <c r="AH846" s="333">
        <v>5</v>
      </c>
      <c r="AI846" s="333">
        <v>5</v>
      </c>
      <c r="AJ846" s="327">
        <v>13</v>
      </c>
      <c r="AK846" s="335" t="s">
        <v>67</v>
      </c>
      <c r="AL846" s="335" t="s">
        <v>68</v>
      </c>
      <c r="AM846" s="336" t="s">
        <v>69</v>
      </c>
      <c r="AN846" s="336" t="s">
        <v>70</v>
      </c>
      <c r="AO846" s="314">
        <f t="shared" si="1723"/>
        <v>0.18056712962963</v>
      </c>
      <c r="AP846" s="315">
        <f t="shared" si="1724"/>
        <v>114</v>
      </c>
      <c r="AQ846" s="316" t="str">
        <f t="shared" si="1725"/>
        <v>MICRO</v>
      </c>
    </row>
    <row r="847" ht="29.25" customHeight="1" outlineLevel="1" spans="1:43">
      <c r="B847" s="317">
        <v>0.131956018518519</v>
      </c>
      <c r="C847" s="293" t="str">
        <f t="shared" ref="C847:G847" si="1772">TEXT(IF($B847=0," ",$B847-C$6),"hh:mm am/pm")</f>
        <v>01:10 001/p1</v>
      </c>
      <c r="D847" s="293" t="e">
        <f t="shared" si="1772"/>
        <v>#VALUE!</v>
      </c>
      <c r="E847" s="293" t="str">
        <f t="shared" si="1772"/>
        <v>00:10 001/p1</v>
      </c>
      <c r="F847" s="293" t="str">
        <f t="shared" si="1772"/>
        <v>01:10 001/p1</v>
      </c>
      <c r="G847" s="293" t="str">
        <f t="shared" si="1772"/>
        <v>02:10 001/p1</v>
      </c>
      <c r="H847" s="293" t="str">
        <f t="shared" ref="H847:I847" si="1773">TEXT(IF($B847=0," ",$B847+H$6),"hh:mm am/pm")</f>
        <v>09:10 001/p1</v>
      </c>
      <c r="I847" s="293" t="str">
        <f t="shared" si="1773"/>
        <v>14:10 001/p1</v>
      </c>
      <c r="J847" s="294" t="s">
        <v>316</v>
      </c>
      <c r="K847" s="295"/>
      <c r="L847" s="337" t="s">
        <v>126</v>
      </c>
      <c r="M847" s="338" t="s">
        <v>71</v>
      </c>
      <c r="N847" s="339" t="s">
        <v>57</v>
      </c>
      <c r="O847" s="340" t="s">
        <v>82</v>
      </c>
      <c r="P847" s="341" t="s">
        <v>59</v>
      </c>
      <c r="Q847" s="342">
        <v>300</v>
      </c>
      <c r="R847" s="343" t="s">
        <v>60</v>
      </c>
      <c r="S847" s="344"/>
      <c r="T847" s="345" t="s">
        <v>61</v>
      </c>
      <c r="U847" s="339" t="s">
        <v>62</v>
      </c>
      <c r="V847" s="339">
        <v>5</v>
      </c>
      <c r="W847" s="339">
        <v>5</v>
      </c>
      <c r="X847" s="354"/>
      <c r="Y847" s="347" t="s">
        <v>63</v>
      </c>
      <c r="Z847" s="344"/>
      <c r="AA847" s="348" t="s">
        <v>64</v>
      </c>
      <c r="AB847" s="348" t="s">
        <v>65</v>
      </c>
      <c r="AC847" s="349">
        <v>0.1</v>
      </c>
      <c r="AD847" s="349">
        <v>0.02</v>
      </c>
      <c r="AE847" s="345" t="s">
        <v>88</v>
      </c>
      <c r="AF847" s="346">
        <v>30000</v>
      </c>
      <c r="AG847" s="350">
        <v>5</v>
      </c>
      <c r="AH847" s="350">
        <v>5</v>
      </c>
      <c r="AI847" s="350">
        <v>5</v>
      </c>
      <c r="AJ847" s="345">
        <v>12</v>
      </c>
      <c r="AK847" s="352" t="s">
        <v>67</v>
      </c>
      <c r="AL847" s="352" t="s">
        <v>68</v>
      </c>
      <c r="AM847" s="353" t="s">
        <v>69</v>
      </c>
      <c r="AN847" s="353" t="s">
        <v>70</v>
      </c>
      <c r="AO847" s="314">
        <f t="shared" si="1723"/>
        <v>0.177094907407407</v>
      </c>
      <c r="AP847" s="315">
        <f t="shared" si="1724"/>
        <v>69</v>
      </c>
      <c r="AQ847" s="316" t="str">
        <f t="shared" si="1725"/>
        <v>MICRO</v>
      </c>
    </row>
    <row r="848" ht="29.25" customHeight="1" outlineLevel="1" spans="1:43">
      <c r="A848" s="363" t="s">
        <v>438</v>
      </c>
      <c r="B848" s="317">
        <v>0.173622685185185</v>
      </c>
      <c r="C848" s="293" t="str">
        <f t="shared" ref="C848:G848" si="1774">TEXT(IF($B848=0," ",$B848-C$6),"hh:mm am/pm")</f>
        <v>02:10 001/p1</v>
      </c>
      <c r="D848" s="293" t="str">
        <f t="shared" si="1774"/>
        <v>00:10 001/p1</v>
      </c>
      <c r="E848" s="293" t="str">
        <f t="shared" si="1774"/>
        <v>01:10 001/p1</v>
      </c>
      <c r="F848" s="293" t="str">
        <f t="shared" si="1774"/>
        <v>02:10 001/p1</v>
      </c>
      <c r="G848" s="293" t="str">
        <f t="shared" si="1774"/>
        <v>03:10 001/p1</v>
      </c>
      <c r="H848" s="293" t="str">
        <f t="shared" ref="H848:I848" si="1775">TEXT(IF($B848=0," ",$B848+H$6),"hh:mm am/pm")</f>
        <v>10:10 001/p1</v>
      </c>
      <c r="I848" s="293" t="str">
        <f t="shared" si="1775"/>
        <v>15:10 001/p1</v>
      </c>
      <c r="J848" s="294" t="s">
        <v>317</v>
      </c>
      <c r="K848" s="295"/>
      <c r="L848" s="319" t="s">
        <v>119</v>
      </c>
      <c r="M848" s="320" t="s">
        <v>71</v>
      </c>
      <c r="N848" s="321" t="s">
        <v>57</v>
      </c>
      <c r="O848" s="322" t="s">
        <v>74</v>
      </c>
      <c r="P848" s="323" t="s">
        <v>59</v>
      </c>
      <c r="Q848" s="324">
        <v>300</v>
      </c>
      <c r="R848" s="375" t="s">
        <v>60</v>
      </c>
      <c r="S848" s="326"/>
      <c r="T848" s="327" t="s">
        <v>115</v>
      </c>
      <c r="U848" s="321" t="s">
        <v>62</v>
      </c>
      <c r="V848" s="321">
        <v>2</v>
      </c>
      <c r="W848" s="321">
        <v>2</v>
      </c>
      <c r="X848" s="328"/>
      <c r="Y848" s="329" t="s">
        <v>79</v>
      </c>
      <c r="Z848" s="321">
        <v>2</v>
      </c>
      <c r="AA848" s="330">
        <v>75000</v>
      </c>
      <c r="AB848" s="330" t="s">
        <v>65</v>
      </c>
      <c r="AC848" s="331">
        <v>0.1</v>
      </c>
      <c r="AD848" s="331">
        <v>0.02</v>
      </c>
      <c r="AE848" s="327" t="s">
        <v>88</v>
      </c>
      <c r="AF848" s="332">
        <v>30000</v>
      </c>
      <c r="AG848" s="333">
        <v>5</v>
      </c>
      <c r="AH848" s="333">
        <v>5</v>
      </c>
      <c r="AI848" s="333">
        <v>5</v>
      </c>
      <c r="AJ848" s="327">
        <v>12</v>
      </c>
      <c r="AK848" s="335" t="s">
        <v>67</v>
      </c>
      <c r="AL848" s="335" t="s">
        <v>68</v>
      </c>
      <c r="AM848" s="336" t="s">
        <v>69</v>
      </c>
      <c r="AN848" s="336" t="s">
        <v>70</v>
      </c>
      <c r="AO848" s="314">
        <f t="shared" si="1723"/>
        <v>0.218761574074074</v>
      </c>
      <c r="AP848" s="315">
        <f t="shared" si="1724"/>
        <v>171</v>
      </c>
      <c r="AQ848" s="316" t="str">
        <f t="shared" si="1725"/>
        <v>MICRO</v>
      </c>
    </row>
    <row r="849" ht="29.25" customHeight="1" outlineLevel="1" spans="1:43">
      <c r="B849" s="317">
        <v>0.208344907407407</v>
      </c>
      <c r="C849" s="293" t="str">
        <f t="shared" ref="C849:G849" si="1776">TEXT(IF($B849=0," ",$B849-C$6),"hh:mm am/pm")</f>
        <v>03:00 001/p1</v>
      </c>
      <c r="D849" s="293" t="str">
        <f t="shared" si="1776"/>
        <v>01:00 001/p1</v>
      </c>
      <c r="E849" s="293" t="str">
        <f t="shared" si="1776"/>
        <v>02:00 001/p1</v>
      </c>
      <c r="F849" s="293" t="str">
        <f t="shared" si="1776"/>
        <v>03:00 001/p1</v>
      </c>
      <c r="G849" s="293" t="str">
        <f t="shared" si="1776"/>
        <v>04:00 001/p1</v>
      </c>
      <c r="H849" s="293" t="str">
        <f t="shared" ref="H849:I849" si="1777">TEXT(IF($B849=0," ",$B849+H$6),"hh:mm am/pm")</f>
        <v>11:00 001/p1</v>
      </c>
      <c r="I849" s="293" t="str">
        <f t="shared" si="1777"/>
        <v>16:00 001/p1</v>
      </c>
      <c r="J849" s="294" t="s">
        <v>132</v>
      </c>
      <c r="K849" s="295"/>
      <c r="L849" s="337" t="s">
        <v>133</v>
      </c>
      <c r="M849" s="338" t="s">
        <v>71</v>
      </c>
      <c r="N849" s="339" t="s">
        <v>57</v>
      </c>
      <c r="O849" s="340" t="s">
        <v>58</v>
      </c>
      <c r="P849" s="341" t="s">
        <v>59</v>
      </c>
      <c r="Q849" s="342">
        <v>100</v>
      </c>
      <c r="R849" s="343" t="s">
        <v>60</v>
      </c>
      <c r="S849" s="344"/>
      <c r="T849" s="345" t="s">
        <v>61</v>
      </c>
      <c r="U849" s="339" t="s">
        <v>62</v>
      </c>
      <c r="V849" s="339">
        <v>1.6</v>
      </c>
      <c r="W849" s="339">
        <v>1.6</v>
      </c>
      <c r="X849" s="354"/>
      <c r="Y849" s="347" t="s">
        <v>63</v>
      </c>
      <c r="Z849" s="344"/>
      <c r="AA849" s="348" t="s">
        <v>64</v>
      </c>
      <c r="AB849" s="348" t="s">
        <v>65</v>
      </c>
      <c r="AC849" s="349">
        <v>0.1</v>
      </c>
      <c r="AD849" s="349">
        <v>0</v>
      </c>
      <c r="AE849" s="345" t="s">
        <v>66</v>
      </c>
      <c r="AF849" s="346">
        <v>30000</v>
      </c>
      <c r="AG849" s="350">
        <v>8</v>
      </c>
      <c r="AH849" s="350">
        <v>7</v>
      </c>
      <c r="AI849" s="350">
        <v>6</v>
      </c>
      <c r="AJ849" s="345">
        <v>13</v>
      </c>
      <c r="AK849" s="352" t="s">
        <v>67</v>
      </c>
      <c r="AL849" s="352" t="s">
        <v>68</v>
      </c>
      <c r="AM849" s="353" t="s">
        <v>69</v>
      </c>
      <c r="AN849" s="353" t="s">
        <v>70</v>
      </c>
      <c r="AO849" s="314">
        <f t="shared" si="1723"/>
        <v>0.284039351851852</v>
      </c>
      <c r="AP849" s="315">
        <f t="shared" si="1724"/>
        <v>70</v>
      </c>
      <c r="AQ849" s="316" t="str">
        <f t="shared" si="1725"/>
        <v>MICRO</v>
      </c>
    </row>
    <row r="850" ht="29.25" customHeight="1" outlineLevel="1" spans="1:43">
      <c r="B850" s="317">
        <v>0.215289351851852</v>
      </c>
      <c r="C850" s="293" t="str">
        <f t="shared" ref="C850:G850" si="1778">TEXT(IF($B850=0," ",$B850-C$6),"hh:mm am/pm")</f>
        <v>03:10 001/p1</v>
      </c>
      <c r="D850" s="293" t="str">
        <f t="shared" si="1778"/>
        <v>01:10 001/p1</v>
      </c>
      <c r="E850" s="293" t="str">
        <f t="shared" si="1778"/>
        <v>02:10 001/p1</v>
      </c>
      <c r="F850" s="293" t="str">
        <f t="shared" si="1778"/>
        <v>03:10 001/p1</v>
      </c>
      <c r="G850" s="293" t="str">
        <f t="shared" si="1778"/>
        <v>04:10 001/p1</v>
      </c>
      <c r="H850" s="293" t="str">
        <f t="shared" ref="H850:I850" si="1779">TEXT(IF($B850=0," ",$B850+H$6),"hh:mm am/pm")</f>
        <v>11:10 001/p1</v>
      </c>
      <c r="I850" s="293" t="str">
        <f t="shared" si="1779"/>
        <v>16:10 001/p1</v>
      </c>
      <c r="J850" s="294" t="s">
        <v>456</v>
      </c>
      <c r="K850" s="295"/>
      <c r="L850" s="319" t="s">
        <v>119</v>
      </c>
      <c r="M850" s="320" t="s">
        <v>71</v>
      </c>
      <c r="N850" s="321" t="s">
        <v>57</v>
      </c>
      <c r="O850" s="322" t="s">
        <v>74</v>
      </c>
      <c r="P850" s="323" t="s">
        <v>59</v>
      </c>
      <c r="Q850" s="324">
        <v>200</v>
      </c>
      <c r="R850" s="375" t="s">
        <v>60</v>
      </c>
      <c r="S850" s="326"/>
      <c r="T850" s="327" t="s">
        <v>115</v>
      </c>
      <c r="U850" s="321" t="s">
        <v>62</v>
      </c>
      <c r="V850" s="321">
        <v>2</v>
      </c>
      <c r="W850" s="321">
        <v>2</v>
      </c>
      <c r="X850" s="328"/>
      <c r="Y850" s="329" t="s">
        <v>79</v>
      </c>
      <c r="Z850" s="321">
        <v>2</v>
      </c>
      <c r="AA850" s="330">
        <v>75000</v>
      </c>
      <c r="AB850" s="330" t="s">
        <v>65</v>
      </c>
      <c r="AC850" s="331">
        <v>0.1</v>
      </c>
      <c r="AD850" s="331">
        <v>0.02</v>
      </c>
      <c r="AE850" s="327" t="s">
        <v>88</v>
      </c>
      <c r="AF850" s="332">
        <v>30000</v>
      </c>
      <c r="AG850" s="333">
        <v>5</v>
      </c>
      <c r="AH850" s="333">
        <v>5</v>
      </c>
      <c r="AI850" s="333">
        <v>5</v>
      </c>
      <c r="AJ850" s="327">
        <v>12</v>
      </c>
      <c r="AK850" s="335" t="s">
        <v>67</v>
      </c>
      <c r="AL850" s="335" t="s">
        <v>68</v>
      </c>
      <c r="AM850" s="336" t="s">
        <v>69</v>
      </c>
      <c r="AN850" s="336" t="s">
        <v>70</v>
      </c>
      <c r="AO850" s="314">
        <f t="shared" si="1723"/>
        <v>0.260428240740741</v>
      </c>
      <c r="AP850" s="315">
        <f t="shared" si="1724"/>
        <v>114</v>
      </c>
      <c r="AQ850" s="316" t="str">
        <f t="shared" si="1725"/>
        <v>MICRO</v>
      </c>
    </row>
    <row r="851" ht="29.25" customHeight="1" outlineLevel="1" spans="1:43">
      <c r="B851" s="317">
        <v>0.229178240740741</v>
      </c>
      <c r="C851" s="293" t="str">
        <f t="shared" ref="C851:G851" si="1780">TEXT(IF($B851=0," ",$B851-C$6),"hh:mm am/pm")</f>
        <v>03:30 001/p1</v>
      </c>
      <c r="D851" s="293" t="str">
        <f t="shared" si="1780"/>
        <v>01:30 001/p1</v>
      </c>
      <c r="E851" s="293" t="str">
        <f t="shared" si="1780"/>
        <v>02:30 001/p1</v>
      </c>
      <c r="F851" s="293" t="str">
        <f t="shared" si="1780"/>
        <v>03:30 001/p1</v>
      </c>
      <c r="G851" s="293" t="str">
        <f t="shared" si="1780"/>
        <v>04:30 001/p1</v>
      </c>
      <c r="H851" s="293" t="str">
        <f t="shared" ref="H851:I851" si="1781">TEXT(IF($B851=0," ",$B851+H$6),"hh:mm am/pm")</f>
        <v>11:30 001/p1</v>
      </c>
      <c r="I851" s="293" t="str">
        <f t="shared" si="1781"/>
        <v>16:30 001/p1</v>
      </c>
      <c r="J851" s="294" t="s">
        <v>422</v>
      </c>
      <c r="K851" s="295"/>
      <c r="L851" s="337" t="s">
        <v>124</v>
      </c>
      <c r="M851" s="338" t="s">
        <v>71</v>
      </c>
      <c r="N851" s="339" t="s">
        <v>122</v>
      </c>
      <c r="O851" s="340" t="s">
        <v>82</v>
      </c>
      <c r="P851" s="341" t="s">
        <v>59</v>
      </c>
      <c r="Q851" s="342">
        <v>60</v>
      </c>
      <c r="R851" s="343" t="s">
        <v>60</v>
      </c>
      <c r="S851" s="344"/>
      <c r="T851" s="345" t="s">
        <v>61</v>
      </c>
      <c r="U851" s="339" t="s">
        <v>62</v>
      </c>
      <c r="V851" s="339">
        <v>0.6</v>
      </c>
      <c r="W851" s="339">
        <v>0.6</v>
      </c>
      <c r="X851" s="354"/>
      <c r="Y851" s="347" t="s">
        <v>63</v>
      </c>
      <c r="Z851" s="344"/>
      <c r="AA851" s="348" t="s">
        <v>64</v>
      </c>
      <c r="AB851" s="348" t="s">
        <v>65</v>
      </c>
      <c r="AC851" s="349">
        <v>0.1</v>
      </c>
      <c r="AD851" s="349">
        <v>0</v>
      </c>
      <c r="AE851" s="345" t="s">
        <v>66</v>
      </c>
      <c r="AF851" s="346">
        <v>50000</v>
      </c>
      <c r="AG851" s="350">
        <v>6</v>
      </c>
      <c r="AH851" s="350">
        <v>5</v>
      </c>
      <c r="AI851" s="350">
        <v>5</v>
      </c>
      <c r="AJ851" s="345">
        <v>15</v>
      </c>
      <c r="AK851" s="352" t="s">
        <v>67</v>
      </c>
      <c r="AL851" s="352" t="s">
        <v>68</v>
      </c>
      <c r="AM851" s="353" t="s">
        <v>69</v>
      </c>
      <c r="AN851" s="353" t="s">
        <v>70</v>
      </c>
      <c r="AO851" s="314">
        <f t="shared" si="1723"/>
        <v>0.295150462962963</v>
      </c>
      <c r="AP851" s="315">
        <f t="shared" si="1724"/>
        <v>112</v>
      </c>
      <c r="AQ851" s="316" t="str">
        <f t="shared" si="1725"/>
        <v>MICRO</v>
      </c>
    </row>
    <row r="852" ht="29.25" customHeight="1" outlineLevel="1" spans="1:43">
      <c r="A852" s="363" t="s">
        <v>438</v>
      </c>
      <c r="B852" s="317">
        <v>0.256956018518519</v>
      </c>
      <c r="C852" s="293" t="str">
        <f t="shared" ref="C852:G852" si="1782">TEXT(IF($B852=0," ",$B852-C$6),"hh:mm am/pm")</f>
        <v>04:10 001/p1</v>
      </c>
      <c r="D852" s="293" t="str">
        <f t="shared" si="1782"/>
        <v>02:10 001/p1</v>
      </c>
      <c r="E852" s="293" t="str">
        <f t="shared" si="1782"/>
        <v>03:10 001/p1</v>
      </c>
      <c r="F852" s="293" t="str">
        <f t="shared" si="1782"/>
        <v>04:10 001/p1</v>
      </c>
      <c r="G852" s="293" t="str">
        <f t="shared" si="1782"/>
        <v>05:10 001/p1</v>
      </c>
      <c r="H852" s="293" t="str">
        <f t="shared" ref="H852:I852" si="1783">TEXT(IF($B852=0," ",$B852+H$6),"hh:mm am/pm")</f>
        <v>12:10 001/p1</v>
      </c>
      <c r="I852" s="293" t="str">
        <f t="shared" si="1783"/>
        <v>17:10 001/p1</v>
      </c>
      <c r="J852" s="294" t="s">
        <v>318</v>
      </c>
      <c r="K852" s="295"/>
      <c r="L852" s="319" t="s">
        <v>114</v>
      </c>
      <c r="M852" s="320" t="s">
        <v>71</v>
      </c>
      <c r="N852" s="321" t="s">
        <v>57</v>
      </c>
      <c r="O852" s="322" t="s">
        <v>74</v>
      </c>
      <c r="P852" s="323" t="s">
        <v>75</v>
      </c>
      <c r="Q852" s="324">
        <v>120</v>
      </c>
      <c r="R852" s="375" t="s">
        <v>60</v>
      </c>
      <c r="S852" s="326"/>
      <c r="T852" s="327" t="s">
        <v>115</v>
      </c>
      <c r="U852" s="321" t="s">
        <v>62</v>
      </c>
      <c r="V852" s="321">
        <v>1</v>
      </c>
      <c r="W852" s="321">
        <v>1</v>
      </c>
      <c r="X852" s="328"/>
      <c r="Y852" s="329" t="s">
        <v>79</v>
      </c>
      <c r="Z852" s="321">
        <v>1</v>
      </c>
      <c r="AA852" s="330">
        <v>75000</v>
      </c>
      <c r="AB852" s="330" t="s">
        <v>65</v>
      </c>
      <c r="AC852" s="331">
        <v>0.1</v>
      </c>
      <c r="AD852" s="331">
        <v>0</v>
      </c>
      <c r="AE852" s="327" t="s">
        <v>88</v>
      </c>
      <c r="AF852" s="332">
        <v>30000</v>
      </c>
      <c r="AG852" s="333">
        <v>5</v>
      </c>
      <c r="AH852" s="333">
        <v>5</v>
      </c>
      <c r="AI852" s="333">
        <v>5</v>
      </c>
      <c r="AJ852" s="327">
        <v>12</v>
      </c>
      <c r="AK852" s="335" t="s">
        <v>67</v>
      </c>
      <c r="AL852" s="335" t="s">
        <v>68</v>
      </c>
      <c r="AM852" s="336" t="s">
        <v>69</v>
      </c>
      <c r="AN852" s="336" t="s">
        <v>70</v>
      </c>
      <c r="AO852" s="314">
        <f t="shared" si="1723"/>
        <v>0.302094907407407</v>
      </c>
      <c r="AP852" s="315">
        <f t="shared" si="1724"/>
        <v>134</v>
      </c>
      <c r="AQ852" s="316" t="str">
        <f t="shared" si="1725"/>
        <v>MICRO</v>
      </c>
    </row>
    <row r="853" ht="29.25" customHeight="1" outlineLevel="1" spans="1:43">
      <c r="B853" s="317">
        <v>0.291678240740741</v>
      </c>
      <c r="C853" s="293" t="str">
        <f t="shared" ref="C853:G853" si="1784">TEXT(IF($B853=0," ",$B853-C$6),"hh:mm am/pm")</f>
        <v>05:00 001/p1</v>
      </c>
      <c r="D853" s="293" t="str">
        <f t="shared" si="1784"/>
        <v>03:00 001/p1</v>
      </c>
      <c r="E853" s="293" t="str">
        <f t="shared" si="1784"/>
        <v>04:00 001/p1</v>
      </c>
      <c r="F853" s="293" t="str">
        <f t="shared" si="1784"/>
        <v>05:00 001/p1</v>
      </c>
      <c r="G853" s="293" t="str">
        <f t="shared" si="1784"/>
        <v>06:00 001/p1</v>
      </c>
      <c r="H853" s="293" t="str">
        <f t="shared" ref="H853:I853" si="1785">TEXT(IF($B853=0," ",$B853+H$6),"hh:mm am/pm")</f>
        <v>13:00 001/p1</v>
      </c>
      <c r="I853" s="293" t="str">
        <f t="shared" si="1785"/>
        <v>18:00 001/p1</v>
      </c>
      <c r="J853" s="294" t="s">
        <v>321</v>
      </c>
      <c r="K853" s="295"/>
      <c r="L853" s="337" t="s">
        <v>119</v>
      </c>
      <c r="M853" s="338" t="s">
        <v>71</v>
      </c>
      <c r="N853" s="339" t="s">
        <v>57</v>
      </c>
      <c r="O853" s="340" t="s">
        <v>74</v>
      </c>
      <c r="P853" s="341" t="s">
        <v>75</v>
      </c>
      <c r="Q853" s="342">
        <v>1000</v>
      </c>
      <c r="R853" s="343" t="s">
        <v>60</v>
      </c>
      <c r="S853" s="344"/>
      <c r="T853" s="345" t="s">
        <v>77</v>
      </c>
      <c r="U853" s="339" t="s">
        <v>78</v>
      </c>
      <c r="V853" s="339">
        <v>4</v>
      </c>
      <c r="W853" s="339">
        <v>4</v>
      </c>
      <c r="X853" s="354"/>
      <c r="Y853" s="347" t="s">
        <v>79</v>
      </c>
      <c r="Z853" s="339">
        <v>6</v>
      </c>
      <c r="AA853" s="348">
        <v>250000</v>
      </c>
      <c r="AB853" s="348" t="s">
        <v>65</v>
      </c>
      <c r="AC853" s="349">
        <v>0.1</v>
      </c>
      <c r="AD853" s="349">
        <v>0.02</v>
      </c>
      <c r="AE853" s="345" t="s">
        <v>88</v>
      </c>
      <c r="AF853" s="346">
        <v>50000</v>
      </c>
      <c r="AG853" s="350">
        <v>10</v>
      </c>
      <c r="AH853" s="350">
        <v>8</v>
      </c>
      <c r="AI853" s="350">
        <v>8</v>
      </c>
      <c r="AJ853" s="345">
        <v>15</v>
      </c>
      <c r="AK853" s="352" t="s">
        <v>67</v>
      </c>
      <c r="AL853" s="352" t="s">
        <v>68</v>
      </c>
      <c r="AM853" s="353" t="s">
        <v>69</v>
      </c>
      <c r="AN853" s="353" t="s">
        <v>70</v>
      </c>
      <c r="AO853" s="314">
        <f t="shared" si="1723"/>
        <v>0.402789351851852</v>
      </c>
      <c r="AP853" s="315">
        <f t="shared" si="1724"/>
        <v>285</v>
      </c>
      <c r="AQ853" s="316" t="str">
        <f t="shared" si="1725"/>
        <v>MICRO</v>
      </c>
    </row>
    <row r="854" ht="29.25" customHeight="1" outlineLevel="1" spans="1:43">
      <c r="B854" s="317">
        <v>0.298622685185185</v>
      </c>
      <c r="C854" s="293" t="str">
        <f t="shared" ref="C854:G854" si="1786">TEXT(IF($B854=0," ",$B854-C$6),"hh:mm am/pm")</f>
        <v>05:10 001/p1</v>
      </c>
      <c r="D854" s="293" t="str">
        <f t="shared" si="1786"/>
        <v>03:10 001/p1</v>
      </c>
      <c r="E854" s="293" t="str">
        <f t="shared" si="1786"/>
        <v>04:10 001/p1</v>
      </c>
      <c r="F854" s="293" t="str">
        <f t="shared" si="1786"/>
        <v>05:10 001/p1</v>
      </c>
      <c r="G854" s="293" t="str">
        <f t="shared" si="1786"/>
        <v>06:10 001/p1</v>
      </c>
      <c r="H854" s="293" t="str">
        <f t="shared" ref="H854:I854" si="1787">TEXT(IF($B854=0," ",$B854+H$6),"hh:mm am/pm")</f>
        <v>13:10 001/p1</v>
      </c>
      <c r="I854" s="293" t="str">
        <f t="shared" si="1787"/>
        <v>18:10 001/p1</v>
      </c>
      <c r="J854" s="294" t="s">
        <v>137</v>
      </c>
      <c r="K854" s="295"/>
      <c r="L854" s="319" t="s">
        <v>129</v>
      </c>
      <c r="M854" s="320" t="s">
        <v>71</v>
      </c>
      <c r="N854" s="321" t="s">
        <v>100</v>
      </c>
      <c r="O854" s="322" t="s">
        <v>74</v>
      </c>
      <c r="P854" s="323" t="s">
        <v>101</v>
      </c>
      <c r="Q854" s="324">
        <v>100</v>
      </c>
      <c r="R854" s="375" t="s">
        <v>60</v>
      </c>
      <c r="S854" s="326"/>
      <c r="T854" s="327" t="s">
        <v>61</v>
      </c>
      <c r="U854" s="321" t="s">
        <v>62</v>
      </c>
      <c r="V854" s="321">
        <v>1</v>
      </c>
      <c r="W854" s="321">
        <v>1</v>
      </c>
      <c r="X854" s="328"/>
      <c r="Y854" s="329" t="s">
        <v>79</v>
      </c>
      <c r="Z854" s="321">
        <v>1</v>
      </c>
      <c r="AA854" s="330">
        <v>75000</v>
      </c>
      <c r="AB854" s="330" t="s">
        <v>65</v>
      </c>
      <c r="AC854" s="331">
        <v>0.1</v>
      </c>
      <c r="AD854" s="331">
        <v>0</v>
      </c>
      <c r="AE854" s="327" t="s">
        <v>88</v>
      </c>
      <c r="AF854" s="332">
        <v>30000</v>
      </c>
      <c r="AG854" s="333">
        <v>5</v>
      </c>
      <c r="AH854" s="333">
        <v>5</v>
      </c>
      <c r="AI854" s="333">
        <v>5</v>
      </c>
      <c r="AJ854" s="327">
        <v>12</v>
      </c>
      <c r="AK854" s="335" t="s">
        <v>67</v>
      </c>
      <c r="AL854" s="335" t="s">
        <v>68</v>
      </c>
      <c r="AM854" s="336" t="s">
        <v>69</v>
      </c>
      <c r="AN854" s="336" t="s">
        <v>70</v>
      </c>
      <c r="AO854" s="314">
        <f t="shared" si="1723"/>
        <v>0.343761574074074</v>
      </c>
      <c r="AP854" s="315">
        <f t="shared" si="1724"/>
        <v>112</v>
      </c>
      <c r="AQ854" s="316" t="str">
        <f t="shared" si="1725"/>
        <v>MICRO</v>
      </c>
    </row>
    <row r="855" ht="29.25" customHeight="1" outlineLevel="1" spans="1:43">
      <c r="B855" s="317">
        <v>0.312511574074074</v>
      </c>
      <c r="C855" s="293" t="str">
        <f t="shared" ref="C855:G855" si="1788">TEXT(IF($B855=0," ",$B855-C$6),"hh:mm am/pm")</f>
        <v>05:30 001/p1</v>
      </c>
      <c r="D855" s="293" t="str">
        <f t="shared" si="1788"/>
        <v>03:30 001/p1</v>
      </c>
      <c r="E855" s="293" t="str">
        <f t="shared" si="1788"/>
        <v>04:30 001/p1</v>
      </c>
      <c r="F855" s="293" t="str">
        <f t="shared" si="1788"/>
        <v>05:30 001/p1</v>
      </c>
      <c r="G855" s="293" t="str">
        <f t="shared" si="1788"/>
        <v>06:30 001/p1</v>
      </c>
      <c r="H855" s="293" t="str">
        <f t="shared" ref="H855:I855" si="1789">TEXT(IF($B855=0," ",$B855+H$6),"hh:mm am/pm")</f>
        <v>13:30 001/p1</v>
      </c>
      <c r="I855" s="293" t="str">
        <f t="shared" si="1789"/>
        <v>18:30 001/p1</v>
      </c>
      <c r="J855" s="294" t="s">
        <v>239</v>
      </c>
      <c r="K855" s="295"/>
      <c r="L855" s="337" t="s">
        <v>240</v>
      </c>
      <c r="M855" s="338" t="s">
        <v>71</v>
      </c>
      <c r="N855" s="339" t="s">
        <v>57</v>
      </c>
      <c r="O855" s="340" t="s">
        <v>109</v>
      </c>
      <c r="P855" s="341" t="s">
        <v>59</v>
      </c>
      <c r="Q855" s="342">
        <v>100</v>
      </c>
      <c r="R855" s="343" t="s">
        <v>60</v>
      </c>
      <c r="S855" s="344"/>
      <c r="T855" s="345" t="s">
        <v>61</v>
      </c>
      <c r="U855" s="339" t="s">
        <v>62</v>
      </c>
      <c r="V855" s="339">
        <v>1</v>
      </c>
      <c r="W855" s="339">
        <v>1</v>
      </c>
      <c r="X855" s="354"/>
      <c r="Y855" s="347" t="s">
        <v>63</v>
      </c>
      <c r="Z855" s="344"/>
      <c r="AA855" s="348" t="s">
        <v>64</v>
      </c>
      <c r="AB855" s="348" t="s">
        <v>65</v>
      </c>
      <c r="AC855" s="349">
        <v>0.1</v>
      </c>
      <c r="AD855" s="349">
        <v>0</v>
      </c>
      <c r="AE855" s="345" t="s">
        <v>66</v>
      </c>
      <c r="AF855" s="346">
        <v>40000</v>
      </c>
      <c r="AG855" s="350">
        <v>8</v>
      </c>
      <c r="AH855" s="350">
        <v>7</v>
      </c>
      <c r="AI855" s="350">
        <v>6</v>
      </c>
      <c r="AJ855" s="345">
        <v>14</v>
      </c>
      <c r="AK855" s="352" t="s">
        <v>67</v>
      </c>
      <c r="AL855" s="352" t="s">
        <v>68</v>
      </c>
      <c r="AM855" s="353" t="s">
        <v>69</v>
      </c>
      <c r="AN855" s="353" t="s">
        <v>70</v>
      </c>
      <c r="AO855" s="314">
        <f t="shared" si="1723"/>
        <v>0.393761574074074</v>
      </c>
      <c r="AP855" s="315">
        <f t="shared" si="1724"/>
        <v>112</v>
      </c>
      <c r="AQ855" s="316" t="str">
        <f t="shared" si="1725"/>
        <v>MICRO</v>
      </c>
    </row>
    <row r="856" ht="29.25" customHeight="1" outlineLevel="1" spans="1:43">
      <c r="A856" s="363" t="s">
        <v>438</v>
      </c>
      <c r="B856" s="317">
        <v>0.322928240740741</v>
      </c>
      <c r="C856" s="293" t="str">
        <f t="shared" ref="C856:G856" si="1790">TEXT(IF($B856=0," ",$B856-C$6),"hh:mm am/pm")</f>
        <v>05:45 001/p1</v>
      </c>
      <c r="D856" s="293" t="str">
        <f t="shared" si="1790"/>
        <v>03:45 001/p1</v>
      </c>
      <c r="E856" s="293" t="str">
        <f t="shared" si="1790"/>
        <v>04:45 001/p1</v>
      </c>
      <c r="F856" s="293" t="str">
        <f t="shared" si="1790"/>
        <v>05:45 001/p1</v>
      </c>
      <c r="G856" s="293" t="str">
        <f t="shared" si="1790"/>
        <v>06:45 001/p1</v>
      </c>
      <c r="H856" s="293" t="str">
        <f t="shared" ref="H856:I856" si="1791">TEXT(IF($B856=0," ",$B856+H$6),"hh:mm am/pm")</f>
        <v>13:45 001/p1</v>
      </c>
      <c r="I856" s="293" t="str">
        <f t="shared" si="1791"/>
        <v>18:45 001/p1</v>
      </c>
      <c r="J856" s="537" t="s">
        <v>138</v>
      </c>
      <c r="K856" s="295"/>
      <c r="L856" s="319" t="s">
        <v>139</v>
      </c>
      <c r="M856" s="320" t="s">
        <v>71</v>
      </c>
      <c r="N856" s="321" t="s">
        <v>122</v>
      </c>
      <c r="O856" s="322" t="s">
        <v>82</v>
      </c>
      <c r="P856" s="323" t="s">
        <v>101</v>
      </c>
      <c r="Q856" s="324">
        <v>300</v>
      </c>
      <c r="R856" s="375" t="s">
        <v>60</v>
      </c>
      <c r="S856" s="326"/>
      <c r="T856" s="327" t="s">
        <v>61</v>
      </c>
      <c r="U856" s="321" t="s">
        <v>62</v>
      </c>
      <c r="V856" s="321">
        <v>3</v>
      </c>
      <c r="W856" s="321">
        <v>3</v>
      </c>
      <c r="X856" s="328"/>
      <c r="Y856" s="329" t="s">
        <v>63</v>
      </c>
      <c r="Z856" s="326"/>
      <c r="AA856" s="330" t="s">
        <v>64</v>
      </c>
      <c r="AB856" s="330" t="s">
        <v>65</v>
      </c>
      <c r="AC856" s="331">
        <v>0.1</v>
      </c>
      <c r="AD856" s="331">
        <v>0.02</v>
      </c>
      <c r="AE856" s="327" t="s">
        <v>66</v>
      </c>
      <c r="AF856" s="332">
        <v>40000</v>
      </c>
      <c r="AG856" s="333">
        <v>10</v>
      </c>
      <c r="AH856" s="333">
        <v>8</v>
      </c>
      <c r="AI856" s="333">
        <v>8</v>
      </c>
      <c r="AJ856" s="327">
        <v>14</v>
      </c>
      <c r="AK856" s="335" t="s">
        <v>67</v>
      </c>
      <c r="AL856" s="335" t="s">
        <v>68</v>
      </c>
      <c r="AM856" s="336" t="s">
        <v>69</v>
      </c>
      <c r="AN856" s="336" t="s">
        <v>70</v>
      </c>
      <c r="AO856" s="314">
        <f t="shared" si="1723"/>
        <v>0.427094907407407</v>
      </c>
      <c r="AP856" s="315">
        <f t="shared" si="1724"/>
        <v>114</v>
      </c>
      <c r="AQ856" s="316" t="str">
        <f t="shared" si="1725"/>
        <v>MICRO</v>
      </c>
    </row>
    <row r="857" ht="29.25" customHeight="1" outlineLevel="1" spans="1:43">
      <c r="B857" s="317">
        <v>0.333344907407407</v>
      </c>
      <c r="C857" s="293" t="str">
        <f t="shared" ref="C857:G857" si="1792">TEXT(IF($B857=0," ",$B857-C$6),"hh:mm am/pm")</f>
        <v>06:00 001/p1</v>
      </c>
      <c r="D857" s="293" t="str">
        <f t="shared" si="1792"/>
        <v>04:00 001/p1</v>
      </c>
      <c r="E857" s="293" t="str">
        <f t="shared" si="1792"/>
        <v>05:00 001/p1</v>
      </c>
      <c r="F857" s="293" t="str">
        <f t="shared" si="1792"/>
        <v>06:00 001/p1</v>
      </c>
      <c r="G857" s="293" t="str">
        <f t="shared" si="1792"/>
        <v>07:00 001/p1</v>
      </c>
      <c r="H857" s="293" t="str">
        <f t="shared" ref="H857:I857" si="1793">TEXT(IF($B857=0," ",$B857+H$6),"hh:mm am/pm")</f>
        <v>14:00 001/p1</v>
      </c>
      <c r="I857" s="293" t="str">
        <f t="shared" si="1793"/>
        <v>19:00 001/p1</v>
      </c>
      <c r="J857" s="537" t="s">
        <v>140</v>
      </c>
      <c r="K857" s="295"/>
      <c r="L857" s="337" t="s">
        <v>119</v>
      </c>
      <c r="M857" s="338" t="s">
        <v>71</v>
      </c>
      <c r="N857" s="339" t="s">
        <v>57</v>
      </c>
      <c r="O857" s="340" t="s">
        <v>74</v>
      </c>
      <c r="P857" s="341" t="s">
        <v>75</v>
      </c>
      <c r="Q857" s="342">
        <v>500</v>
      </c>
      <c r="R857" s="343" t="s">
        <v>60</v>
      </c>
      <c r="S857" s="344"/>
      <c r="T857" s="345" t="s">
        <v>115</v>
      </c>
      <c r="U857" s="339" t="s">
        <v>62</v>
      </c>
      <c r="V857" s="339">
        <v>1</v>
      </c>
      <c r="W857" s="339">
        <v>1</v>
      </c>
      <c r="X857" s="354"/>
      <c r="Y857" s="347" t="s">
        <v>79</v>
      </c>
      <c r="Z857" s="339">
        <v>1</v>
      </c>
      <c r="AA857" s="348">
        <v>100000</v>
      </c>
      <c r="AB857" s="348" t="s">
        <v>65</v>
      </c>
      <c r="AC857" s="349">
        <v>0.1</v>
      </c>
      <c r="AD857" s="349">
        <v>0.02</v>
      </c>
      <c r="AE857" s="345" t="s">
        <v>66</v>
      </c>
      <c r="AF857" s="346">
        <v>40000</v>
      </c>
      <c r="AG857" s="350">
        <v>8</v>
      </c>
      <c r="AH857" s="350">
        <v>7</v>
      </c>
      <c r="AI857" s="350">
        <v>7</v>
      </c>
      <c r="AJ857" s="345">
        <v>15</v>
      </c>
      <c r="AK857" s="352" t="s">
        <v>67</v>
      </c>
      <c r="AL857" s="352" t="s">
        <v>68</v>
      </c>
      <c r="AM857" s="353" t="s">
        <v>69</v>
      </c>
      <c r="AN857" s="353" t="s">
        <v>70</v>
      </c>
      <c r="AO857" s="314">
        <f t="shared" si="1723"/>
        <v>0.423622685185185</v>
      </c>
      <c r="AP857" s="315">
        <f t="shared" si="1724"/>
        <v>569</v>
      </c>
      <c r="AQ857" s="316" t="str">
        <f t="shared" si="1725"/>
        <v>MICRO</v>
      </c>
    </row>
    <row r="858" ht="29.25" customHeight="1" outlineLevel="1" spans="1:43">
      <c r="A858" s="363" t="s">
        <v>438</v>
      </c>
      <c r="B858" s="317">
        <v>0.375011574074074</v>
      </c>
      <c r="C858" s="293" t="str">
        <f t="shared" ref="C858:G858" si="1794">TEXT(IF($B858=0," ",$B858-C$6),"hh:mm am/pm")</f>
        <v>07:00 001/p1</v>
      </c>
      <c r="D858" s="293" t="str">
        <f t="shared" si="1794"/>
        <v>05:00 001/p1</v>
      </c>
      <c r="E858" s="293" t="str">
        <f t="shared" si="1794"/>
        <v>06:00 001/p1</v>
      </c>
      <c r="F858" s="293" t="str">
        <f t="shared" si="1794"/>
        <v>07:00 001/p1</v>
      </c>
      <c r="G858" s="293" t="str">
        <f t="shared" si="1794"/>
        <v>08:00 001/p1</v>
      </c>
      <c r="H858" s="293" t="str">
        <f t="shared" ref="H858:I858" si="1795">TEXT(IF($B858=0," ",$B858+H$6),"hh:mm am/pm")</f>
        <v>15:00 001/p1</v>
      </c>
      <c r="I858" s="293" t="str">
        <f t="shared" si="1795"/>
        <v>20:00 001/p1</v>
      </c>
      <c r="J858" s="294" t="s">
        <v>457</v>
      </c>
      <c r="K858" s="295"/>
      <c r="L858" s="319" t="s">
        <v>133</v>
      </c>
      <c r="M858" s="320" t="s">
        <v>71</v>
      </c>
      <c r="N858" s="321" t="s">
        <v>57</v>
      </c>
      <c r="O858" s="322" t="s">
        <v>58</v>
      </c>
      <c r="P858" s="323" t="s">
        <v>59</v>
      </c>
      <c r="Q858" s="324">
        <v>160</v>
      </c>
      <c r="R858" s="375" t="s">
        <v>60</v>
      </c>
      <c r="S858" s="326"/>
      <c r="T858" s="327" t="s">
        <v>61</v>
      </c>
      <c r="U858" s="321" t="s">
        <v>62</v>
      </c>
      <c r="V858" s="321">
        <v>1.5</v>
      </c>
      <c r="W858" s="321">
        <v>1.5</v>
      </c>
      <c r="X858" s="332">
        <v>60000</v>
      </c>
      <c r="Y858" s="332" t="s">
        <v>63</v>
      </c>
      <c r="Z858" s="326"/>
      <c r="AA858" s="330" t="s">
        <v>64</v>
      </c>
      <c r="AB858" s="330" t="s">
        <v>65</v>
      </c>
      <c r="AC858" s="331">
        <v>0.1</v>
      </c>
      <c r="AD858" s="331">
        <v>0</v>
      </c>
      <c r="AE858" s="327" t="s">
        <v>66</v>
      </c>
      <c r="AF858" s="332">
        <v>50000</v>
      </c>
      <c r="AG858" s="333">
        <v>8</v>
      </c>
      <c r="AH858" s="333">
        <v>7</v>
      </c>
      <c r="AI858" s="333">
        <v>7</v>
      </c>
      <c r="AJ858" s="327">
        <v>15</v>
      </c>
      <c r="AK858" s="335" t="s">
        <v>67</v>
      </c>
      <c r="AL858" s="335" t="s">
        <v>68</v>
      </c>
      <c r="AM858" s="336" t="s">
        <v>69</v>
      </c>
      <c r="AN858" s="336" t="s">
        <v>70</v>
      </c>
      <c r="AO858" s="314">
        <f t="shared" si="1723"/>
        <v>0.465289351851852</v>
      </c>
      <c r="AP858" s="315">
        <f t="shared" si="1724"/>
        <v>119</v>
      </c>
      <c r="AQ858" s="316" t="str">
        <f t="shared" si="1725"/>
        <v>MICRO</v>
      </c>
    </row>
    <row r="859" ht="29.25" customHeight="1" outlineLevel="1" spans="1:43">
      <c r="B859" s="317">
        <v>0.375011574074074</v>
      </c>
      <c r="C859" s="293" t="str">
        <f t="shared" ref="C859:G859" si="1796">TEXT(IF($B859=0," ",$B859-C$6),"hh:mm am/pm")</f>
        <v>07:00 001/p1</v>
      </c>
      <c r="D859" s="293" t="str">
        <f t="shared" si="1796"/>
        <v>05:00 001/p1</v>
      </c>
      <c r="E859" s="293" t="str">
        <f t="shared" si="1796"/>
        <v>06:00 001/p1</v>
      </c>
      <c r="F859" s="293" t="str">
        <f t="shared" si="1796"/>
        <v>07:00 001/p1</v>
      </c>
      <c r="G859" s="293" t="str">
        <f t="shared" si="1796"/>
        <v>08:00 001/p1</v>
      </c>
      <c r="H859" s="293" t="str">
        <f t="shared" ref="H859:I859" si="1797">TEXT(IF($B859=0," ",$B859+H$6),"hh:mm am/pm")</f>
        <v>15:00 001/p1</v>
      </c>
      <c r="I859" s="293" t="str">
        <f t="shared" si="1797"/>
        <v>20:00 001/p1</v>
      </c>
      <c r="J859" s="537" t="s">
        <v>137</v>
      </c>
      <c r="K859" s="295"/>
      <c r="L859" s="337" t="s">
        <v>129</v>
      </c>
      <c r="M859" s="338" t="s">
        <v>71</v>
      </c>
      <c r="N859" s="339" t="s">
        <v>122</v>
      </c>
      <c r="O859" s="340" t="s">
        <v>74</v>
      </c>
      <c r="P859" s="341" t="s">
        <v>101</v>
      </c>
      <c r="Q859" s="342">
        <v>100</v>
      </c>
      <c r="R859" s="343" t="s">
        <v>60</v>
      </c>
      <c r="S859" s="344"/>
      <c r="T859" s="345" t="s">
        <v>61</v>
      </c>
      <c r="U859" s="339" t="s">
        <v>62</v>
      </c>
      <c r="V859" s="339">
        <v>1</v>
      </c>
      <c r="W859" s="339">
        <v>1</v>
      </c>
      <c r="X859" s="354"/>
      <c r="Y859" s="347" t="s">
        <v>79</v>
      </c>
      <c r="Z859" s="339">
        <v>1</v>
      </c>
      <c r="AA859" s="348">
        <v>75000</v>
      </c>
      <c r="AB859" s="348" t="s">
        <v>65</v>
      </c>
      <c r="AC859" s="349">
        <v>0.1</v>
      </c>
      <c r="AD859" s="349">
        <v>0</v>
      </c>
      <c r="AE859" s="345" t="s">
        <v>88</v>
      </c>
      <c r="AF859" s="346">
        <v>30000</v>
      </c>
      <c r="AG859" s="350">
        <v>6</v>
      </c>
      <c r="AH859" s="350">
        <v>5</v>
      </c>
      <c r="AI859" s="350">
        <v>5</v>
      </c>
      <c r="AJ859" s="345">
        <v>12</v>
      </c>
      <c r="AK859" s="352" t="s">
        <v>67</v>
      </c>
      <c r="AL859" s="352" t="s">
        <v>68</v>
      </c>
      <c r="AM859" s="353" t="s">
        <v>69</v>
      </c>
      <c r="AN859" s="353" t="s">
        <v>70</v>
      </c>
      <c r="AO859" s="314">
        <f t="shared" si="1723"/>
        <v>0.428483796296296</v>
      </c>
      <c r="AP859" s="315">
        <f t="shared" si="1724"/>
        <v>112</v>
      </c>
      <c r="AQ859" s="316" t="str">
        <f t="shared" si="1725"/>
        <v>MICRO</v>
      </c>
    </row>
    <row r="860" ht="29.25" customHeight="1" outlineLevel="1" spans="1:43">
      <c r="B860" s="317">
        <v>0.416678240740741</v>
      </c>
      <c r="C860" s="293" t="str">
        <f t="shared" ref="C860:G860" si="1798">TEXT(IF($B860=0," ",$B860-C$6),"hh:mm am/pm")</f>
        <v>08:00 001/p1</v>
      </c>
      <c r="D860" s="293" t="str">
        <f t="shared" si="1798"/>
        <v>06:00 001/p1</v>
      </c>
      <c r="E860" s="293" t="str">
        <f t="shared" si="1798"/>
        <v>07:00 001/p1</v>
      </c>
      <c r="F860" s="293" t="str">
        <f t="shared" si="1798"/>
        <v>08:00 001/p1</v>
      </c>
      <c r="G860" s="293" t="str">
        <f t="shared" si="1798"/>
        <v>09:00 001/p1</v>
      </c>
      <c r="H860" s="293" t="str">
        <f t="shared" ref="H860:I860" si="1799">TEXT(IF($B860=0," ",$B860+H$6),"hh:mm am/pm")</f>
        <v>16:00 001/p1</v>
      </c>
      <c r="I860" s="293" t="str">
        <f t="shared" si="1799"/>
        <v>21:00 001/p1</v>
      </c>
      <c r="J860" s="537" t="s">
        <v>125</v>
      </c>
      <c r="K860" s="295"/>
      <c r="L860" s="319" t="s">
        <v>126</v>
      </c>
      <c r="M860" s="320" t="s">
        <v>71</v>
      </c>
      <c r="N860" s="321" t="s">
        <v>57</v>
      </c>
      <c r="O860" s="322" t="s">
        <v>144</v>
      </c>
      <c r="P860" s="323" t="s">
        <v>59</v>
      </c>
      <c r="Q860" s="324">
        <v>1000</v>
      </c>
      <c r="R860" s="375" t="s">
        <v>60</v>
      </c>
      <c r="S860" s="326"/>
      <c r="T860" s="327" t="s">
        <v>61</v>
      </c>
      <c r="U860" s="321" t="s">
        <v>62</v>
      </c>
      <c r="V860" s="321">
        <v>6</v>
      </c>
      <c r="W860" s="321">
        <v>6</v>
      </c>
      <c r="X860" s="328"/>
      <c r="Y860" s="329" t="s">
        <v>63</v>
      </c>
      <c r="Z860" s="326"/>
      <c r="AA860" s="330" t="s">
        <v>64</v>
      </c>
      <c r="AB860" s="330" t="s">
        <v>65</v>
      </c>
      <c r="AC860" s="331">
        <v>0.1</v>
      </c>
      <c r="AD860" s="331">
        <v>0.02</v>
      </c>
      <c r="AE860" s="327" t="s">
        <v>66</v>
      </c>
      <c r="AF860" s="332">
        <v>40000</v>
      </c>
      <c r="AG860" s="333">
        <v>10</v>
      </c>
      <c r="AH860" s="333">
        <v>8</v>
      </c>
      <c r="AI860" s="333">
        <v>8</v>
      </c>
      <c r="AJ860" s="327">
        <v>14</v>
      </c>
      <c r="AK860" s="335" t="s">
        <v>67</v>
      </c>
      <c r="AL860" s="335" t="s">
        <v>68</v>
      </c>
      <c r="AM860" s="336" t="s">
        <v>69</v>
      </c>
      <c r="AN860" s="336" t="s">
        <v>70</v>
      </c>
      <c r="AO860" s="314">
        <f t="shared" si="1723"/>
        <v>0.520844907407407</v>
      </c>
      <c r="AP860" s="315">
        <f t="shared" si="1724"/>
        <v>190</v>
      </c>
      <c r="AQ860" s="316" t="str">
        <f t="shared" si="1725"/>
        <v>LOW</v>
      </c>
    </row>
    <row r="861" ht="29.25" customHeight="1" outlineLevel="1" spans="1:43">
      <c r="A861" s="363" t="s">
        <v>438</v>
      </c>
      <c r="B861" s="317">
        <v>0.416678240740741</v>
      </c>
      <c r="C861" s="293" t="str">
        <f t="shared" ref="C861:G861" si="1800">TEXT(IF($B861=0," ",$B861-C$6),"hh:mm am/pm")</f>
        <v>08:00 001/p1</v>
      </c>
      <c r="D861" s="293" t="str">
        <f t="shared" si="1800"/>
        <v>06:00 001/p1</v>
      </c>
      <c r="E861" s="293" t="str">
        <f t="shared" si="1800"/>
        <v>07:00 001/p1</v>
      </c>
      <c r="F861" s="293" t="str">
        <f t="shared" si="1800"/>
        <v>08:00 001/p1</v>
      </c>
      <c r="G861" s="293" t="str">
        <f t="shared" si="1800"/>
        <v>09:00 001/p1</v>
      </c>
      <c r="H861" s="293" t="str">
        <f t="shared" ref="H861:I861" si="1801">TEXT(IF($B861=0," ",$B861+H$6),"hh:mm am/pm")</f>
        <v>16:00 001/p1</v>
      </c>
      <c r="I861" s="293" t="str">
        <f t="shared" si="1801"/>
        <v>21:00 001/p1</v>
      </c>
      <c r="J861" s="318" t="s">
        <v>314</v>
      </c>
      <c r="K861" s="295"/>
      <c r="L861" s="337" t="s">
        <v>315</v>
      </c>
      <c r="M861" s="338" t="s">
        <v>71</v>
      </c>
      <c r="N861" s="339" t="s">
        <v>57</v>
      </c>
      <c r="O861" s="340" t="s">
        <v>74</v>
      </c>
      <c r="P861" s="341" t="s">
        <v>75</v>
      </c>
      <c r="Q861" s="342">
        <v>330</v>
      </c>
      <c r="R861" s="377" t="s">
        <v>181</v>
      </c>
      <c r="S861" s="344"/>
      <c r="T861" s="345" t="s">
        <v>115</v>
      </c>
      <c r="U861" s="339" t="s">
        <v>62</v>
      </c>
      <c r="V861" s="339">
        <v>0.4</v>
      </c>
      <c r="W861" s="339">
        <v>0.4</v>
      </c>
      <c r="X861" s="354"/>
      <c r="Y861" s="347" t="s">
        <v>79</v>
      </c>
      <c r="Z861" s="339">
        <v>0.6</v>
      </c>
      <c r="AA861" s="348">
        <v>80000</v>
      </c>
      <c r="AB861" s="348" t="s">
        <v>65</v>
      </c>
      <c r="AC861" s="349">
        <v>0.1</v>
      </c>
      <c r="AD861" s="349">
        <v>0</v>
      </c>
      <c r="AE861" s="345" t="s">
        <v>66</v>
      </c>
      <c r="AF861" s="346">
        <v>40000</v>
      </c>
      <c r="AG861" s="350">
        <v>7</v>
      </c>
      <c r="AH861" s="350">
        <v>6</v>
      </c>
      <c r="AI861" s="350">
        <v>6</v>
      </c>
      <c r="AJ861" s="345">
        <v>15</v>
      </c>
      <c r="AK861" s="352" t="s">
        <v>67</v>
      </c>
      <c r="AL861" s="352" t="s">
        <v>68</v>
      </c>
      <c r="AM861" s="353" t="s">
        <v>69</v>
      </c>
      <c r="AN861" s="353" t="s">
        <v>70</v>
      </c>
      <c r="AO861" s="314">
        <f t="shared" si="1723"/>
        <v>0.49306712962963</v>
      </c>
      <c r="AP861" s="315">
        <f t="shared" si="1724"/>
        <v>917</v>
      </c>
      <c r="AQ861" s="316" t="str">
        <f t="shared" si="1725"/>
        <v>MICRO</v>
      </c>
    </row>
    <row r="862" ht="29.25" customHeight="1" outlineLevel="1" spans="1:43">
      <c r="B862" s="317">
        <v>0.437511574074074</v>
      </c>
      <c r="C862" s="293" t="str">
        <f t="shared" ref="C862:G862" si="1802">TEXT(IF($B862=0," ",$B862-C$6),"hh:mm am/pm")</f>
        <v>08:30 001/p1</v>
      </c>
      <c r="D862" s="293" t="str">
        <f t="shared" si="1802"/>
        <v>06:30 001/p1</v>
      </c>
      <c r="E862" s="293" t="str">
        <f t="shared" si="1802"/>
        <v>07:30 001/p1</v>
      </c>
      <c r="F862" s="293" t="str">
        <f t="shared" si="1802"/>
        <v>08:30 001/p1</v>
      </c>
      <c r="G862" s="293" t="str">
        <f t="shared" si="1802"/>
        <v>09:30 001/p1</v>
      </c>
      <c r="H862" s="293" t="str">
        <f t="shared" ref="H862:I862" si="1803">TEXT(IF($B862=0," ",$B862+H$6),"hh:mm am/pm")</f>
        <v>16:30 001/p1</v>
      </c>
      <c r="I862" s="293" t="str">
        <f t="shared" si="1803"/>
        <v>21:30 001/p1</v>
      </c>
      <c r="J862" s="537" t="s">
        <v>146</v>
      </c>
      <c r="K862" s="295"/>
      <c r="L862" s="319" t="s">
        <v>117</v>
      </c>
      <c r="M862" s="320" t="s">
        <v>71</v>
      </c>
      <c r="N862" s="321" t="s">
        <v>100</v>
      </c>
      <c r="O862" s="322" t="s">
        <v>74</v>
      </c>
      <c r="P862" s="323" t="s">
        <v>101</v>
      </c>
      <c r="Q862" s="324">
        <v>400</v>
      </c>
      <c r="R862" s="375" t="s">
        <v>60</v>
      </c>
      <c r="S862" s="326"/>
      <c r="T862" s="327" t="s">
        <v>61</v>
      </c>
      <c r="U862" s="321" t="s">
        <v>62</v>
      </c>
      <c r="V862" s="321">
        <v>3</v>
      </c>
      <c r="W862" s="321">
        <v>3</v>
      </c>
      <c r="X862" s="328"/>
      <c r="Y862" s="329" t="s">
        <v>79</v>
      </c>
      <c r="Z862" s="321">
        <v>3</v>
      </c>
      <c r="AA862" s="330">
        <v>100000</v>
      </c>
      <c r="AB862" s="330" t="s">
        <v>65</v>
      </c>
      <c r="AC862" s="331">
        <v>0.1</v>
      </c>
      <c r="AD862" s="331">
        <v>0.02</v>
      </c>
      <c r="AE862" s="327" t="s">
        <v>88</v>
      </c>
      <c r="AF862" s="332">
        <v>40000</v>
      </c>
      <c r="AG862" s="333">
        <v>8</v>
      </c>
      <c r="AH862" s="333">
        <v>7</v>
      </c>
      <c r="AI862" s="333">
        <v>7</v>
      </c>
      <c r="AJ862" s="327">
        <v>13</v>
      </c>
      <c r="AK862" s="335" t="s">
        <v>67</v>
      </c>
      <c r="AL862" s="335" t="s">
        <v>68</v>
      </c>
      <c r="AM862" s="336" t="s">
        <v>69</v>
      </c>
      <c r="AN862" s="336" t="s">
        <v>70</v>
      </c>
      <c r="AO862" s="314">
        <f t="shared" si="1723"/>
        <v>0.513206018518519</v>
      </c>
      <c r="AP862" s="315">
        <f t="shared" si="1724"/>
        <v>152</v>
      </c>
      <c r="AQ862" s="316" t="str">
        <f t="shared" si="1725"/>
        <v>MICRO</v>
      </c>
    </row>
    <row r="863" ht="29.25" customHeight="1" outlineLevel="1" spans="1:43">
      <c r="B863" s="317">
        <v>0.437511574074074</v>
      </c>
      <c r="C863" s="293" t="str">
        <f t="shared" ref="C863:G863" si="1804">TEXT(IF($B863=0," ",$B863-C$6),"hh:mm am/pm")</f>
        <v>08:30 001/p1</v>
      </c>
      <c r="D863" s="293" t="str">
        <f t="shared" si="1804"/>
        <v>06:30 001/p1</v>
      </c>
      <c r="E863" s="293" t="str">
        <f t="shared" si="1804"/>
        <v>07:30 001/p1</v>
      </c>
      <c r="F863" s="293" t="str">
        <f t="shared" si="1804"/>
        <v>08:30 001/p1</v>
      </c>
      <c r="G863" s="293" t="str">
        <f t="shared" si="1804"/>
        <v>09:30 001/p1</v>
      </c>
      <c r="H863" s="293" t="str">
        <f t="shared" ref="H863:I863" si="1805">TEXT(IF($B863=0," ",$B863+H$6),"hh:mm am/pm")</f>
        <v>16:30 001/p1</v>
      </c>
      <c r="I863" s="293" t="str">
        <f t="shared" si="1805"/>
        <v>21:30 001/p1</v>
      </c>
      <c r="J863" s="537" t="s">
        <v>319</v>
      </c>
      <c r="K863" s="295"/>
      <c r="L863" s="337" t="s">
        <v>240</v>
      </c>
      <c r="M863" s="338" t="s">
        <v>71</v>
      </c>
      <c r="N863" s="339" t="s">
        <v>57</v>
      </c>
      <c r="O863" s="340" t="s">
        <v>109</v>
      </c>
      <c r="P863" s="341" t="s">
        <v>59</v>
      </c>
      <c r="Q863" s="342">
        <v>80</v>
      </c>
      <c r="R863" s="343" t="s">
        <v>60</v>
      </c>
      <c r="S863" s="344"/>
      <c r="T863" s="345" t="s">
        <v>61</v>
      </c>
      <c r="U863" s="339" t="s">
        <v>62</v>
      </c>
      <c r="V863" s="339">
        <v>0.4</v>
      </c>
      <c r="W863" s="339">
        <v>0.4</v>
      </c>
      <c r="X863" s="354"/>
      <c r="Y863" s="347" t="s">
        <v>63</v>
      </c>
      <c r="Z863" s="344"/>
      <c r="AA863" s="348" t="s">
        <v>64</v>
      </c>
      <c r="AB863" s="348" t="s">
        <v>65</v>
      </c>
      <c r="AC863" s="349">
        <v>0.1</v>
      </c>
      <c r="AD863" s="349">
        <v>0</v>
      </c>
      <c r="AE863" s="345" t="s">
        <v>88</v>
      </c>
      <c r="AF863" s="346">
        <v>40000</v>
      </c>
      <c r="AG863" s="350">
        <v>7</v>
      </c>
      <c r="AH863" s="350">
        <v>6</v>
      </c>
      <c r="AI863" s="350">
        <v>6</v>
      </c>
      <c r="AJ863" s="345">
        <v>12</v>
      </c>
      <c r="AK863" s="352" t="s">
        <v>67</v>
      </c>
      <c r="AL863" s="352" t="s">
        <v>68</v>
      </c>
      <c r="AM863" s="353" t="s">
        <v>69</v>
      </c>
      <c r="AN863" s="353" t="s">
        <v>70</v>
      </c>
      <c r="AO863" s="314">
        <f t="shared" si="1723"/>
        <v>0.49931712962963</v>
      </c>
      <c r="AP863" s="315">
        <f t="shared" si="1724"/>
        <v>223</v>
      </c>
      <c r="AQ863" s="316" t="str">
        <f t="shared" si="1725"/>
        <v>MICRO</v>
      </c>
    </row>
    <row r="864" ht="29.25" customHeight="1" outlineLevel="1" spans="1:43">
      <c r="A864" s="363" t="s">
        <v>438</v>
      </c>
      <c r="B864" s="317">
        <v>0.458344907407407</v>
      </c>
      <c r="C864" s="293" t="str">
        <f t="shared" ref="C864:G864" si="1806">TEXT(IF($B864=0," ",$B864-C$6),"hh:mm am/pm")</f>
        <v>09:00 001/p1</v>
      </c>
      <c r="D864" s="293" t="str">
        <f t="shared" si="1806"/>
        <v>07:00 001/p1</v>
      </c>
      <c r="E864" s="293" t="str">
        <f t="shared" si="1806"/>
        <v>08:00 001/p1</v>
      </c>
      <c r="F864" s="293" t="str">
        <f t="shared" si="1806"/>
        <v>09:00 001/p1</v>
      </c>
      <c r="G864" s="293" t="str">
        <f t="shared" si="1806"/>
        <v>10:00 001/p1</v>
      </c>
      <c r="H864" s="293" t="str">
        <f t="shared" ref="H864:I864" si="1807">TEXT(IF($B864=0," ",$B864+H$6),"hh:mm am/pm")</f>
        <v>17:00 001/p1</v>
      </c>
      <c r="I864" s="293" t="str">
        <f t="shared" si="1807"/>
        <v>22:00 001/p1</v>
      </c>
      <c r="J864" s="540" t="s">
        <v>168</v>
      </c>
      <c r="K864" s="295"/>
      <c r="L864" s="319" t="s">
        <v>73</v>
      </c>
      <c r="M864" s="320" t="s">
        <v>71</v>
      </c>
      <c r="N864" s="321" t="s">
        <v>57</v>
      </c>
      <c r="O864" s="322" t="s">
        <v>74</v>
      </c>
      <c r="P864" s="323" t="s">
        <v>75</v>
      </c>
      <c r="Q864" s="324">
        <v>4200</v>
      </c>
      <c r="R864" s="325" t="s">
        <v>76</v>
      </c>
      <c r="S864" s="326"/>
      <c r="T864" s="327" t="s">
        <v>115</v>
      </c>
      <c r="U864" s="321" t="s">
        <v>62</v>
      </c>
      <c r="V864" s="321">
        <v>3</v>
      </c>
      <c r="W864" s="321">
        <v>3</v>
      </c>
      <c r="X864" s="328"/>
      <c r="Y864" s="329" t="s">
        <v>79</v>
      </c>
      <c r="Z864" s="321">
        <v>4</v>
      </c>
      <c r="AA864" s="330">
        <v>120000</v>
      </c>
      <c r="AB864" s="330" t="s">
        <v>65</v>
      </c>
      <c r="AC864" s="331">
        <v>0.1</v>
      </c>
      <c r="AD864" s="331">
        <v>0.02</v>
      </c>
      <c r="AE864" s="327" t="s">
        <v>66</v>
      </c>
      <c r="AF864" s="332">
        <v>40000</v>
      </c>
      <c r="AG864" s="333">
        <v>10</v>
      </c>
      <c r="AH864" s="333">
        <v>8</v>
      </c>
      <c r="AI864" s="333">
        <v>10</v>
      </c>
      <c r="AJ864" s="327">
        <v>14</v>
      </c>
      <c r="AK864" s="335" t="s">
        <v>67</v>
      </c>
      <c r="AL864" s="335" t="s">
        <v>68</v>
      </c>
      <c r="AM864" s="336" t="s">
        <v>69</v>
      </c>
      <c r="AN864" s="336" t="s">
        <v>70</v>
      </c>
      <c r="AO864" s="314">
        <f t="shared" si="1723"/>
        <v>0.562511574074074</v>
      </c>
      <c r="AP864" s="315">
        <f t="shared" si="1724"/>
        <v>1591</v>
      </c>
      <c r="AQ864" s="316" t="str">
        <f t="shared" si="1725"/>
        <v>MICRO</v>
      </c>
    </row>
    <row r="865" ht="29.25" customHeight="1" outlineLevel="1" spans="1:43">
      <c r="B865" s="317">
        <v>0.458344907407407</v>
      </c>
      <c r="C865" s="293" t="str">
        <f t="shared" ref="C865:G865" si="1808">TEXT(IF($B865=0," ",$B865-C$6),"hh:mm am/pm")</f>
        <v>09:00 001/p1</v>
      </c>
      <c r="D865" s="293" t="str">
        <f t="shared" si="1808"/>
        <v>07:00 001/p1</v>
      </c>
      <c r="E865" s="293" t="str">
        <f t="shared" si="1808"/>
        <v>08:00 001/p1</v>
      </c>
      <c r="F865" s="293" t="str">
        <f t="shared" si="1808"/>
        <v>09:00 001/p1</v>
      </c>
      <c r="G865" s="293" t="str">
        <f t="shared" si="1808"/>
        <v>10:00 001/p1</v>
      </c>
      <c r="H865" s="293" t="str">
        <f t="shared" ref="H865:I865" si="1809">TEXT(IF($B865=0," ",$B865+H$6),"hh:mm am/pm")</f>
        <v>17:00 001/p1</v>
      </c>
      <c r="I865" s="293" t="str">
        <f t="shared" si="1809"/>
        <v>22:00 001/p1</v>
      </c>
      <c r="J865" s="294" t="s">
        <v>137</v>
      </c>
      <c r="K865" s="295"/>
      <c r="L865" s="337" t="s">
        <v>129</v>
      </c>
      <c r="M865" s="338" t="s">
        <v>71</v>
      </c>
      <c r="N865" s="339" t="s">
        <v>122</v>
      </c>
      <c r="O865" s="340" t="s">
        <v>74</v>
      </c>
      <c r="P865" s="341" t="s">
        <v>101</v>
      </c>
      <c r="Q865" s="342">
        <v>100</v>
      </c>
      <c r="R865" s="343" t="s">
        <v>60</v>
      </c>
      <c r="S865" s="344"/>
      <c r="T865" s="345" t="s">
        <v>61</v>
      </c>
      <c r="U865" s="339" t="s">
        <v>62</v>
      </c>
      <c r="V865" s="339">
        <v>0.8</v>
      </c>
      <c r="W865" s="339">
        <v>0.8</v>
      </c>
      <c r="X865" s="354"/>
      <c r="Y865" s="347" t="s">
        <v>79</v>
      </c>
      <c r="Z865" s="339">
        <v>0.8</v>
      </c>
      <c r="AA865" s="348">
        <v>80000</v>
      </c>
      <c r="AB865" s="348" t="s">
        <v>65</v>
      </c>
      <c r="AC865" s="349">
        <v>0.1</v>
      </c>
      <c r="AD865" s="349">
        <v>0</v>
      </c>
      <c r="AE865" s="345" t="s">
        <v>88</v>
      </c>
      <c r="AF865" s="346">
        <v>40000</v>
      </c>
      <c r="AG865" s="350">
        <v>8</v>
      </c>
      <c r="AH865" s="350">
        <v>7</v>
      </c>
      <c r="AI865" s="350">
        <v>7</v>
      </c>
      <c r="AJ865" s="345">
        <v>12</v>
      </c>
      <c r="AK865" s="352" t="s">
        <v>67</v>
      </c>
      <c r="AL865" s="352" t="s">
        <v>68</v>
      </c>
      <c r="AM865" s="353" t="s">
        <v>69</v>
      </c>
      <c r="AN865" s="353" t="s">
        <v>70</v>
      </c>
      <c r="AO865" s="314">
        <f t="shared" si="1723"/>
        <v>0.528483796296296</v>
      </c>
      <c r="AP865" s="315">
        <f t="shared" si="1724"/>
        <v>139</v>
      </c>
      <c r="AQ865" s="316" t="str">
        <f t="shared" si="1725"/>
        <v>MICRO</v>
      </c>
    </row>
    <row r="866" ht="29.25" customHeight="1" outlineLevel="1" spans="1:43">
      <c r="B866" s="317">
        <v>0.458344907407407</v>
      </c>
      <c r="C866" s="293" t="str">
        <f t="shared" ref="C866:G866" si="1810">TEXT(IF($B866=0," ",$B866-C$6),"hh:mm am/pm")</f>
        <v>09:00 001/p1</v>
      </c>
      <c r="D866" s="293" t="str">
        <f t="shared" si="1810"/>
        <v>07:00 001/p1</v>
      </c>
      <c r="E866" s="293" t="str">
        <f t="shared" si="1810"/>
        <v>08:00 001/p1</v>
      </c>
      <c r="F866" s="293" t="str">
        <f t="shared" si="1810"/>
        <v>09:00 001/p1</v>
      </c>
      <c r="G866" s="293" t="str">
        <f t="shared" si="1810"/>
        <v>10:00 001/p1</v>
      </c>
      <c r="H866" s="293" t="str">
        <f t="shared" ref="H866:I866" si="1811">TEXT(IF($B866=0," ",$B866+H$6),"hh:mm am/pm")</f>
        <v>17:00 001/p1</v>
      </c>
      <c r="I866" s="293" t="str">
        <f t="shared" si="1811"/>
        <v>22:00 001/p1</v>
      </c>
      <c r="J866" s="537" t="s">
        <v>149</v>
      </c>
      <c r="K866" s="295"/>
      <c r="L866" s="319" t="s">
        <v>149</v>
      </c>
      <c r="M866" s="320" t="s">
        <v>71</v>
      </c>
      <c r="N866" s="321" t="s">
        <v>57</v>
      </c>
      <c r="O866" s="322" t="s">
        <v>74</v>
      </c>
      <c r="P866" s="323" t="s">
        <v>75</v>
      </c>
      <c r="Q866" s="324">
        <v>40</v>
      </c>
      <c r="R866" s="375" t="s">
        <v>60</v>
      </c>
      <c r="S866" s="326"/>
      <c r="T866" s="327" t="s">
        <v>61</v>
      </c>
      <c r="U866" s="321" t="s">
        <v>62</v>
      </c>
      <c r="V866" s="321">
        <v>0.6</v>
      </c>
      <c r="W866" s="321">
        <v>0.6</v>
      </c>
      <c r="X866" s="328"/>
      <c r="Y866" s="329" t="s">
        <v>63</v>
      </c>
      <c r="Z866" s="321">
        <v>0.6</v>
      </c>
      <c r="AA866" s="330">
        <v>30000</v>
      </c>
      <c r="AB866" s="330" t="s">
        <v>65</v>
      </c>
      <c r="AC866" s="331">
        <v>0.1</v>
      </c>
      <c r="AD866" s="331">
        <v>0</v>
      </c>
      <c r="AE866" s="327" t="s">
        <v>112</v>
      </c>
      <c r="AF866" s="332">
        <v>20000</v>
      </c>
      <c r="AG866" s="333">
        <v>5</v>
      </c>
      <c r="AH866" s="333">
        <v>5</v>
      </c>
      <c r="AI866" s="333">
        <v>5</v>
      </c>
      <c r="AJ866" s="327">
        <v>15</v>
      </c>
      <c r="AK866" s="335" t="s">
        <v>150</v>
      </c>
      <c r="AL866" s="335" t="s">
        <v>68</v>
      </c>
      <c r="AM866" s="336" t="s">
        <v>69</v>
      </c>
      <c r="AN866" s="336" t="s">
        <v>70</v>
      </c>
      <c r="AO866" s="314">
        <f t="shared" si="1723"/>
        <v>0.513900462962963</v>
      </c>
      <c r="AP866" s="315">
        <f t="shared" si="1724"/>
        <v>75</v>
      </c>
      <c r="AQ866" s="316" t="str">
        <f t="shared" si="1725"/>
        <v>MICRO</v>
      </c>
    </row>
    <row r="867" ht="29.25" customHeight="1" outlineLevel="1" spans="1:43">
      <c r="A867" s="363" t="s">
        <v>438</v>
      </c>
      <c r="B867" s="317">
        <v>0.500011574074074</v>
      </c>
      <c r="C867" s="293" t="str">
        <f t="shared" ref="C867:G867" si="1812">TEXT(IF($B867=0," ",$B867-C$6),"hh:mm am/pm")</f>
        <v>10:00 001/p1</v>
      </c>
      <c r="D867" s="293" t="str">
        <f t="shared" si="1812"/>
        <v>08:00 001/p1</v>
      </c>
      <c r="E867" s="293" t="str">
        <f t="shared" si="1812"/>
        <v>09:00 001/p1</v>
      </c>
      <c r="F867" s="293" t="str">
        <f t="shared" si="1812"/>
        <v>10:00 001/p1</v>
      </c>
      <c r="G867" s="293" t="str">
        <f t="shared" si="1812"/>
        <v>11:00 001/p1</v>
      </c>
      <c r="H867" s="293" t="str">
        <f t="shared" ref="H867:I867" si="1813">TEXT(IF($B867=0," ",$B867+H$6),"hh:mm am/pm")</f>
        <v>18:00 001/p1</v>
      </c>
      <c r="I867" s="293" t="str">
        <f t="shared" si="1813"/>
        <v>23:00 001/p1</v>
      </c>
      <c r="J867" s="537" t="s">
        <v>458</v>
      </c>
      <c r="K867" s="295"/>
      <c r="L867" s="562" t="s">
        <v>152</v>
      </c>
      <c r="M867" s="338" t="s">
        <v>71</v>
      </c>
      <c r="N867" s="339" t="s">
        <v>57</v>
      </c>
      <c r="O867" s="340" t="s">
        <v>104</v>
      </c>
      <c r="P867" s="341" t="s">
        <v>75</v>
      </c>
      <c r="Q867" s="342">
        <v>1000</v>
      </c>
      <c r="R867" s="343" t="s">
        <v>60</v>
      </c>
      <c r="S867" s="344"/>
      <c r="T867" s="345" t="s">
        <v>61</v>
      </c>
      <c r="U867" s="339" t="s">
        <v>62</v>
      </c>
      <c r="V867" s="339">
        <v>2</v>
      </c>
      <c r="W867" s="339">
        <v>2</v>
      </c>
      <c r="X867" s="354"/>
      <c r="Y867" s="347" t="s">
        <v>63</v>
      </c>
      <c r="Z867" s="344"/>
      <c r="AA867" s="348" t="s">
        <v>64</v>
      </c>
      <c r="AB867" s="348" t="s">
        <v>65</v>
      </c>
      <c r="AC867" s="349">
        <v>0.1</v>
      </c>
      <c r="AD867" s="349">
        <v>0.02</v>
      </c>
      <c r="AE867" s="345" t="s">
        <v>66</v>
      </c>
      <c r="AF867" s="346">
        <v>40000</v>
      </c>
      <c r="AG867" s="350">
        <v>10</v>
      </c>
      <c r="AH867" s="350">
        <v>8</v>
      </c>
      <c r="AI867" s="350">
        <v>8</v>
      </c>
      <c r="AJ867" s="345">
        <v>14</v>
      </c>
      <c r="AK867" s="352" t="s">
        <v>67</v>
      </c>
      <c r="AL867" s="352" t="s">
        <v>68</v>
      </c>
      <c r="AM867" s="353" t="s">
        <v>69</v>
      </c>
      <c r="AN867" s="353" t="s">
        <v>70</v>
      </c>
      <c r="AO867" s="314">
        <f t="shared" si="1723"/>
        <v>0.604178240740741</v>
      </c>
      <c r="AP867" s="315">
        <f t="shared" si="1724"/>
        <v>569</v>
      </c>
      <c r="AQ867" s="316" t="str">
        <f t="shared" si="1725"/>
        <v>MICRO</v>
      </c>
    </row>
    <row r="868" ht="29.25" customHeight="1" outlineLevel="1" spans="1:43">
      <c r="B868" s="317">
        <v>0.500011574074074</v>
      </c>
      <c r="C868" s="293" t="str">
        <f t="shared" ref="C868:G868" si="1814">TEXT(IF($B868=0," ",$B868-C$6),"hh:mm am/pm")</f>
        <v>10:00 001/p1</v>
      </c>
      <c r="D868" s="293" t="str">
        <f t="shared" si="1814"/>
        <v>08:00 001/p1</v>
      </c>
      <c r="E868" s="293" t="str">
        <f t="shared" si="1814"/>
        <v>09:00 001/p1</v>
      </c>
      <c r="F868" s="293" t="str">
        <f t="shared" si="1814"/>
        <v>10:00 001/p1</v>
      </c>
      <c r="G868" s="293" t="str">
        <f t="shared" si="1814"/>
        <v>11:00 001/p1</v>
      </c>
      <c r="H868" s="293" t="str">
        <f t="shared" ref="H868:I868" si="1815">TEXT(IF($B868=0," ",$B868+H$6),"hh:mm am/pm")</f>
        <v>18:00 001/p1</v>
      </c>
      <c r="I868" s="293" t="str">
        <f t="shared" si="1815"/>
        <v>23:00 001/p1</v>
      </c>
      <c r="J868" s="294" t="s">
        <v>134</v>
      </c>
      <c r="K868" s="295"/>
      <c r="L868" s="319" t="s">
        <v>114</v>
      </c>
      <c r="M868" s="320" t="s">
        <v>71</v>
      </c>
      <c r="N868" s="321" t="s">
        <v>57</v>
      </c>
      <c r="O868" s="322" t="s">
        <v>74</v>
      </c>
      <c r="P868" s="323" t="s">
        <v>75</v>
      </c>
      <c r="Q868" s="324">
        <v>200</v>
      </c>
      <c r="R868" s="375" t="s">
        <v>60</v>
      </c>
      <c r="S868" s="326"/>
      <c r="T868" s="327" t="s">
        <v>115</v>
      </c>
      <c r="U868" s="321" t="s">
        <v>62</v>
      </c>
      <c r="V868" s="321">
        <v>0.6</v>
      </c>
      <c r="W868" s="321">
        <v>0.6</v>
      </c>
      <c r="X868" s="328"/>
      <c r="Y868" s="329" t="s">
        <v>79</v>
      </c>
      <c r="Z868" s="321">
        <v>0.6</v>
      </c>
      <c r="AA868" s="330">
        <v>70000</v>
      </c>
      <c r="AB868" s="330" t="s">
        <v>65</v>
      </c>
      <c r="AC868" s="331">
        <v>0.1</v>
      </c>
      <c r="AD868" s="331">
        <v>0</v>
      </c>
      <c r="AE868" s="327" t="s">
        <v>66</v>
      </c>
      <c r="AF868" s="332">
        <v>40000</v>
      </c>
      <c r="AG868" s="333">
        <v>7</v>
      </c>
      <c r="AH868" s="333">
        <v>6</v>
      </c>
      <c r="AI868" s="333">
        <v>6</v>
      </c>
      <c r="AJ868" s="327">
        <v>15</v>
      </c>
      <c r="AK868" s="335" t="s">
        <v>67</v>
      </c>
      <c r="AL868" s="335" t="s">
        <v>68</v>
      </c>
      <c r="AM868" s="336" t="s">
        <v>69</v>
      </c>
      <c r="AN868" s="336" t="s">
        <v>70</v>
      </c>
      <c r="AO868" s="314">
        <f t="shared" si="1723"/>
        <v>0.576400462962963</v>
      </c>
      <c r="AP868" s="315">
        <f t="shared" si="1724"/>
        <v>371</v>
      </c>
      <c r="AQ868" s="316" t="str">
        <f t="shared" si="1725"/>
        <v>MICRO</v>
      </c>
    </row>
    <row r="869" ht="29.25" customHeight="1" outlineLevel="1" spans="1:43">
      <c r="B869" s="317">
        <v>0.500011574074074</v>
      </c>
      <c r="C869" s="293" t="str">
        <f t="shared" ref="C869:G869" si="1816">TEXT(IF($B869=0," ",$B869-C$6),"hh:mm am/pm")</f>
        <v>10:00 001/p1</v>
      </c>
      <c r="D869" s="293" t="str">
        <f t="shared" si="1816"/>
        <v>08:00 001/p1</v>
      </c>
      <c r="E869" s="293" t="str">
        <f t="shared" si="1816"/>
        <v>09:00 001/p1</v>
      </c>
      <c r="F869" s="293" t="str">
        <f t="shared" si="1816"/>
        <v>10:00 001/p1</v>
      </c>
      <c r="G869" s="293" t="str">
        <f t="shared" si="1816"/>
        <v>11:00 001/p1</v>
      </c>
      <c r="H869" s="293" t="str">
        <f t="shared" ref="H869:I869" si="1817">TEXT(IF($B869=0," ",$B869+H$6),"hh:mm am/pm")</f>
        <v>18:00 001/p1</v>
      </c>
      <c r="I869" s="293" t="str">
        <f t="shared" si="1817"/>
        <v>23:00 001/p1</v>
      </c>
      <c r="J869" s="294" t="s">
        <v>123</v>
      </c>
      <c r="K869" s="295"/>
      <c r="L869" s="337" t="s">
        <v>124</v>
      </c>
      <c r="M869" s="338" t="s">
        <v>71</v>
      </c>
      <c r="N869" s="339" t="s">
        <v>100</v>
      </c>
      <c r="O869" s="340" t="s">
        <v>82</v>
      </c>
      <c r="P869" s="341" t="s">
        <v>101</v>
      </c>
      <c r="Q869" s="342">
        <v>100</v>
      </c>
      <c r="R869" s="343" t="s">
        <v>60</v>
      </c>
      <c r="S869" s="344"/>
      <c r="T869" s="345" t="s">
        <v>61</v>
      </c>
      <c r="U869" s="339" t="s">
        <v>62</v>
      </c>
      <c r="V869" s="339">
        <v>0.6</v>
      </c>
      <c r="W869" s="339">
        <v>0.6</v>
      </c>
      <c r="X869" s="354"/>
      <c r="Y869" s="347" t="s">
        <v>63</v>
      </c>
      <c r="Z869" s="344"/>
      <c r="AA869" s="348" t="s">
        <v>64</v>
      </c>
      <c r="AB869" s="348" t="s">
        <v>65</v>
      </c>
      <c r="AC869" s="349">
        <v>0.1</v>
      </c>
      <c r="AD869" s="349">
        <v>0</v>
      </c>
      <c r="AE869" s="345" t="s">
        <v>66</v>
      </c>
      <c r="AF869" s="346">
        <v>50000</v>
      </c>
      <c r="AG869" s="350">
        <v>7</v>
      </c>
      <c r="AH869" s="350">
        <v>6</v>
      </c>
      <c r="AI869" s="350">
        <v>6</v>
      </c>
      <c r="AJ869" s="345">
        <v>15</v>
      </c>
      <c r="AK869" s="352" t="s">
        <v>67</v>
      </c>
      <c r="AL869" s="352" t="s">
        <v>68</v>
      </c>
      <c r="AM869" s="353" t="s">
        <v>69</v>
      </c>
      <c r="AN869" s="353" t="s">
        <v>70</v>
      </c>
      <c r="AO869" s="314">
        <f t="shared" si="1723"/>
        <v>0.576400462962963</v>
      </c>
      <c r="AP869" s="315">
        <f t="shared" si="1724"/>
        <v>186</v>
      </c>
      <c r="AQ869" s="316" t="str">
        <f t="shared" si="1725"/>
        <v>MICRO</v>
      </c>
    </row>
    <row r="870" ht="29.25" customHeight="1" outlineLevel="1" spans="1:43">
      <c r="A870" s="363"/>
      <c r="B870" s="317">
        <v>0.520844907407407</v>
      </c>
      <c r="C870" s="293" t="str">
        <f t="shared" ref="C870:G870" si="1818">TEXT(IF($B870=0," ",$B870-C$6),"hh:mm am/pm")</f>
        <v>10:30 001/p1</v>
      </c>
      <c r="D870" s="293" t="str">
        <f t="shared" si="1818"/>
        <v>08:30 001/p1</v>
      </c>
      <c r="E870" s="293" t="str">
        <f t="shared" si="1818"/>
        <v>09:30 001/p1</v>
      </c>
      <c r="F870" s="293" t="str">
        <f t="shared" si="1818"/>
        <v>10:30 001/p1</v>
      </c>
      <c r="G870" s="293" t="str">
        <f t="shared" si="1818"/>
        <v>11:30 001/p1</v>
      </c>
      <c r="H870" s="293" t="str">
        <f t="shared" ref="H870:I870" si="1819">TEXT(IF($B870=0," ",$B870+H$6),"hh:mm am/pm")</f>
        <v>18:30 001/p1</v>
      </c>
      <c r="I870" s="293" t="str">
        <f t="shared" si="1819"/>
        <v>23:30 001/p1</v>
      </c>
      <c r="J870" s="537" t="s">
        <v>459</v>
      </c>
      <c r="K870" s="295"/>
      <c r="L870" s="319" t="s">
        <v>139</v>
      </c>
      <c r="M870" s="320" t="s">
        <v>71</v>
      </c>
      <c r="N870" s="321" t="s">
        <v>100</v>
      </c>
      <c r="O870" s="322" t="s">
        <v>82</v>
      </c>
      <c r="P870" s="323" t="s">
        <v>101</v>
      </c>
      <c r="Q870" s="324">
        <v>2000</v>
      </c>
      <c r="R870" s="375" t="s">
        <v>60</v>
      </c>
      <c r="S870" s="326"/>
      <c r="T870" s="327" t="s">
        <v>92</v>
      </c>
      <c r="U870" s="321" t="s">
        <v>62</v>
      </c>
      <c r="V870" s="321">
        <v>12</v>
      </c>
      <c r="W870" s="321">
        <v>12</v>
      </c>
      <c r="X870" s="328"/>
      <c r="Y870" s="329" t="s">
        <v>63</v>
      </c>
      <c r="Z870" s="326"/>
      <c r="AA870" s="330" t="s">
        <v>64</v>
      </c>
      <c r="AB870" s="330" t="s">
        <v>65</v>
      </c>
      <c r="AC870" s="331">
        <v>0.1</v>
      </c>
      <c r="AD870" s="331">
        <v>0.02</v>
      </c>
      <c r="AE870" s="327" t="s">
        <v>66</v>
      </c>
      <c r="AF870" s="332">
        <v>50000</v>
      </c>
      <c r="AG870" s="333">
        <v>12</v>
      </c>
      <c r="AH870" s="333">
        <v>10</v>
      </c>
      <c r="AI870" s="333">
        <v>10</v>
      </c>
      <c r="AJ870" s="327">
        <v>15</v>
      </c>
      <c r="AK870" s="335" t="s">
        <v>67</v>
      </c>
      <c r="AL870" s="335" t="s">
        <v>68</v>
      </c>
      <c r="AM870" s="336" t="s">
        <v>69</v>
      </c>
      <c r="AN870" s="336" t="s">
        <v>70</v>
      </c>
      <c r="AO870" s="314">
        <f t="shared" si="1723"/>
        <v>0.656261574074074</v>
      </c>
      <c r="AP870" s="315">
        <f t="shared" si="1724"/>
        <v>190</v>
      </c>
      <c r="AQ870" s="316" t="str">
        <f t="shared" si="1725"/>
        <v>LOW</v>
      </c>
    </row>
    <row r="871" ht="29.25" customHeight="1" outlineLevel="1" spans="1:43">
      <c r="B871" s="317">
        <v>0.541678240740741</v>
      </c>
      <c r="C871" s="293" t="str">
        <f t="shared" ref="C871:G871" si="1820">TEXT(IF($B871=0," ",$B871-C$6),"hh:mm am/pm")</f>
        <v>11:00 001/p1</v>
      </c>
      <c r="D871" s="293" t="str">
        <f t="shared" si="1820"/>
        <v>09:00 001/p1</v>
      </c>
      <c r="E871" s="293" t="str">
        <f t="shared" si="1820"/>
        <v>10:00 001/p1</v>
      </c>
      <c r="F871" s="293" t="str">
        <f t="shared" si="1820"/>
        <v>11:00 001/p1</v>
      </c>
      <c r="G871" s="293" t="str">
        <f t="shared" si="1820"/>
        <v>12:00 001/p1</v>
      </c>
      <c r="H871" s="293" t="str">
        <f t="shared" ref="H871:I871" si="1821">TEXT(IF($B871=0," ",$B871+H$6),"hh:mm am/pm")</f>
        <v>19:00 001/p1</v>
      </c>
      <c r="I871" s="293" t="str">
        <f t="shared" si="1821"/>
        <v>00:00 001/p1</v>
      </c>
      <c r="J871" s="537" t="s">
        <v>390</v>
      </c>
      <c r="K871" s="295"/>
      <c r="L871" s="562" t="s">
        <v>126</v>
      </c>
      <c r="M871" s="338" t="s">
        <v>71</v>
      </c>
      <c r="N871" s="339" t="s">
        <v>57</v>
      </c>
      <c r="O871" s="340" t="s">
        <v>144</v>
      </c>
      <c r="P871" s="341" t="s">
        <v>59</v>
      </c>
      <c r="Q871" s="342">
        <v>4000</v>
      </c>
      <c r="R871" s="343" t="s">
        <v>60</v>
      </c>
      <c r="S871" s="344"/>
      <c r="T871" s="345" t="s">
        <v>61</v>
      </c>
      <c r="U871" s="339" t="s">
        <v>62</v>
      </c>
      <c r="V871" s="339">
        <v>5</v>
      </c>
      <c r="W871" s="339">
        <v>5</v>
      </c>
      <c r="X871" s="354"/>
      <c r="Y871" s="347" t="s">
        <v>63</v>
      </c>
      <c r="Z871" s="344"/>
      <c r="AA871" s="348" t="s">
        <v>64</v>
      </c>
      <c r="AB871" s="348" t="s">
        <v>65</v>
      </c>
      <c r="AC871" s="349">
        <v>0.1</v>
      </c>
      <c r="AD871" s="349">
        <v>0.02</v>
      </c>
      <c r="AE871" s="345" t="s">
        <v>88</v>
      </c>
      <c r="AF871" s="346">
        <v>80000</v>
      </c>
      <c r="AG871" s="350">
        <v>12</v>
      </c>
      <c r="AH871" s="350">
        <v>10</v>
      </c>
      <c r="AI871" s="350">
        <v>10</v>
      </c>
      <c r="AJ871" s="345">
        <v>15</v>
      </c>
      <c r="AK871" s="352" t="s">
        <v>67</v>
      </c>
      <c r="AL871" s="352" t="s">
        <v>68</v>
      </c>
      <c r="AM871" s="353" t="s">
        <v>69</v>
      </c>
      <c r="AN871" s="353" t="s">
        <v>70</v>
      </c>
      <c r="AO871" s="314">
        <f t="shared" si="1723"/>
        <v>0.677094907407407</v>
      </c>
      <c r="AP871" s="315">
        <f t="shared" si="1724"/>
        <v>910</v>
      </c>
      <c r="AQ871" s="316" t="str">
        <f t="shared" si="1725"/>
        <v>MICRO</v>
      </c>
    </row>
    <row r="872" ht="29.25" customHeight="1" outlineLevel="1" spans="1:43">
      <c r="A872" s="363" t="s">
        <v>438</v>
      </c>
      <c r="B872" s="317">
        <v>0.552094907407407</v>
      </c>
      <c r="C872" s="293" t="str">
        <f t="shared" ref="C872:G872" si="1822">TEXT(IF($B872=0," ",$B872-C$6),"hh:mm am/pm")</f>
        <v>11:15 001/p1</v>
      </c>
      <c r="D872" s="293" t="str">
        <f t="shared" si="1822"/>
        <v>09:15 001/p1</v>
      </c>
      <c r="E872" s="293" t="str">
        <f t="shared" si="1822"/>
        <v>10:15 001/p1</v>
      </c>
      <c r="F872" s="293" t="str">
        <f t="shared" si="1822"/>
        <v>11:15 001/p1</v>
      </c>
      <c r="G872" s="293" t="str">
        <f t="shared" si="1822"/>
        <v>12:15 001/p1</v>
      </c>
      <c r="H872" s="293" t="str">
        <f t="shared" ref="H872:I872" si="1823">TEXT(IF($B872=0," ",$B872+H$6),"hh:mm am/pm")</f>
        <v>19:15 001/p1</v>
      </c>
      <c r="I872" s="293" t="str">
        <f t="shared" si="1823"/>
        <v>00:15 001/p1</v>
      </c>
      <c r="J872" s="294" t="s">
        <v>367</v>
      </c>
      <c r="K872" s="295"/>
      <c r="L872" s="563" t="s">
        <v>160</v>
      </c>
      <c r="M872" s="320" t="s">
        <v>71</v>
      </c>
      <c r="N872" s="321" t="s">
        <v>57</v>
      </c>
      <c r="O872" s="322" t="s">
        <v>74</v>
      </c>
      <c r="P872" s="323" t="s">
        <v>59</v>
      </c>
      <c r="Q872" s="324">
        <v>1000</v>
      </c>
      <c r="R872" s="375" t="s">
        <v>60</v>
      </c>
      <c r="S872" s="326"/>
      <c r="T872" s="327" t="s">
        <v>61</v>
      </c>
      <c r="U872" s="321" t="s">
        <v>62</v>
      </c>
      <c r="V872" s="321">
        <v>8</v>
      </c>
      <c r="W872" s="326"/>
      <c r="X872" s="328"/>
      <c r="Y872" s="329" t="s">
        <v>161</v>
      </c>
      <c r="Z872" s="326"/>
      <c r="AA872" s="330" t="s">
        <v>162</v>
      </c>
      <c r="AB872" s="330" t="s">
        <v>65</v>
      </c>
      <c r="AC872" s="331">
        <v>0.1</v>
      </c>
      <c r="AD872" s="331">
        <v>0.02</v>
      </c>
      <c r="AE872" s="327" t="s">
        <v>66</v>
      </c>
      <c r="AF872" s="332">
        <v>50000</v>
      </c>
      <c r="AG872" s="333">
        <v>12</v>
      </c>
      <c r="AH872" s="333">
        <v>10</v>
      </c>
      <c r="AI872" s="333">
        <v>10</v>
      </c>
      <c r="AJ872" s="327">
        <v>14</v>
      </c>
      <c r="AK872" s="335" t="s">
        <v>67</v>
      </c>
      <c r="AL872" s="335" t="s">
        <v>68</v>
      </c>
      <c r="AM872" s="336" t="s">
        <v>69</v>
      </c>
      <c r="AN872" s="336" t="s">
        <v>70</v>
      </c>
      <c r="AO872" s="314">
        <f t="shared" si="1723"/>
        <v>0.675706018518519</v>
      </c>
      <c r="AP872" s="315">
        <f t="shared" si="1724"/>
        <v>143</v>
      </c>
      <c r="AQ872" s="316" t="str">
        <f t="shared" si="1725"/>
        <v>LOW</v>
      </c>
    </row>
    <row r="873" ht="29.25" customHeight="1" outlineLevel="1" spans="1:43">
      <c r="B873" s="317">
        <v>0.55556712962963</v>
      </c>
      <c r="C873" s="293" t="str">
        <f t="shared" ref="C873:G873" si="1824">TEXT(IF($B873=0," ",$B873-C$6),"hh:mm am/pm")</f>
        <v>11:20 001/p1</v>
      </c>
      <c r="D873" s="293" t="str">
        <f t="shared" si="1824"/>
        <v>09:20 001/p1</v>
      </c>
      <c r="E873" s="293" t="str">
        <f t="shared" si="1824"/>
        <v>10:20 001/p1</v>
      </c>
      <c r="F873" s="293" t="str">
        <f t="shared" si="1824"/>
        <v>11:20 001/p1</v>
      </c>
      <c r="G873" s="293" t="str">
        <f t="shared" si="1824"/>
        <v>12:20 001/p1</v>
      </c>
      <c r="H873" s="293" t="str">
        <f t="shared" ref="H873:I873" si="1825">TEXT(IF($B873=0," ",$B873+H$6),"hh:mm am/pm")</f>
        <v>19:20 001/p1</v>
      </c>
      <c r="I873" s="293" t="str">
        <f t="shared" si="1825"/>
        <v>00:20 001/p1</v>
      </c>
      <c r="J873" s="294" t="s">
        <v>362</v>
      </c>
      <c r="K873" s="295"/>
      <c r="L873" s="562" t="s">
        <v>362</v>
      </c>
      <c r="M873" s="567"/>
      <c r="N873" s="339" t="s">
        <v>57</v>
      </c>
      <c r="O873" s="340" t="s">
        <v>74</v>
      </c>
      <c r="P873" s="341" t="s">
        <v>75</v>
      </c>
      <c r="Q873" s="344"/>
      <c r="R873" s="343" t="s">
        <v>60</v>
      </c>
      <c r="S873" s="344"/>
      <c r="T873" s="345" t="s">
        <v>77</v>
      </c>
      <c r="U873" s="339" t="s">
        <v>62</v>
      </c>
      <c r="V873" s="339">
        <v>0.2</v>
      </c>
      <c r="W873" s="339">
        <v>0.4</v>
      </c>
      <c r="X873" s="354"/>
      <c r="Y873" s="347" t="s">
        <v>79</v>
      </c>
      <c r="Z873" s="339">
        <v>0.8</v>
      </c>
      <c r="AA873" s="348">
        <v>100000</v>
      </c>
      <c r="AB873" s="348" t="s">
        <v>65</v>
      </c>
      <c r="AC873" s="349">
        <v>0.1</v>
      </c>
      <c r="AD873" s="349">
        <v>0</v>
      </c>
      <c r="AE873" s="345" t="s">
        <v>66</v>
      </c>
      <c r="AF873" s="346">
        <v>40000</v>
      </c>
      <c r="AG873" s="350">
        <v>7</v>
      </c>
      <c r="AH873" s="350">
        <v>6</v>
      </c>
      <c r="AI873" s="350">
        <v>5</v>
      </c>
      <c r="AJ873" s="345">
        <v>15</v>
      </c>
      <c r="AK873" s="352" t="s">
        <v>67</v>
      </c>
      <c r="AL873" s="352" t="s">
        <v>68</v>
      </c>
      <c r="AM873" s="353" t="s">
        <v>69</v>
      </c>
      <c r="AN873" s="353" t="s">
        <v>70</v>
      </c>
      <c r="AO873" s="314">
        <f t="shared" si="1723"/>
        <v>0.631956018518518</v>
      </c>
      <c r="AP873" s="374">
        <f t="shared" si="1724"/>
        <v>0</v>
      </c>
      <c r="AQ873" s="316" t="str">
        <f t="shared" si="1725"/>
        <v>MICRO</v>
      </c>
    </row>
    <row r="874" ht="29.25" customHeight="1" outlineLevel="1" spans="1:43">
      <c r="B874" s="317">
        <v>0.583344907407407</v>
      </c>
      <c r="C874" s="293" t="str">
        <f t="shared" ref="C874:G874" si="1826">TEXT(IF($B874=0," ",$B874-C$6),"hh:mm am/pm")</f>
        <v>12:00 001/p1</v>
      </c>
      <c r="D874" s="293" t="str">
        <f t="shared" si="1826"/>
        <v>10:00 001/p1</v>
      </c>
      <c r="E874" s="293" t="str">
        <f t="shared" si="1826"/>
        <v>11:00 001/p1</v>
      </c>
      <c r="F874" s="293" t="str">
        <f t="shared" si="1826"/>
        <v>12:00 001/p1</v>
      </c>
      <c r="G874" s="293" t="str">
        <f t="shared" si="1826"/>
        <v>13:00 001/p1</v>
      </c>
      <c r="H874" s="293" t="str">
        <f t="shared" ref="H874:I874" si="1827">TEXT(IF($B874=0," ",$B874+H$6),"hh:mm am/pm")</f>
        <v>20:00 001/p1</v>
      </c>
      <c r="I874" s="293" t="str">
        <f t="shared" si="1827"/>
        <v>01:00 001/p1</v>
      </c>
      <c r="J874" s="294" t="s">
        <v>164</v>
      </c>
      <c r="K874" s="295"/>
      <c r="L874" s="319" t="s">
        <v>129</v>
      </c>
      <c r="M874" s="320" t="s">
        <v>71</v>
      </c>
      <c r="N874" s="321" t="s">
        <v>165</v>
      </c>
      <c r="O874" s="322" t="s">
        <v>74</v>
      </c>
      <c r="P874" s="323" t="s">
        <v>101</v>
      </c>
      <c r="Q874" s="324">
        <v>200</v>
      </c>
      <c r="R874" s="375" t="s">
        <v>60</v>
      </c>
      <c r="S874" s="326"/>
      <c r="T874" s="327" t="s">
        <v>61</v>
      </c>
      <c r="U874" s="321" t="s">
        <v>62</v>
      </c>
      <c r="V874" s="321">
        <v>2</v>
      </c>
      <c r="W874" s="321">
        <v>2</v>
      </c>
      <c r="X874" s="328"/>
      <c r="Y874" s="329" t="s">
        <v>79</v>
      </c>
      <c r="Z874" s="321">
        <v>2</v>
      </c>
      <c r="AA874" s="330">
        <v>60000</v>
      </c>
      <c r="AB874" s="330" t="s">
        <v>65</v>
      </c>
      <c r="AC874" s="331">
        <v>0.1</v>
      </c>
      <c r="AD874" s="331">
        <v>0</v>
      </c>
      <c r="AE874" s="327" t="s">
        <v>88</v>
      </c>
      <c r="AF874" s="332">
        <v>30000</v>
      </c>
      <c r="AG874" s="333">
        <v>8</v>
      </c>
      <c r="AH874" s="333">
        <v>7</v>
      </c>
      <c r="AI874" s="333">
        <v>7</v>
      </c>
      <c r="AJ874" s="327">
        <v>11</v>
      </c>
      <c r="AK874" s="335" t="s">
        <v>67</v>
      </c>
      <c r="AL874" s="335" t="s">
        <v>68</v>
      </c>
      <c r="AM874" s="336" t="s">
        <v>69</v>
      </c>
      <c r="AN874" s="336" t="s">
        <v>70</v>
      </c>
      <c r="AO874" s="314">
        <f t="shared" si="1723"/>
        <v>0.647928240740741</v>
      </c>
      <c r="AP874" s="315">
        <f t="shared" si="1724"/>
        <v>112</v>
      </c>
      <c r="AQ874" s="316" t="str">
        <f t="shared" si="1725"/>
        <v>MICRO</v>
      </c>
    </row>
    <row r="875" ht="29.25" customHeight="1" outlineLevel="1" spans="1:43">
      <c r="A875" s="363" t="s">
        <v>438</v>
      </c>
      <c r="B875" s="317">
        <v>0.583344907407407</v>
      </c>
      <c r="C875" s="293" t="str">
        <f t="shared" ref="C875:G875" si="1828">TEXT(IF($B875=0," ",$B875-C$6),"hh:mm am/pm")</f>
        <v>12:00 001/p1</v>
      </c>
      <c r="D875" s="293" t="str">
        <f t="shared" si="1828"/>
        <v>10:00 001/p1</v>
      </c>
      <c r="E875" s="293" t="str">
        <f t="shared" si="1828"/>
        <v>11:00 001/p1</v>
      </c>
      <c r="F875" s="293" t="str">
        <f t="shared" si="1828"/>
        <v>12:00 001/p1</v>
      </c>
      <c r="G875" s="293" t="str">
        <f t="shared" si="1828"/>
        <v>13:00 001/p1</v>
      </c>
      <c r="H875" s="293" t="str">
        <f t="shared" ref="H875:I875" si="1829">TEXT(IF($B875=0," ",$B875+H$6),"hh:mm am/pm")</f>
        <v>20:00 001/p1</v>
      </c>
      <c r="I875" s="293" t="str">
        <f t="shared" si="1829"/>
        <v>01:00 001/p1</v>
      </c>
      <c r="J875" s="294" t="s">
        <v>362</v>
      </c>
      <c r="K875" s="295"/>
      <c r="L875" s="337" t="s">
        <v>362</v>
      </c>
      <c r="M875" s="567"/>
      <c r="N875" s="339" t="s">
        <v>57</v>
      </c>
      <c r="O875" s="340" t="s">
        <v>74</v>
      </c>
      <c r="P875" s="341" t="s">
        <v>75</v>
      </c>
      <c r="Q875" s="344"/>
      <c r="R875" s="343" t="s">
        <v>60</v>
      </c>
      <c r="S875" s="344"/>
      <c r="T875" s="345" t="s">
        <v>61</v>
      </c>
      <c r="U875" s="339" t="s">
        <v>62</v>
      </c>
      <c r="V875" s="339">
        <v>0.6</v>
      </c>
      <c r="W875" s="339">
        <v>0.6</v>
      </c>
      <c r="X875" s="354"/>
      <c r="Y875" s="347" t="s">
        <v>63</v>
      </c>
      <c r="Z875" s="339">
        <v>0.6</v>
      </c>
      <c r="AA875" s="348">
        <v>30000</v>
      </c>
      <c r="AB875" s="348" t="s">
        <v>65</v>
      </c>
      <c r="AC875" s="349">
        <v>0.1</v>
      </c>
      <c r="AD875" s="349">
        <v>0</v>
      </c>
      <c r="AE875" s="345" t="s">
        <v>112</v>
      </c>
      <c r="AF875" s="346">
        <v>20000</v>
      </c>
      <c r="AG875" s="350">
        <v>5</v>
      </c>
      <c r="AH875" s="350">
        <v>5</v>
      </c>
      <c r="AI875" s="350">
        <v>5</v>
      </c>
      <c r="AJ875" s="345">
        <v>15</v>
      </c>
      <c r="AK875" s="352" t="s">
        <v>150</v>
      </c>
      <c r="AL875" s="352" t="s">
        <v>68</v>
      </c>
      <c r="AM875" s="353" t="s">
        <v>69</v>
      </c>
      <c r="AN875" s="353" t="s">
        <v>70</v>
      </c>
      <c r="AO875" s="314">
        <f t="shared" si="1723"/>
        <v>0.638900462962963</v>
      </c>
      <c r="AP875" s="374">
        <f t="shared" si="1724"/>
        <v>0</v>
      </c>
      <c r="AQ875" s="316" t="str">
        <f t="shared" si="1725"/>
        <v>MICRO</v>
      </c>
    </row>
    <row r="876" ht="29.25" customHeight="1" outlineLevel="1" spans="1:43">
      <c r="B876" s="317">
        <v>0.583344907407407</v>
      </c>
      <c r="C876" s="293" t="str">
        <f t="shared" ref="C876:G876" si="1830">TEXT(IF($B876=0," ",$B876-C$6),"hh:mm am/pm")</f>
        <v>12:00 001/p1</v>
      </c>
      <c r="D876" s="293" t="str">
        <f t="shared" si="1830"/>
        <v>10:00 001/p1</v>
      </c>
      <c r="E876" s="293" t="str">
        <f t="shared" si="1830"/>
        <v>11:00 001/p1</v>
      </c>
      <c r="F876" s="293" t="str">
        <f t="shared" si="1830"/>
        <v>12:00 001/p1</v>
      </c>
      <c r="G876" s="293" t="str">
        <f t="shared" si="1830"/>
        <v>13:00 001/p1</v>
      </c>
      <c r="H876" s="293" t="str">
        <f t="shared" ref="H876:I876" si="1831">TEXT(IF($B876=0," ",$B876+H$6),"hh:mm am/pm")</f>
        <v>20:00 001/p1</v>
      </c>
      <c r="I876" s="293" t="str">
        <f t="shared" si="1831"/>
        <v>01:00 001/p1</v>
      </c>
      <c r="J876" s="318" t="s">
        <v>460</v>
      </c>
      <c r="K876" s="295"/>
      <c r="L876" s="319" t="s">
        <v>461</v>
      </c>
      <c r="M876" s="320" t="s">
        <v>71</v>
      </c>
      <c r="N876" s="321" t="s">
        <v>57</v>
      </c>
      <c r="O876" s="322" t="s">
        <v>74</v>
      </c>
      <c r="P876" s="323" t="s">
        <v>75</v>
      </c>
      <c r="Q876" s="324">
        <v>21700</v>
      </c>
      <c r="R876" s="375" t="s">
        <v>87</v>
      </c>
      <c r="S876" s="326"/>
      <c r="T876" s="327" t="s">
        <v>61</v>
      </c>
      <c r="U876" s="321" t="s">
        <v>78</v>
      </c>
      <c r="V876" s="321">
        <v>1</v>
      </c>
      <c r="W876" s="321">
        <v>1</v>
      </c>
      <c r="X876" s="332">
        <v>40000</v>
      </c>
      <c r="Y876" s="329" t="s">
        <v>79</v>
      </c>
      <c r="Z876" s="321">
        <v>3</v>
      </c>
      <c r="AA876" s="330">
        <v>120000</v>
      </c>
      <c r="AB876" s="568" t="s">
        <v>293</v>
      </c>
      <c r="AC876" s="331">
        <v>0.1</v>
      </c>
      <c r="AD876" s="331">
        <v>0.02</v>
      </c>
      <c r="AE876" s="327" t="s">
        <v>66</v>
      </c>
      <c r="AF876" s="332">
        <v>30000</v>
      </c>
      <c r="AG876" s="333">
        <v>10</v>
      </c>
      <c r="AH876" s="333">
        <v>8</v>
      </c>
      <c r="AI876" s="333">
        <v>10</v>
      </c>
      <c r="AJ876" s="327">
        <v>14</v>
      </c>
      <c r="AK876" s="335" t="s">
        <v>67</v>
      </c>
      <c r="AL876" s="569" t="s">
        <v>462</v>
      </c>
      <c r="AM876" s="336" t="s">
        <v>69</v>
      </c>
      <c r="AN876" s="336" t="s">
        <v>70</v>
      </c>
      <c r="AO876" s="314">
        <f t="shared" si="1723"/>
        <v>0.687511574074074</v>
      </c>
      <c r="AP876" s="315">
        <f t="shared" si="1724"/>
        <v>24660</v>
      </c>
      <c r="AQ876" s="316" t="str">
        <f t="shared" si="1725"/>
        <v>MICRO</v>
      </c>
    </row>
    <row r="877" ht="29.25" customHeight="1" outlineLevel="1" spans="1:43">
      <c r="B877" s="317">
        <v>0.625011574074074</v>
      </c>
      <c r="C877" s="293" t="str">
        <f t="shared" ref="C877:G877" si="1832">TEXT(IF($B877=0," ",$B877-C$6),"hh:mm am/pm")</f>
        <v>13:00 001/p1</v>
      </c>
      <c r="D877" s="293" t="str">
        <f t="shared" si="1832"/>
        <v>11:00 001/p1</v>
      </c>
      <c r="E877" s="293" t="str">
        <f t="shared" si="1832"/>
        <v>12:00 001/p1</v>
      </c>
      <c r="F877" s="293" t="str">
        <f t="shared" si="1832"/>
        <v>13:00 001/p1</v>
      </c>
      <c r="G877" s="293" t="str">
        <f t="shared" si="1832"/>
        <v>14:00 001/p1</v>
      </c>
      <c r="H877" s="293" t="str">
        <f t="shared" ref="H877:I877" si="1833">TEXT(IF($B877=0," ",$B877+H$6),"hh:mm am/pm")</f>
        <v>21:00 001/p1</v>
      </c>
      <c r="I877" s="293" t="str">
        <f t="shared" si="1833"/>
        <v>02:00 001/p1</v>
      </c>
      <c r="J877" s="318" t="s">
        <v>225</v>
      </c>
      <c r="K877" s="295"/>
      <c r="L877" s="337" t="s">
        <v>73</v>
      </c>
      <c r="M877" s="338" t="s">
        <v>71</v>
      </c>
      <c r="N877" s="339" t="s">
        <v>57</v>
      </c>
      <c r="O877" s="340" t="s">
        <v>74</v>
      </c>
      <c r="P877" s="341" t="s">
        <v>75</v>
      </c>
      <c r="Q877" s="342">
        <v>6200</v>
      </c>
      <c r="R877" s="325" t="s">
        <v>76</v>
      </c>
      <c r="S877" s="344"/>
      <c r="T877" s="345" t="s">
        <v>77</v>
      </c>
      <c r="U877" s="339" t="s">
        <v>78</v>
      </c>
      <c r="V877" s="339">
        <v>3</v>
      </c>
      <c r="W877" s="339">
        <v>3</v>
      </c>
      <c r="X877" s="354"/>
      <c r="Y877" s="347" t="s">
        <v>79</v>
      </c>
      <c r="Z877" s="339">
        <v>4</v>
      </c>
      <c r="AA877" s="348">
        <v>250000</v>
      </c>
      <c r="AB877" s="348" t="s">
        <v>65</v>
      </c>
      <c r="AC877" s="349">
        <v>0.1</v>
      </c>
      <c r="AD877" s="349">
        <v>0.02</v>
      </c>
      <c r="AE877" s="345" t="s">
        <v>88</v>
      </c>
      <c r="AF877" s="346">
        <v>50000</v>
      </c>
      <c r="AG877" s="350">
        <v>10</v>
      </c>
      <c r="AH877" s="350">
        <v>8</v>
      </c>
      <c r="AI877" s="350">
        <v>10</v>
      </c>
      <c r="AJ877" s="345">
        <v>15</v>
      </c>
      <c r="AK877" s="352" t="s">
        <v>67</v>
      </c>
      <c r="AL877" s="352" t="s">
        <v>68</v>
      </c>
      <c r="AM877" s="353" t="s">
        <v>69</v>
      </c>
      <c r="AN877" s="353" t="s">
        <v>70</v>
      </c>
      <c r="AO877" s="314">
        <f t="shared" si="1723"/>
        <v>0.736122685185185</v>
      </c>
      <c r="AP877" s="315">
        <f t="shared" si="1724"/>
        <v>2349</v>
      </c>
      <c r="AQ877" s="316" t="str">
        <f t="shared" si="1725"/>
        <v>MICRO</v>
      </c>
    </row>
    <row r="878" ht="29.25" customHeight="1" outlineLevel="1" spans="1:43">
      <c r="A878" s="363" t="s">
        <v>438</v>
      </c>
      <c r="B878" s="317">
        <v>0.625011574074074</v>
      </c>
      <c r="C878" s="293" t="str">
        <f t="shared" ref="C878:G878" si="1834">TEXT(IF($B878=0," ",$B878-C$6),"hh:mm am/pm")</f>
        <v>13:00 001/p1</v>
      </c>
      <c r="D878" s="293" t="str">
        <f t="shared" si="1834"/>
        <v>11:00 001/p1</v>
      </c>
      <c r="E878" s="293" t="str">
        <f t="shared" si="1834"/>
        <v>12:00 001/p1</v>
      </c>
      <c r="F878" s="293" t="str">
        <f t="shared" si="1834"/>
        <v>13:00 001/p1</v>
      </c>
      <c r="G878" s="293" t="str">
        <f t="shared" si="1834"/>
        <v>14:00 001/p1</v>
      </c>
      <c r="H878" s="293" t="str">
        <f t="shared" ref="H878:I878" si="1835">TEXT(IF($B878=0," ",$B878+H$6),"hh:mm am/pm")</f>
        <v>21:00 001/p1</v>
      </c>
      <c r="I878" s="293" t="str">
        <f t="shared" si="1835"/>
        <v>02:00 001/p1</v>
      </c>
      <c r="J878" s="294" t="s">
        <v>138</v>
      </c>
      <c r="K878" s="295"/>
      <c r="L878" s="319" t="s">
        <v>139</v>
      </c>
      <c r="M878" s="320" t="s">
        <v>71</v>
      </c>
      <c r="N878" s="321" t="s">
        <v>100</v>
      </c>
      <c r="O878" s="322" t="s">
        <v>82</v>
      </c>
      <c r="P878" s="323" t="s">
        <v>101</v>
      </c>
      <c r="Q878" s="324">
        <v>300</v>
      </c>
      <c r="R878" s="375" t="s">
        <v>60</v>
      </c>
      <c r="S878" s="326"/>
      <c r="T878" s="327" t="s">
        <v>61</v>
      </c>
      <c r="U878" s="321" t="s">
        <v>62</v>
      </c>
      <c r="V878" s="321">
        <v>2</v>
      </c>
      <c r="W878" s="321">
        <v>2</v>
      </c>
      <c r="X878" s="328"/>
      <c r="Y878" s="329" t="s">
        <v>63</v>
      </c>
      <c r="Z878" s="326"/>
      <c r="AA878" s="330" t="s">
        <v>64</v>
      </c>
      <c r="AB878" s="330" t="s">
        <v>65</v>
      </c>
      <c r="AC878" s="331">
        <v>0.1</v>
      </c>
      <c r="AD878" s="331">
        <v>0.02</v>
      </c>
      <c r="AE878" s="327" t="s">
        <v>66</v>
      </c>
      <c r="AF878" s="332">
        <v>50000</v>
      </c>
      <c r="AG878" s="333">
        <v>8</v>
      </c>
      <c r="AH878" s="333">
        <v>7</v>
      </c>
      <c r="AI878" s="333">
        <v>7</v>
      </c>
      <c r="AJ878" s="327">
        <v>15</v>
      </c>
      <c r="AK878" s="335" t="s">
        <v>67</v>
      </c>
      <c r="AL878" s="335" t="s">
        <v>68</v>
      </c>
      <c r="AM878" s="336" t="s">
        <v>69</v>
      </c>
      <c r="AN878" s="336" t="s">
        <v>70</v>
      </c>
      <c r="AO878" s="314">
        <f t="shared" si="1723"/>
        <v>0.715289351851852</v>
      </c>
      <c r="AP878" s="315">
        <f t="shared" si="1724"/>
        <v>171</v>
      </c>
      <c r="AQ878" s="316" t="str">
        <f t="shared" si="1725"/>
        <v>MICRO</v>
      </c>
    </row>
    <row r="879" ht="29.25" customHeight="1" outlineLevel="1" spans="1:43">
      <c r="B879" s="317">
        <v>0.645844907407407</v>
      </c>
      <c r="C879" s="293" t="str">
        <f t="shared" ref="C879:G879" si="1836">TEXT(IF($B879=0," ",$B879-C$6),"hh:mm am/pm")</f>
        <v>13:30 001/p1</v>
      </c>
      <c r="D879" s="293" t="str">
        <f t="shared" si="1836"/>
        <v>11:30 001/p1</v>
      </c>
      <c r="E879" s="293" t="str">
        <f t="shared" si="1836"/>
        <v>12:30 001/p1</v>
      </c>
      <c r="F879" s="293" t="str">
        <f t="shared" si="1836"/>
        <v>13:30 001/p1</v>
      </c>
      <c r="G879" s="293" t="str">
        <f t="shared" si="1836"/>
        <v>14:30 001/p1</v>
      </c>
      <c r="H879" s="293" t="str">
        <f t="shared" ref="H879:I879" si="1837">TEXT(IF($B879=0," ",$B879+H$6),"hh:mm am/pm")</f>
        <v>21:30 001/p1</v>
      </c>
      <c r="I879" s="293" t="str">
        <f t="shared" si="1837"/>
        <v>02:30 001/p1</v>
      </c>
      <c r="J879" s="294" t="s">
        <v>463</v>
      </c>
      <c r="K879" s="295"/>
      <c r="L879" s="562" t="s">
        <v>174</v>
      </c>
      <c r="M879" s="338" t="s">
        <v>71</v>
      </c>
      <c r="N879" s="339" t="s">
        <v>57</v>
      </c>
      <c r="O879" s="340" t="s">
        <v>82</v>
      </c>
      <c r="P879" s="341" t="s">
        <v>75</v>
      </c>
      <c r="Q879" s="342">
        <v>300</v>
      </c>
      <c r="R879" s="343" t="s">
        <v>60</v>
      </c>
      <c r="S879" s="344"/>
      <c r="T879" s="345" t="s">
        <v>61</v>
      </c>
      <c r="U879" s="339" t="s">
        <v>62</v>
      </c>
      <c r="V879" s="339">
        <v>2</v>
      </c>
      <c r="W879" s="339">
        <v>2</v>
      </c>
      <c r="X879" s="346">
        <v>60000</v>
      </c>
      <c r="Y879" s="347" t="s">
        <v>63</v>
      </c>
      <c r="Z879" s="344"/>
      <c r="AA879" s="348" t="s">
        <v>64</v>
      </c>
      <c r="AB879" s="348" t="s">
        <v>65</v>
      </c>
      <c r="AC879" s="349">
        <v>0.1</v>
      </c>
      <c r="AD879" s="349">
        <v>0.02</v>
      </c>
      <c r="AE879" s="345" t="s">
        <v>66</v>
      </c>
      <c r="AF879" s="346">
        <v>50000</v>
      </c>
      <c r="AG879" s="350">
        <v>8</v>
      </c>
      <c r="AH879" s="350">
        <v>7</v>
      </c>
      <c r="AI879" s="350">
        <v>7</v>
      </c>
      <c r="AJ879" s="345">
        <v>15</v>
      </c>
      <c r="AK879" s="352" t="s">
        <v>67</v>
      </c>
      <c r="AL879" s="352" t="s">
        <v>68</v>
      </c>
      <c r="AM879" s="353" t="s">
        <v>69</v>
      </c>
      <c r="AN879" s="353" t="s">
        <v>70</v>
      </c>
      <c r="AO879" s="314">
        <f t="shared" si="1723"/>
        <v>0.736122685185185</v>
      </c>
      <c r="AP879" s="315">
        <f t="shared" si="1724"/>
        <v>171</v>
      </c>
      <c r="AQ879" s="316" t="str">
        <f t="shared" si="1725"/>
        <v>MICRO</v>
      </c>
    </row>
    <row r="880" ht="29.25" customHeight="1" outlineLevel="1" spans="1:43">
      <c r="A880" s="363" t="s">
        <v>438</v>
      </c>
      <c r="B880" s="317">
        <v>0.666678240740741</v>
      </c>
      <c r="C880" s="293" t="str">
        <f t="shared" ref="C880:G880" si="1838">TEXT(IF($B880=0," ",$B880-C$6),"hh:mm am/pm")</f>
        <v>14:00 001/p1</v>
      </c>
      <c r="D880" s="293" t="str">
        <f t="shared" si="1838"/>
        <v>12:00 001/p1</v>
      </c>
      <c r="E880" s="293" t="str">
        <f t="shared" si="1838"/>
        <v>13:00 001/p1</v>
      </c>
      <c r="F880" s="293" t="str">
        <f t="shared" si="1838"/>
        <v>14:00 001/p1</v>
      </c>
      <c r="G880" s="293" t="str">
        <f t="shared" si="1838"/>
        <v>15:00 001/p1</v>
      </c>
      <c r="H880" s="293" t="str">
        <f t="shared" ref="H880:I880" si="1839">TEXT(IF($B880=0," ",$B880+H$6),"hh:mm am/pm")</f>
        <v>22:00 001/p1</v>
      </c>
      <c r="I880" s="293" t="str">
        <f t="shared" si="1839"/>
        <v>03:00 001/p1</v>
      </c>
      <c r="J880" s="294" t="s">
        <v>137</v>
      </c>
      <c r="K880" s="295"/>
      <c r="L880" s="319" t="s">
        <v>129</v>
      </c>
      <c r="M880" s="320" t="s">
        <v>71</v>
      </c>
      <c r="N880" s="321" t="s">
        <v>122</v>
      </c>
      <c r="O880" s="322" t="s">
        <v>74</v>
      </c>
      <c r="P880" s="323" t="s">
        <v>101</v>
      </c>
      <c r="Q880" s="324">
        <v>100</v>
      </c>
      <c r="R880" s="375" t="s">
        <v>60</v>
      </c>
      <c r="S880" s="326"/>
      <c r="T880" s="327" t="s">
        <v>61</v>
      </c>
      <c r="U880" s="321" t="s">
        <v>62</v>
      </c>
      <c r="V880" s="321">
        <v>0.8</v>
      </c>
      <c r="W880" s="321">
        <v>0.8</v>
      </c>
      <c r="X880" s="328"/>
      <c r="Y880" s="329" t="s">
        <v>79</v>
      </c>
      <c r="Z880" s="321">
        <v>0.8</v>
      </c>
      <c r="AA880" s="330">
        <v>80000</v>
      </c>
      <c r="AB880" s="330" t="s">
        <v>65</v>
      </c>
      <c r="AC880" s="331">
        <v>0.1</v>
      </c>
      <c r="AD880" s="331">
        <v>0</v>
      </c>
      <c r="AE880" s="327" t="s">
        <v>88</v>
      </c>
      <c r="AF880" s="332">
        <v>40000</v>
      </c>
      <c r="AG880" s="333">
        <v>8</v>
      </c>
      <c r="AH880" s="333">
        <v>7</v>
      </c>
      <c r="AI880" s="333">
        <v>7</v>
      </c>
      <c r="AJ880" s="327">
        <v>12</v>
      </c>
      <c r="AK880" s="335" t="s">
        <v>67</v>
      </c>
      <c r="AL880" s="335" t="s">
        <v>68</v>
      </c>
      <c r="AM880" s="336" t="s">
        <v>69</v>
      </c>
      <c r="AN880" s="336" t="s">
        <v>70</v>
      </c>
      <c r="AO880" s="314">
        <f t="shared" si="1723"/>
        <v>0.73681712962963</v>
      </c>
      <c r="AP880" s="315">
        <f t="shared" si="1724"/>
        <v>139</v>
      </c>
      <c r="AQ880" s="316" t="str">
        <f t="shared" si="1725"/>
        <v>MICRO</v>
      </c>
    </row>
    <row r="881" ht="29.25" customHeight="1" outlineLevel="1" spans="1:43">
      <c r="B881" s="317">
        <v>0.666678240740741</v>
      </c>
      <c r="C881" s="293" t="str">
        <f t="shared" ref="C881:G881" si="1840">TEXT(IF($B881=0," ",$B881-C$6),"hh:mm am/pm")</f>
        <v>14:00 001/p1</v>
      </c>
      <c r="D881" s="293" t="str">
        <f t="shared" si="1840"/>
        <v>12:00 001/p1</v>
      </c>
      <c r="E881" s="293" t="str">
        <f t="shared" si="1840"/>
        <v>13:00 001/p1</v>
      </c>
      <c r="F881" s="293" t="str">
        <f t="shared" si="1840"/>
        <v>14:00 001/p1</v>
      </c>
      <c r="G881" s="293" t="str">
        <f t="shared" si="1840"/>
        <v>15:00 001/p1</v>
      </c>
      <c r="H881" s="293" t="str">
        <f t="shared" ref="H881:I881" si="1841">TEXT(IF($B881=0," ",$B881+H$6),"hh:mm am/pm")</f>
        <v>22:00 001/p1</v>
      </c>
      <c r="I881" s="293" t="str">
        <f t="shared" si="1841"/>
        <v>03:00 001/p1</v>
      </c>
      <c r="J881" s="537" t="s">
        <v>362</v>
      </c>
      <c r="K881" s="295"/>
      <c r="L881" s="337" t="s">
        <v>362</v>
      </c>
      <c r="M881" s="567"/>
      <c r="N881" s="339" t="s">
        <v>57</v>
      </c>
      <c r="O881" s="340" t="s">
        <v>74</v>
      </c>
      <c r="P881" s="341" t="s">
        <v>75</v>
      </c>
      <c r="Q881" s="344"/>
      <c r="R881" s="343" t="s">
        <v>60</v>
      </c>
      <c r="S881" s="344"/>
      <c r="T881" s="345" t="s">
        <v>115</v>
      </c>
      <c r="U881" s="339" t="s">
        <v>62</v>
      </c>
      <c r="V881" s="339">
        <v>0.4</v>
      </c>
      <c r="W881" s="339">
        <v>0.4</v>
      </c>
      <c r="X881" s="354"/>
      <c r="Y881" s="347" t="s">
        <v>79</v>
      </c>
      <c r="Z881" s="339">
        <v>0.6</v>
      </c>
      <c r="AA881" s="348">
        <v>40000</v>
      </c>
      <c r="AB881" s="348" t="s">
        <v>65</v>
      </c>
      <c r="AC881" s="349">
        <v>0.1</v>
      </c>
      <c r="AD881" s="349">
        <v>0</v>
      </c>
      <c r="AE881" s="345" t="s">
        <v>66</v>
      </c>
      <c r="AF881" s="346">
        <v>20000</v>
      </c>
      <c r="AG881" s="350">
        <v>8</v>
      </c>
      <c r="AH881" s="350">
        <v>7</v>
      </c>
      <c r="AI881" s="350">
        <v>6</v>
      </c>
      <c r="AJ881" s="345">
        <v>12</v>
      </c>
      <c r="AK881" s="352" t="s">
        <v>67</v>
      </c>
      <c r="AL881" s="352" t="s">
        <v>68</v>
      </c>
      <c r="AM881" s="353" t="s">
        <v>69</v>
      </c>
      <c r="AN881" s="353" t="s">
        <v>70</v>
      </c>
      <c r="AO881" s="314">
        <f t="shared" si="1723"/>
        <v>0.73681712962963</v>
      </c>
      <c r="AP881" s="374">
        <f t="shared" si="1724"/>
        <v>0</v>
      </c>
      <c r="AQ881" s="316" t="str">
        <f t="shared" si="1725"/>
        <v>MICRO</v>
      </c>
    </row>
    <row r="882" ht="29.25" customHeight="1" outlineLevel="1" spans="1:43">
      <c r="B882" s="317">
        <v>0.666678240740741</v>
      </c>
      <c r="C882" s="293" t="str">
        <f t="shared" ref="C882:G882" si="1842">TEXT(IF($B882=0," ",$B882-C$6),"hh:mm am/pm")</f>
        <v>14:00 001/p1</v>
      </c>
      <c r="D882" s="293" t="str">
        <f t="shared" si="1842"/>
        <v>12:00 001/p1</v>
      </c>
      <c r="E882" s="293" t="str">
        <f t="shared" si="1842"/>
        <v>13:00 001/p1</v>
      </c>
      <c r="F882" s="293" t="str">
        <f t="shared" si="1842"/>
        <v>14:00 001/p1</v>
      </c>
      <c r="G882" s="293" t="str">
        <f t="shared" si="1842"/>
        <v>15:00 001/p1</v>
      </c>
      <c r="H882" s="293" t="str">
        <f t="shared" ref="H882:I882" si="1843">TEXT(IF($B882=0," ",$B882+H$6),"hh:mm am/pm")</f>
        <v>22:00 001/p1</v>
      </c>
      <c r="I882" s="293" t="str">
        <f t="shared" si="1843"/>
        <v>03:00 001/p1</v>
      </c>
      <c r="J882" s="537" t="s">
        <v>464</v>
      </c>
      <c r="K882" s="295"/>
      <c r="L882" s="563" t="s">
        <v>465</v>
      </c>
      <c r="M882" s="320" t="s">
        <v>71</v>
      </c>
      <c r="N882" s="321" t="s">
        <v>100</v>
      </c>
      <c r="O882" s="322" t="s">
        <v>104</v>
      </c>
      <c r="P882" s="323" t="s">
        <v>101</v>
      </c>
      <c r="Q882" s="324">
        <v>1500</v>
      </c>
      <c r="R882" s="375" t="s">
        <v>60</v>
      </c>
      <c r="S882" s="326"/>
      <c r="T882" s="327" t="s">
        <v>61</v>
      </c>
      <c r="U882" s="321" t="s">
        <v>62</v>
      </c>
      <c r="V882" s="321">
        <v>11</v>
      </c>
      <c r="W882" s="321">
        <v>11</v>
      </c>
      <c r="X882" s="328"/>
      <c r="Y882" s="329" t="s">
        <v>63</v>
      </c>
      <c r="Z882" s="326"/>
      <c r="AA882" s="330" t="s">
        <v>64</v>
      </c>
      <c r="AB882" s="330" t="s">
        <v>65</v>
      </c>
      <c r="AC882" s="331">
        <v>0.1</v>
      </c>
      <c r="AD882" s="331">
        <v>0.02</v>
      </c>
      <c r="AE882" s="327" t="s">
        <v>66</v>
      </c>
      <c r="AF882" s="332">
        <v>60000</v>
      </c>
      <c r="AG882" s="333">
        <v>10</v>
      </c>
      <c r="AH882" s="333">
        <v>8</v>
      </c>
      <c r="AI882" s="333">
        <v>8</v>
      </c>
      <c r="AJ882" s="327">
        <v>15</v>
      </c>
      <c r="AK882" s="335" t="s">
        <v>67</v>
      </c>
      <c r="AL882" s="335" t="s">
        <v>68</v>
      </c>
      <c r="AM882" s="336" t="s">
        <v>69</v>
      </c>
      <c r="AN882" s="336" t="s">
        <v>70</v>
      </c>
      <c r="AO882" s="314">
        <f t="shared" si="1723"/>
        <v>0.777789351851852</v>
      </c>
      <c r="AP882" s="315">
        <f t="shared" si="1724"/>
        <v>155</v>
      </c>
      <c r="AQ882" s="316" t="str">
        <f t="shared" si="1725"/>
        <v>LOW</v>
      </c>
    </row>
    <row r="883" ht="29.25" customHeight="1" outlineLevel="1" spans="1:43">
      <c r="A883" s="363" t="s">
        <v>438</v>
      </c>
      <c r="B883" s="317">
        <v>0.687511574074074</v>
      </c>
      <c r="C883" s="293" t="str">
        <f t="shared" ref="C883:G883" si="1844">TEXT(IF($B883=0," ",$B883-C$6),"hh:mm am/pm")</f>
        <v>14:30 001/p1</v>
      </c>
      <c r="D883" s="293" t="str">
        <f t="shared" si="1844"/>
        <v>12:30 001/p1</v>
      </c>
      <c r="E883" s="293" t="str">
        <f t="shared" si="1844"/>
        <v>13:30 001/p1</v>
      </c>
      <c r="F883" s="293" t="str">
        <f t="shared" si="1844"/>
        <v>14:30 001/p1</v>
      </c>
      <c r="G883" s="293" t="str">
        <f t="shared" si="1844"/>
        <v>15:30 001/p1</v>
      </c>
      <c r="H883" s="293" t="str">
        <f t="shared" ref="H883:I883" si="1845">TEXT(IF($B883=0," ",$B883+H$6),"hh:mm am/pm")</f>
        <v>22:30 001/p1</v>
      </c>
      <c r="I883" s="293" t="str">
        <f t="shared" si="1845"/>
        <v>03:30 001/p1</v>
      </c>
      <c r="J883" s="537" t="s">
        <v>466</v>
      </c>
      <c r="K883" s="295"/>
      <c r="L883" s="562" t="s">
        <v>160</v>
      </c>
      <c r="M883" s="338" t="s">
        <v>71</v>
      </c>
      <c r="N883" s="339" t="s">
        <v>57</v>
      </c>
      <c r="O883" s="340" t="s">
        <v>74</v>
      </c>
      <c r="P883" s="341" t="s">
        <v>59</v>
      </c>
      <c r="Q883" s="342">
        <v>1200</v>
      </c>
      <c r="R883" s="343" t="s">
        <v>60</v>
      </c>
      <c r="S883" s="344"/>
      <c r="T883" s="345" t="s">
        <v>61</v>
      </c>
      <c r="U883" s="339" t="s">
        <v>62</v>
      </c>
      <c r="V883" s="339">
        <v>7</v>
      </c>
      <c r="W883" s="344"/>
      <c r="X883" s="354"/>
      <c r="Y883" s="347" t="s">
        <v>161</v>
      </c>
      <c r="Z883" s="344"/>
      <c r="AA883" s="348" t="s">
        <v>162</v>
      </c>
      <c r="AB883" s="348" t="s">
        <v>65</v>
      </c>
      <c r="AC883" s="349">
        <v>0.1</v>
      </c>
      <c r="AD883" s="349">
        <v>0.02</v>
      </c>
      <c r="AE883" s="345" t="s">
        <v>66</v>
      </c>
      <c r="AF883" s="346">
        <v>40000</v>
      </c>
      <c r="AG883" s="350">
        <v>12</v>
      </c>
      <c r="AH883" s="350">
        <v>10</v>
      </c>
      <c r="AI883" s="350">
        <v>10</v>
      </c>
      <c r="AJ883" s="345">
        <v>13</v>
      </c>
      <c r="AK883" s="352" t="s">
        <v>67</v>
      </c>
      <c r="AL883" s="352" t="s">
        <v>68</v>
      </c>
      <c r="AM883" s="353" t="s">
        <v>69</v>
      </c>
      <c r="AN883" s="353" t="s">
        <v>70</v>
      </c>
      <c r="AO883" s="314">
        <f t="shared" si="1723"/>
        <v>0.802789351851852</v>
      </c>
      <c r="AP883" s="315">
        <f t="shared" si="1724"/>
        <v>195</v>
      </c>
      <c r="AQ883" s="316" t="str">
        <f t="shared" si="1725"/>
        <v>LOW</v>
      </c>
    </row>
    <row r="884" ht="29.25" customHeight="1" outlineLevel="1" spans="1:43">
      <c r="B884" s="317">
        <v>0.708344907407407</v>
      </c>
      <c r="C884" s="293" t="str">
        <f t="shared" ref="C884:G884" si="1846">TEXT(IF($B884=0," ",$B884-C$6),"hh:mm am/pm")</f>
        <v>15:00 001/p1</v>
      </c>
      <c r="D884" s="293" t="str">
        <f t="shared" si="1846"/>
        <v>13:00 001/p1</v>
      </c>
      <c r="E884" s="293" t="str">
        <f t="shared" si="1846"/>
        <v>14:00 001/p1</v>
      </c>
      <c r="F884" s="293" t="str">
        <f t="shared" si="1846"/>
        <v>15:00 001/p1</v>
      </c>
      <c r="G884" s="293" t="str">
        <f t="shared" si="1846"/>
        <v>16:00 001/p1</v>
      </c>
      <c r="H884" s="293" t="str">
        <f t="shared" ref="H884:I884" si="1847">TEXT(IF($B884=0," ",$B884+H$6),"hh:mm am/pm")</f>
        <v>23:00 001/p1</v>
      </c>
      <c r="I884" s="293" t="str">
        <f t="shared" si="1847"/>
        <v>04:00 001/p1</v>
      </c>
      <c r="J884" s="294" t="s">
        <v>175</v>
      </c>
      <c r="K884" s="295"/>
      <c r="L884" s="319" t="s">
        <v>124</v>
      </c>
      <c r="M884" s="320" t="s">
        <v>71</v>
      </c>
      <c r="N884" s="321" t="s">
        <v>100</v>
      </c>
      <c r="O884" s="322" t="s">
        <v>82</v>
      </c>
      <c r="P884" s="323" t="s">
        <v>101</v>
      </c>
      <c r="Q884" s="324">
        <v>150</v>
      </c>
      <c r="R884" s="375" t="s">
        <v>60</v>
      </c>
      <c r="S884" s="326"/>
      <c r="T884" s="327" t="s">
        <v>61</v>
      </c>
      <c r="U884" s="321" t="s">
        <v>62</v>
      </c>
      <c r="V884" s="321">
        <v>0.6</v>
      </c>
      <c r="W884" s="321">
        <v>0.6</v>
      </c>
      <c r="X884" s="328"/>
      <c r="Y884" s="329" t="s">
        <v>63</v>
      </c>
      <c r="Z884" s="326"/>
      <c r="AA884" s="330" t="s">
        <v>64</v>
      </c>
      <c r="AB884" s="330" t="s">
        <v>65</v>
      </c>
      <c r="AC884" s="331">
        <v>0.1</v>
      </c>
      <c r="AD884" s="331">
        <v>0</v>
      </c>
      <c r="AE884" s="327" t="s">
        <v>66</v>
      </c>
      <c r="AF884" s="332">
        <v>50000</v>
      </c>
      <c r="AG884" s="333">
        <v>8</v>
      </c>
      <c r="AH884" s="333">
        <v>7</v>
      </c>
      <c r="AI884" s="333">
        <v>6</v>
      </c>
      <c r="AJ884" s="327">
        <v>15</v>
      </c>
      <c r="AK884" s="335" t="s">
        <v>67</v>
      </c>
      <c r="AL884" s="335" t="s">
        <v>68</v>
      </c>
      <c r="AM884" s="336" t="s">
        <v>69</v>
      </c>
      <c r="AN884" s="336" t="s">
        <v>70</v>
      </c>
      <c r="AO884" s="314">
        <f t="shared" si="1723"/>
        <v>0.798622685185185</v>
      </c>
      <c r="AP884" s="315">
        <f t="shared" si="1724"/>
        <v>278</v>
      </c>
      <c r="AQ884" s="316" t="str">
        <f t="shared" si="1725"/>
        <v>MICRO</v>
      </c>
    </row>
    <row r="885" ht="29.25" customHeight="1" outlineLevel="1" spans="1:43">
      <c r="B885" s="317">
        <v>0.708344907407407</v>
      </c>
      <c r="C885" s="293" t="str">
        <f t="shared" ref="C885:G885" si="1848">TEXT(IF($B885=0," ",$B885-C$6),"hh:mm am/pm")</f>
        <v>15:00 001/p1</v>
      </c>
      <c r="D885" s="293" t="str">
        <f t="shared" si="1848"/>
        <v>13:00 001/p1</v>
      </c>
      <c r="E885" s="293" t="str">
        <f t="shared" si="1848"/>
        <v>14:00 001/p1</v>
      </c>
      <c r="F885" s="293" t="str">
        <f t="shared" si="1848"/>
        <v>15:00 001/p1</v>
      </c>
      <c r="G885" s="293" t="str">
        <f t="shared" si="1848"/>
        <v>16:00 001/p1</v>
      </c>
      <c r="H885" s="293" t="str">
        <f t="shared" ref="H885:I885" si="1849">TEXT(IF($B885=0," ",$B885+H$6),"hh:mm am/pm")</f>
        <v>23:00 001/p1</v>
      </c>
      <c r="I885" s="293" t="str">
        <f t="shared" si="1849"/>
        <v>04:00 001/p1</v>
      </c>
      <c r="J885" s="294" t="s">
        <v>149</v>
      </c>
      <c r="K885" s="295"/>
      <c r="L885" s="337" t="s">
        <v>149</v>
      </c>
      <c r="M885" s="338" t="s">
        <v>71</v>
      </c>
      <c r="N885" s="339" t="s">
        <v>57</v>
      </c>
      <c r="O885" s="340" t="s">
        <v>74</v>
      </c>
      <c r="P885" s="341" t="s">
        <v>75</v>
      </c>
      <c r="Q885" s="342">
        <v>50</v>
      </c>
      <c r="R885" s="343" t="s">
        <v>60</v>
      </c>
      <c r="S885" s="344"/>
      <c r="T885" s="345" t="s">
        <v>61</v>
      </c>
      <c r="U885" s="339" t="s">
        <v>62</v>
      </c>
      <c r="V885" s="339">
        <v>0.6</v>
      </c>
      <c r="W885" s="339">
        <v>0.6</v>
      </c>
      <c r="X885" s="354"/>
      <c r="Y885" s="347" t="s">
        <v>63</v>
      </c>
      <c r="Z885" s="339">
        <v>0.6</v>
      </c>
      <c r="AA885" s="348">
        <v>30000</v>
      </c>
      <c r="AB885" s="348" t="s">
        <v>65</v>
      </c>
      <c r="AC885" s="349">
        <v>0.1</v>
      </c>
      <c r="AD885" s="349">
        <v>0</v>
      </c>
      <c r="AE885" s="345" t="s">
        <v>112</v>
      </c>
      <c r="AF885" s="346">
        <v>20000</v>
      </c>
      <c r="AG885" s="350">
        <v>5</v>
      </c>
      <c r="AH885" s="350">
        <v>5</v>
      </c>
      <c r="AI885" s="350">
        <v>5</v>
      </c>
      <c r="AJ885" s="345">
        <v>15</v>
      </c>
      <c r="AK885" s="352" t="s">
        <v>150</v>
      </c>
      <c r="AL885" s="352" t="s">
        <v>68</v>
      </c>
      <c r="AM885" s="353" t="s">
        <v>69</v>
      </c>
      <c r="AN885" s="353" t="s">
        <v>70</v>
      </c>
      <c r="AO885" s="314">
        <f t="shared" si="1723"/>
        <v>0.763900462962963</v>
      </c>
      <c r="AP885" s="315">
        <f t="shared" si="1724"/>
        <v>93</v>
      </c>
      <c r="AQ885" s="316" t="str">
        <f t="shared" si="1725"/>
        <v>MICRO</v>
      </c>
    </row>
    <row r="886" ht="29.25" customHeight="1" outlineLevel="1" spans="1:43">
      <c r="A886" s="363" t="s">
        <v>438</v>
      </c>
      <c r="B886" s="317">
        <v>0.729178240740741</v>
      </c>
      <c r="C886" s="293" t="str">
        <f t="shared" ref="C886:G886" si="1850">TEXT(IF($B886=0," ",$B886-C$6),"hh:mm am/pm")</f>
        <v>15:30 001/p1</v>
      </c>
      <c r="D886" s="293" t="str">
        <f t="shared" si="1850"/>
        <v>13:30 001/p1</v>
      </c>
      <c r="E886" s="293" t="str">
        <f t="shared" si="1850"/>
        <v>14:30 001/p1</v>
      </c>
      <c r="F886" s="293" t="str">
        <f t="shared" si="1850"/>
        <v>15:30 001/p1</v>
      </c>
      <c r="G886" s="293" t="str">
        <f t="shared" si="1850"/>
        <v>16:30 001/p1</v>
      </c>
      <c r="H886" s="293" t="str">
        <f t="shared" ref="H886:I886" si="1851">TEXT(IF($B886=0," ",$B886+H$6),"hh:mm am/pm")</f>
        <v>23:30 001/p1</v>
      </c>
      <c r="I886" s="293" t="str">
        <f t="shared" si="1851"/>
        <v>04:30 001/p1</v>
      </c>
      <c r="J886" s="537" t="s">
        <v>396</v>
      </c>
      <c r="K886" s="295"/>
      <c r="L886" s="563" t="s">
        <v>174</v>
      </c>
      <c r="M886" s="320" t="s">
        <v>71</v>
      </c>
      <c r="N886" s="321" t="s">
        <v>57</v>
      </c>
      <c r="O886" s="322" t="s">
        <v>82</v>
      </c>
      <c r="P886" s="323" t="s">
        <v>75</v>
      </c>
      <c r="Q886" s="324">
        <v>2500</v>
      </c>
      <c r="R886" s="375" t="s">
        <v>60</v>
      </c>
      <c r="S886" s="326"/>
      <c r="T886" s="327" t="s">
        <v>92</v>
      </c>
      <c r="U886" s="321" t="s">
        <v>62</v>
      </c>
      <c r="V886" s="321">
        <v>5</v>
      </c>
      <c r="W886" s="321">
        <v>5</v>
      </c>
      <c r="X886" s="328"/>
      <c r="Y886" s="329" t="s">
        <v>63</v>
      </c>
      <c r="Z886" s="326"/>
      <c r="AA886" s="330" t="s">
        <v>64</v>
      </c>
      <c r="AB886" s="330" t="s">
        <v>65</v>
      </c>
      <c r="AC886" s="331">
        <v>0.1</v>
      </c>
      <c r="AD886" s="331">
        <v>0.02</v>
      </c>
      <c r="AE886" s="327" t="s">
        <v>88</v>
      </c>
      <c r="AF886" s="332">
        <v>80000</v>
      </c>
      <c r="AG886" s="333">
        <v>12</v>
      </c>
      <c r="AH886" s="333">
        <v>10</v>
      </c>
      <c r="AI886" s="333">
        <v>10</v>
      </c>
      <c r="AJ886" s="327">
        <v>15</v>
      </c>
      <c r="AK886" s="335" t="s">
        <v>67</v>
      </c>
      <c r="AL886" s="335" t="s">
        <v>68</v>
      </c>
      <c r="AM886" s="336" t="s">
        <v>69</v>
      </c>
      <c r="AN886" s="336" t="s">
        <v>70</v>
      </c>
      <c r="AO886" s="314">
        <f t="shared" si="1723"/>
        <v>0.864594907407407</v>
      </c>
      <c r="AP886" s="315">
        <f t="shared" si="1724"/>
        <v>569</v>
      </c>
      <c r="AQ886" s="316" t="str">
        <f t="shared" si="1725"/>
        <v>MICRO</v>
      </c>
    </row>
    <row r="887" ht="29.25" customHeight="1" outlineLevel="1" spans="1:43">
      <c r="B887" s="317">
        <v>0.750011574074074</v>
      </c>
      <c r="C887" s="293" t="str">
        <f t="shared" ref="C887:G887" si="1852">TEXT(IF($B887=0," ",$B887-C$6),"hh:mm am/pm")</f>
        <v>16:00 001/p1</v>
      </c>
      <c r="D887" s="293" t="str">
        <f t="shared" si="1852"/>
        <v>14:00 001/p1</v>
      </c>
      <c r="E887" s="293" t="str">
        <f t="shared" si="1852"/>
        <v>15:00 001/p1</v>
      </c>
      <c r="F887" s="293" t="str">
        <f t="shared" si="1852"/>
        <v>16:00 001/p1</v>
      </c>
      <c r="G887" s="293" t="str">
        <f t="shared" si="1852"/>
        <v>17:00 001/p1</v>
      </c>
      <c r="H887" s="293" t="str">
        <f t="shared" ref="H887:I887" si="1853">TEXT(IF($B887=0," ",$B887+H$6),"hh:mm am/pm")</f>
        <v>00:00 001/p1</v>
      </c>
      <c r="I887" s="293" t="str">
        <f t="shared" si="1853"/>
        <v>05:00 001/p1</v>
      </c>
      <c r="J887" s="294" t="s">
        <v>164</v>
      </c>
      <c r="K887" s="295"/>
      <c r="L887" s="337" t="s">
        <v>129</v>
      </c>
      <c r="M887" s="338" t="s">
        <v>71</v>
      </c>
      <c r="N887" s="339" t="s">
        <v>122</v>
      </c>
      <c r="O887" s="340" t="s">
        <v>74</v>
      </c>
      <c r="P887" s="341" t="s">
        <v>59</v>
      </c>
      <c r="Q887" s="342">
        <v>200</v>
      </c>
      <c r="R887" s="343" t="s">
        <v>60</v>
      </c>
      <c r="S887" s="344"/>
      <c r="T887" s="345" t="s">
        <v>61</v>
      </c>
      <c r="U887" s="339" t="s">
        <v>62</v>
      </c>
      <c r="V887" s="339">
        <v>2</v>
      </c>
      <c r="W887" s="339">
        <v>2</v>
      </c>
      <c r="X887" s="354"/>
      <c r="Y887" s="347" t="s">
        <v>79</v>
      </c>
      <c r="Z887" s="339">
        <v>2</v>
      </c>
      <c r="AA887" s="348">
        <v>100000</v>
      </c>
      <c r="AB887" s="348" t="s">
        <v>65</v>
      </c>
      <c r="AC887" s="349">
        <v>0.1</v>
      </c>
      <c r="AD887" s="349">
        <v>0</v>
      </c>
      <c r="AE887" s="345" t="s">
        <v>66</v>
      </c>
      <c r="AF887" s="346">
        <v>50000</v>
      </c>
      <c r="AG887" s="350">
        <v>8</v>
      </c>
      <c r="AH887" s="350">
        <v>7</v>
      </c>
      <c r="AI887" s="350">
        <v>7</v>
      </c>
      <c r="AJ887" s="345">
        <v>15</v>
      </c>
      <c r="AK887" s="352" t="s">
        <v>67</v>
      </c>
      <c r="AL887" s="352" t="s">
        <v>68</v>
      </c>
      <c r="AM887" s="353" t="s">
        <v>69</v>
      </c>
      <c r="AN887" s="353" t="s">
        <v>70</v>
      </c>
      <c r="AO887" s="314">
        <f t="shared" si="1723"/>
        <v>0.840289351851852</v>
      </c>
      <c r="AP887" s="315">
        <f t="shared" si="1724"/>
        <v>112</v>
      </c>
      <c r="AQ887" s="316" t="str">
        <f t="shared" si="1725"/>
        <v>MICRO</v>
      </c>
    </row>
    <row r="888" ht="29.25" customHeight="1" outlineLevel="1" spans="1:43">
      <c r="B888" s="317">
        <v>0.750011574074074</v>
      </c>
      <c r="C888" s="293" t="str">
        <f t="shared" ref="C888:G888" si="1854">TEXT(IF($B888=0," ",$B888-C$6),"hh:mm am/pm")</f>
        <v>16:00 001/p1</v>
      </c>
      <c r="D888" s="293" t="str">
        <f t="shared" si="1854"/>
        <v>14:00 001/p1</v>
      </c>
      <c r="E888" s="293" t="str">
        <f t="shared" si="1854"/>
        <v>15:00 001/p1</v>
      </c>
      <c r="F888" s="293" t="str">
        <f t="shared" si="1854"/>
        <v>16:00 001/p1</v>
      </c>
      <c r="G888" s="293" t="str">
        <f t="shared" si="1854"/>
        <v>17:00 001/p1</v>
      </c>
      <c r="H888" s="293" t="str">
        <f t="shared" ref="H888:I888" si="1855">TEXT(IF($B888=0," ",$B888+H$6),"hh:mm am/pm")</f>
        <v>00:00 001/p1</v>
      </c>
      <c r="I888" s="293" t="str">
        <f t="shared" si="1855"/>
        <v>05:00 001/p1</v>
      </c>
      <c r="J888" s="318" t="s">
        <v>467</v>
      </c>
      <c r="K888" s="295"/>
      <c r="L888" s="319" t="s">
        <v>177</v>
      </c>
      <c r="M888" s="320" t="s">
        <v>71</v>
      </c>
      <c r="N888" s="321" t="s">
        <v>57</v>
      </c>
      <c r="O888" s="322" t="s">
        <v>74</v>
      </c>
      <c r="P888" s="323" t="s">
        <v>75</v>
      </c>
      <c r="Q888" s="324">
        <v>10200</v>
      </c>
      <c r="R888" s="325" t="s">
        <v>76</v>
      </c>
      <c r="S888" s="326"/>
      <c r="T888" s="327" t="s">
        <v>77</v>
      </c>
      <c r="U888" s="321" t="s">
        <v>78</v>
      </c>
      <c r="V888" s="321">
        <v>2</v>
      </c>
      <c r="W888" s="321">
        <v>2</v>
      </c>
      <c r="X888" s="328"/>
      <c r="Y888" s="329" t="s">
        <v>79</v>
      </c>
      <c r="Z888" s="321">
        <v>3</v>
      </c>
      <c r="AA888" s="330">
        <v>250000</v>
      </c>
      <c r="AB888" s="330" t="s">
        <v>65</v>
      </c>
      <c r="AC888" s="331">
        <v>0.1</v>
      </c>
      <c r="AD888" s="331">
        <v>0.02</v>
      </c>
      <c r="AE888" s="327" t="s">
        <v>88</v>
      </c>
      <c r="AF888" s="332">
        <v>50000</v>
      </c>
      <c r="AG888" s="333">
        <v>10</v>
      </c>
      <c r="AH888" s="333">
        <v>8</v>
      </c>
      <c r="AI888" s="333">
        <v>10</v>
      </c>
      <c r="AJ888" s="327">
        <v>15</v>
      </c>
      <c r="AK888" s="335" t="s">
        <v>67</v>
      </c>
      <c r="AL888" s="335" t="s">
        <v>68</v>
      </c>
      <c r="AM888" s="336" t="s">
        <v>69</v>
      </c>
      <c r="AN888" s="336" t="s">
        <v>70</v>
      </c>
      <c r="AO888" s="314">
        <f t="shared" si="1723"/>
        <v>0.861122685185185</v>
      </c>
      <c r="AP888" s="315">
        <f t="shared" si="1724"/>
        <v>5796</v>
      </c>
      <c r="AQ888" s="316" t="str">
        <f t="shared" si="1725"/>
        <v>MICRO</v>
      </c>
    </row>
    <row r="889" ht="29.25" customHeight="1" outlineLevel="1" spans="1:43">
      <c r="A889" s="363" t="s">
        <v>438</v>
      </c>
      <c r="B889" s="317">
        <v>0.791678240740741</v>
      </c>
      <c r="C889" s="293" t="str">
        <f t="shared" ref="C889:G889" si="1856">TEXT(IF($B889=0," ",$B889-C$6),"hh:mm am/pm")</f>
        <v>17:00 001/p1</v>
      </c>
      <c r="D889" s="293" t="str">
        <f t="shared" si="1856"/>
        <v>15:00 001/p1</v>
      </c>
      <c r="E889" s="293" t="str">
        <f t="shared" si="1856"/>
        <v>16:00 001/p1</v>
      </c>
      <c r="F889" s="293" t="str">
        <f t="shared" si="1856"/>
        <v>17:00 001/p1</v>
      </c>
      <c r="G889" s="293" t="str">
        <f t="shared" si="1856"/>
        <v>18:00 001/p1</v>
      </c>
      <c r="H889" s="293" t="str">
        <f t="shared" ref="H889:I889" si="1857">TEXT(IF($B889=0," ",$B889+H$6),"hh:mm am/pm")</f>
        <v>01:00 001/p1</v>
      </c>
      <c r="I889" s="293" t="str">
        <f t="shared" si="1857"/>
        <v>06:00 001/p1</v>
      </c>
      <c r="J889" s="537" t="s">
        <v>185</v>
      </c>
      <c r="K889" s="295"/>
      <c r="L889" s="337" t="s">
        <v>157</v>
      </c>
      <c r="M889" s="338" t="s">
        <v>71</v>
      </c>
      <c r="N889" s="339" t="s">
        <v>100</v>
      </c>
      <c r="O889" s="340" t="s">
        <v>82</v>
      </c>
      <c r="P889" s="341" t="s">
        <v>101</v>
      </c>
      <c r="Q889" s="342">
        <v>6000</v>
      </c>
      <c r="R889" s="343" t="s">
        <v>60</v>
      </c>
      <c r="S889" s="344"/>
      <c r="T889" s="345" t="s">
        <v>92</v>
      </c>
      <c r="U889" s="339" t="s">
        <v>62</v>
      </c>
      <c r="V889" s="339">
        <v>15</v>
      </c>
      <c r="W889" s="339">
        <v>15</v>
      </c>
      <c r="X889" s="354"/>
      <c r="Y889" s="347" t="s">
        <v>63</v>
      </c>
      <c r="Z889" s="344"/>
      <c r="AA889" s="348" t="s">
        <v>64</v>
      </c>
      <c r="AB889" s="348" t="s">
        <v>65</v>
      </c>
      <c r="AC889" s="349">
        <v>0.1</v>
      </c>
      <c r="AD889" s="349">
        <v>0.02</v>
      </c>
      <c r="AE889" s="345" t="s">
        <v>66</v>
      </c>
      <c r="AF889" s="346">
        <v>50000</v>
      </c>
      <c r="AG889" s="350">
        <v>12</v>
      </c>
      <c r="AH889" s="350">
        <v>10</v>
      </c>
      <c r="AI889" s="350">
        <v>10</v>
      </c>
      <c r="AJ889" s="345">
        <v>15</v>
      </c>
      <c r="AK889" s="352" t="s">
        <v>67</v>
      </c>
      <c r="AL889" s="352" t="s">
        <v>68</v>
      </c>
      <c r="AM889" s="353" t="s">
        <v>69</v>
      </c>
      <c r="AN889" s="353" t="s">
        <v>70</v>
      </c>
      <c r="AO889" s="314">
        <f t="shared" si="1723"/>
        <v>0.927094907407407</v>
      </c>
      <c r="AP889" s="315">
        <f t="shared" si="1724"/>
        <v>455</v>
      </c>
      <c r="AQ889" s="316" t="str">
        <f t="shared" si="1725"/>
        <v>LOW</v>
      </c>
    </row>
    <row r="890" ht="29.25" customHeight="1" outlineLevel="1" spans="1:43">
      <c r="B890" s="317">
        <v>0.791678240740741</v>
      </c>
      <c r="C890" s="293" t="str">
        <f t="shared" ref="C890:G890" si="1858">TEXT(IF($B890=0," ",$B890-C$6),"hh:mm am/pm")</f>
        <v>17:00 001/p1</v>
      </c>
      <c r="D890" s="293" t="str">
        <f t="shared" si="1858"/>
        <v>15:00 001/p1</v>
      </c>
      <c r="E890" s="293" t="str">
        <f t="shared" si="1858"/>
        <v>16:00 001/p1</v>
      </c>
      <c r="F890" s="293" t="str">
        <f t="shared" si="1858"/>
        <v>17:00 001/p1</v>
      </c>
      <c r="G890" s="293" t="str">
        <f t="shared" si="1858"/>
        <v>18:00 001/p1</v>
      </c>
      <c r="H890" s="293" t="str">
        <f t="shared" ref="H890:I890" si="1859">TEXT(IF($B890=0," ",$B890+H$6),"hh:mm am/pm")</f>
        <v>01:00 001/p1</v>
      </c>
      <c r="I890" s="293" t="str">
        <f t="shared" si="1859"/>
        <v>06:00 001/p1</v>
      </c>
      <c r="J890" s="294" t="s">
        <v>120</v>
      </c>
      <c r="K890" s="295"/>
      <c r="L890" s="319" t="s">
        <v>121</v>
      </c>
      <c r="M890" s="320" t="s">
        <v>71</v>
      </c>
      <c r="N890" s="321" t="s">
        <v>100</v>
      </c>
      <c r="O890" s="322" t="s">
        <v>109</v>
      </c>
      <c r="P890" s="323" t="s">
        <v>101</v>
      </c>
      <c r="Q890" s="324">
        <v>500</v>
      </c>
      <c r="R890" s="375" t="s">
        <v>60</v>
      </c>
      <c r="S890" s="326"/>
      <c r="T890" s="327" t="s">
        <v>61</v>
      </c>
      <c r="U890" s="321" t="s">
        <v>62</v>
      </c>
      <c r="V890" s="321">
        <v>2</v>
      </c>
      <c r="W890" s="321">
        <v>2</v>
      </c>
      <c r="X890" s="328"/>
      <c r="Y890" s="329" t="s">
        <v>63</v>
      </c>
      <c r="Z890" s="326"/>
      <c r="AA890" s="330" t="s">
        <v>64</v>
      </c>
      <c r="AB890" s="330" t="s">
        <v>65</v>
      </c>
      <c r="AC890" s="331">
        <v>0.1</v>
      </c>
      <c r="AD890" s="331">
        <v>0.02</v>
      </c>
      <c r="AE890" s="327" t="s">
        <v>66</v>
      </c>
      <c r="AF890" s="332">
        <v>50000</v>
      </c>
      <c r="AG890" s="333">
        <v>10</v>
      </c>
      <c r="AH890" s="333">
        <v>8</v>
      </c>
      <c r="AI890" s="333">
        <v>8</v>
      </c>
      <c r="AJ890" s="327">
        <v>15</v>
      </c>
      <c r="AK890" s="335" t="s">
        <v>67</v>
      </c>
      <c r="AL890" s="335" t="s">
        <v>68</v>
      </c>
      <c r="AM890" s="336" t="s">
        <v>69</v>
      </c>
      <c r="AN890" s="336" t="s">
        <v>70</v>
      </c>
      <c r="AO890" s="314">
        <f t="shared" si="1723"/>
        <v>0.902789351851852</v>
      </c>
      <c r="AP890" s="315">
        <f t="shared" si="1724"/>
        <v>285</v>
      </c>
      <c r="AQ890" s="316" t="str">
        <f t="shared" si="1725"/>
        <v>MICRO</v>
      </c>
    </row>
    <row r="891" ht="29.25" customHeight="1" outlineLevel="1" spans="1:43">
      <c r="B891" s="317">
        <v>0.791678240740741</v>
      </c>
      <c r="C891" s="293" t="str">
        <f t="shared" ref="C891:G891" si="1860">TEXT(IF($B891=0," ",$B891-C$6),"hh:mm am/pm")</f>
        <v>17:00 001/p1</v>
      </c>
      <c r="D891" s="293" t="str">
        <f t="shared" si="1860"/>
        <v>15:00 001/p1</v>
      </c>
      <c r="E891" s="293" t="str">
        <f t="shared" si="1860"/>
        <v>16:00 001/p1</v>
      </c>
      <c r="F891" s="293" t="str">
        <f t="shared" si="1860"/>
        <v>17:00 001/p1</v>
      </c>
      <c r="G891" s="293" t="str">
        <f t="shared" si="1860"/>
        <v>18:00 001/p1</v>
      </c>
      <c r="H891" s="293" t="str">
        <f t="shared" ref="H891:I891" si="1861">TEXT(IF($B891=0," ",$B891+H$6),"hh:mm am/pm")</f>
        <v>01:00 001/p1</v>
      </c>
      <c r="I891" s="293" t="str">
        <f t="shared" si="1861"/>
        <v>06:00 001/p1</v>
      </c>
      <c r="J891" s="537" t="s">
        <v>458</v>
      </c>
      <c r="K891" s="295"/>
      <c r="L891" s="337" t="s">
        <v>152</v>
      </c>
      <c r="M891" s="338" t="s">
        <v>71</v>
      </c>
      <c r="N891" s="339" t="s">
        <v>57</v>
      </c>
      <c r="O891" s="340" t="s">
        <v>104</v>
      </c>
      <c r="P891" s="341" t="s">
        <v>59</v>
      </c>
      <c r="Q891" s="342">
        <v>1000</v>
      </c>
      <c r="R891" s="343" t="s">
        <v>60</v>
      </c>
      <c r="S891" s="344"/>
      <c r="T891" s="345" t="s">
        <v>61</v>
      </c>
      <c r="U891" s="339" t="s">
        <v>62</v>
      </c>
      <c r="V891" s="339">
        <v>2</v>
      </c>
      <c r="W891" s="339">
        <v>2</v>
      </c>
      <c r="X891" s="354"/>
      <c r="Y891" s="347" t="s">
        <v>63</v>
      </c>
      <c r="Z891" s="344"/>
      <c r="AA891" s="348" t="s">
        <v>64</v>
      </c>
      <c r="AB891" s="348" t="s">
        <v>65</v>
      </c>
      <c r="AC891" s="349">
        <v>0.1</v>
      </c>
      <c r="AD891" s="349">
        <v>0.02</v>
      </c>
      <c r="AE891" s="345" t="s">
        <v>66</v>
      </c>
      <c r="AF891" s="346">
        <v>40000</v>
      </c>
      <c r="AG891" s="350">
        <v>10</v>
      </c>
      <c r="AH891" s="350">
        <v>8</v>
      </c>
      <c r="AI891" s="350">
        <v>8</v>
      </c>
      <c r="AJ891" s="345">
        <v>14</v>
      </c>
      <c r="AK891" s="352" t="s">
        <v>67</v>
      </c>
      <c r="AL891" s="352" t="s">
        <v>68</v>
      </c>
      <c r="AM891" s="353" t="s">
        <v>69</v>
      </c>
      <c r="AN891" s="353" t="s">
        <v>70</v>
      </c>
      <c r="AO891" s="314">
        <f t="shared" si="1723"/>
        <v>0.895844907407407</v>
      </c>
      <c r="AP891" s="315">
        <f t="shared" si="1724"/>
        <v>569</v>
      </c>
      <c r="AQ891" s="316" t="str">
        <f t="shared" si="1725"/>
        <v>MICRO</v>
      </c>
    </row>
    <row r="892" ht="29.25" customHeight="1" outlineLevel="1" spans="1:43">
      <c r="A892" s="363"/>
      <c r="B892" s="317">
        <v>0.791678240740741</v>
      </c>
      <c r="C892" s="293" t="str">
        <f t="shared" ref="C892:G892" si="1862">TEXT(IF($B892=0," ",$B892-C$6),"hh:mm am/pm")</f>
        <v>17:00 001/p1</v>
      </c>
      <c r="D892" s="293" t="str">
        <f t="shared" si="1862"/>
        <v>15:00 001/p1</v>
      </c>
      <c r="E892" s="293" t="str">
        <f t="shared" si="1862"/>
        <v>16:00 001/p1</v>
      </c>
      <c r="F892" s="293" t="str">
        <f t="shared" si="1862"/>
        <v>17:00 001/p1</v>
      </c>
      <c r="G892" s="293" t="str">
        <f t="shared" si="1862"/>
        <v>18:00 001/p1</v>
      </c>
      <c r="H892" s="293" t="str">
        <f t="shared" ref="H892:I892" si="1863">TEXT(IF($B892=0," ",$B892+H$6),"hh:mm am/pm")</f>
        <v>01:00 001/p1</v>
      </c>
      <c r="I892" s="293" t="str">
        <f t="shared" si="1863"/>
        <v>06:00 001/p1</v>
      </c>
      <c r="J892" s="318" t="s">
        <v>332</v>
      </c>
      <c r="K892" s="295"/>
      <c r="L892" s="319" t="s">
        <v>332</v>
      </c>
      <c r="M892" s="320" t="s">
        <v>71</v>
      </c>
      <c r="N892" s="321" t="s">
        <v>57</v>
      </c>
      <c r="O892" s="322" t="s">
        <v>74</v>
      </c>
      <c r="P892" s="323" t="s">
        <v>75</v>
      </c>
      <c r="Q892" s="324">
        <v>150</v>
      </c>
      <c r="R892" s="377" t="s">
        <v>181</v>
      </c>
      <c r="S892" s="326"/>
      <c r="T892" s="327" t="s">
        <v>61</v>
      </c>
      <c r="U892" s="321" t="s">
        <v>62</v>
      </c>
      <c r="V892" s="321">
        <v>0</v>
      </c>
      <c r="W892" s="321">
        <v>0.6</v>
      </c>
      <c r="X892" s="332">
        <v>30000</v>
      </c>
      <c r="Y892" s="332" t="s">
        <v>79</v>
      </c>
      <c r="Z892" s="321">
        <v>1</v>
      </c>
      <c r="AA892" s="330">
        <v>60000</v>
      </c>
      <c r="AB892" s="330" t="s">
        <v>65</v>
      </c>
      <c r="AC892" s="331">
        <v>0.05</v>
      </c>
      <c r="AD892" s="331">
        <v>0</v>
      </c>
      <c r="AE892" s="327" t="s">
        <v>112</v>
      </c>
      <c r="AF892" s="332">
        <v>15000</v>
      </c>
      <c r="AG892" s="333">
        <v>6</v>
      </c>
      <c r="AH892" s="333">
        <v>5</v>
      </c>
      <c r="AI892" s="333">
        <v>4</v>
      </c>
      <c r="AJ892" s="327">
        <v>15</v>
      </c>
      <c r="AK892" s="335">
        <v>1132285</v>
      </c>
      <c r="AL892" s="496"/>
      <c r="AM892" s="336" t="s">
        <v>69</v>
      </c>
      <c r="AN892" s="336" t="s">
        <v>70</v>
      </c>
      <c r="AO892" s="314">
        <f t="shared" si="1723"/>
        <v>0.857650462962963</v>
      </c>
      <c r="AP892" s="315" t="e">
        <f t="shared" si="1724"/>
        <v>#DIV/0!</v>
      </c>
      <c r="AQ892" s="316" t="str">
        <f t="shared" si="1725"/>
        <v> </v>
      </c>
    </row>
    <row r="893" ht="29.25" customHeight="1" outlineLevel="1" spans="1:43">
      <c r="B893" s="317">
        <v>0.802094907407407</v>
      </c>
      <c r="C893" s="293" t="str">
        <f t="shared" ref="C893:G893" si="1864">TEXT(IF($B893=0," ",$B893-C$6),"hh:mm am/pm")</f>
        <v>17:15 001/p1</v>
      </c>
      <c r="D893" s="293" t="str">
        <f t="shared" si="1864"/>
        <v>15:15 001/p1</v>
      </c>
      <c r="E893" s="293" t="str">
        <f t="shared" si="1864"/>
        <v>16:15 001/p1</v>
      </c>
      <c r="F893" s="293" t="str">
        <f t="shared" si="1864"/>
        <v>17:15 001/p1</v>
      </c>
      <c r="G893" s="293" t="str">
        <f t="shared" si="1864"/>
        <v>18:15 001/p1</v>
      </c>
      <c r="H893" s="293" t="str">
        <f t="shared" ref="H893:I893" si="1865">TEXT(IF($B893=0," ",$B893+H$6),"hh:mm am/pm")</f>
        <v>01:15 001/p1</v>
      </c>
      <c r="I893" s="293" t="str">
        <f t="shared" si="1865"/>
        <v>06:15 001/p1</v>
      </c>
      <c r="J893" s="294" t="s">
        <v>149</v>
      </c>
      <c r="K893" s="295"/>
      <c r="L893" s="337" t="s">
        <v>149</v>
      </c>
      <c r="M893" s="338" t="s">
        <v>71</v>
      </c>
      <c r="N893" s="339" t="s">
        <v>57</v>
      </c>
      <c r="O893" s="340" t="s">
        <v>74</v>
      </c>
      <c r="P893" s="341" t="s">
        <v>75</v>
      </c>
      <c r="Q893" s="342">
        <v>50</v>
      </c>
      <c r="R893" s="343" t="s">
        <v>60</v>
      </c>
      <c r="S893" s="344"/>
      <c r="T893" s="345" t="s">
        <v>61</v>
      </c>
      <c r="U893" s="339" t="s">
        <v>62</v>
      </c>
      <c r="V893" s="339">
        <v>0.6</v>
      </c>
      <c r="W893" s="339">
        <v>0.6</v>
      </c>
      <c r="X893" s="354"/>
      <c r="Y893" s="347" t="s">
        <v>63</v>
      </c>
      <c r="Z893" s="339">
        <v>0.6</v>
      </c>
      <c r="AA893" s="348">
        <v>30000</v>
      </c>
      <c r="AB893" s="348" t="s">
        <v>65</v>
      </c>
      <c r="AC893" s="349">
        <v>0.1</v>
      </c>
      <c r="AD893" s="349">
        <v>0</v>
      </c>
      <c r="AE893" s="345" t="s">
        <v>112</v>
      </c>
      <c r="AF893" s="346">
        <v>20000</v>
      </c>
      <c r="AG893" s="350">
        <v>5</v>
      </c>
      <c r="AH893" s="350">
        <v>5</v>
      </c>
      <c r="AI893" s="350">
        <v>5</v>
      </c>
      <c r="AJ893" s="345">
        <v>15</v>
      </c>
      <c r="AK893" s="352" t="s">
        <v>150</v>
      </c>
      <c r="AL893" s="352" t="s">
        <v>68</v>
      </c>
      <c r="AM893" s="353" t="s">
        <v>69</v>
      </c>
      <c r="AN893" s="353" t="s">
        <v>70</v>
      </c>
      <c r="AO893" s="314">
        <f t="shared" si="1723"/>
        <v>0.857650462962963</v>
      </c>
      <c r="AP893" s="315">
        <f t="shared" si="1724"/>
        <v>93</v>
      </c>
      <c r="AQ893" s="316" t="str">
        <f t="shared" si="1725"/>
        <v>MICRO</v>
      </c>
    </row>
    <row r="894" ht="29.25" customHeight="1" outlineLevel="1" spans="1:43">
      <c r="B894" s="364">
        <v>0.812511574074074</v>
      </c>
      <c r="C894" s="293" t="str">
        <f t="shared" ref="C894:G894" si="1866">TEXT(IF($B894=0," ",$B894-C$6),"hh:mm am/pm")</f>
        <v>17:30 001/p1</v>
      </c>
      <c r="D894" s="293" t="str">
        <f t="shared" si="1866"/>
        <v>15:30 001/p1</v>
      </c>
      <c r="E894" s="293" t="str">
        <f t="shared" si="1866"/>
        <v>16:30 001/p1</v>
      </c>
      <c r="F894" s="293" t="str">
        <f t="shared" si="1866"/>
        <v>17:30 001/p1</v>
      </c>
      <c r="G894" s="293" t="str">
        <f t="shared" si="1866"/>
        <v>18:30 001/p1</v>
      </c>
      <c r="H894" s="293" t="str">
        <f t="shared" ref="H894:I894" si="1867">TEXT(IF($B894=0," ",$B894+H$6),"hh:mm am/pm")</f>
        <v>01:30 001/p1</v>
      </c>
      <c r="I894" s="293" t="str">
        <f t="shared" si="1867"/>
        <v>06:30 001/p1</v>
      </c>
      <c r="J894" s="537" t="s">
        <v>468</v>
      </c>
      <c r="K894" s="295"/>
      <c r="L894" s="319" t="s">
        <v>469</v>
      </c>
      <c r="M894" s="320" t="s">
        <v>71</v>
      </c>
      <c r="N894" s="321" t="s">
        <v>165</v>
      </c>
      <c r="O894" s="322" t="s">
        <v>82</v>
      </c>
      <c r="P894" s="323" t="s">
        <v>101</v>
      </c>
      <c r="Q894" s="324">
        <v>2500</v>
      </c>
      <c r="R894" s="375" t="s">
        <v>60</v>
      </c>
      <c r="S894" s="326"/>
      <c r="T894" s="327" t="s">
        <v>92</v>
      </c>
      <c r="U894" s="321" t="s">
        <v>62</v>
      </c>
      <c r="V894" s="321">
        <v>30</v>
      </c>
      <c r="W894" s="321">
        <v>30</v>
      </c>
      <c r="X894" s="328"/>
      <c r="Y894" s="329" t="s">
        <v>63</v>
      </c>
      <c r="Z894" s="326"/>
      <c r="AA894" s="330" t="s">
        <v>64</v>
      </c>
      <c r="AB894" s="330" t="s">
        <v>65</v>
      </c>
      <c r="AC894" s="331">
        <v>0.1</v>
      </c>
      <c r="AD894" s="331">
        <v>0.02</v>
      </c>
      <c r="AE894" s="327" t="s">
        <v>88</v>
      </c>
      <c r="AF894" s="332">
        <v>80000</v>
      </c>
      <c r="AG894" s="333">
        <v>10</v>
      </c>
      <c r="AH894" s="333">
        <v>10</v>
      </c>
      <c r="AI894" s="333">
        <v>8</v>
      </c>
      <c r="AJ894" s="327">
        <v>15</v>
      </c>
      <c r="AK894" s="335" t="s">
        <v>67</v>
      </c>
      <c r="AL894" s="335" t="s">
        <v>68</v>
      </c>
      <c r="AM894" s="336" t="s">
        <v>69</v>
      </c>
      <c r="AN894" s="336" t="s">
        <v>70</v>
      </c>
      <c r="AO894" s="314">
        <f t="shared" si="1723"/>
        <v>0.923622685185185</v>
      </c>
      <c r="AP894" s="315">
        <f t="shared" si="1724"/>
        <v>95</v>
      </c>
      <c r="AQ894" s="316" t="str">
        <f t="shared" si="1725"/>
        <v>MEDIUM</v>
      </c>
    </row>
    <row r="895" ht="29.25" customHeight="1" outlineLevel="1" spans="1:43">
      <c r="A895" s="363" t="s">
        <v>438</v>
      </c>
      <c r="B895" s="317">
        <v>0.833344907407407</v>
      </c>
      <c r="C895" s="293" t="str">
        <f t="shared" ref="C895:G895" si="1868">TEXT(IF($B895=0," ",$B895-C$6),"hh:mm am/pm")</f>
        <v>18:00 001/p1</v>
      </c>
      <c r="D895" s="293" t="str">
        <f t="shared" si="1868"/>
        <v>16:00 001/p1</v>
      </c>
      <c r="E895" s="293" t="str">
        <f t="shared" si="1868"/>
        <v>17:00 001/p1</v>
      </c>
      <c r="F895" s="293" t="str">
        <f t="shared" si="1868"/>
        <v>18:00 001/p1</v>
      </c>
      <c r="G895" s="293" t="str">
        <f t="shared" si="1868"/>
        <v>19:00 001/p1</v>
      </c>
      <c r="H895" s="293" t="str">
        <f t="shared" ref="H895:I895" si="1869">TEXT(IF($B895=0," ",$B895+H$6),"hh:mm am/pm")</f>
        <v>02:00 001/p1</v>
      </c>
      <c r="I895" s="293" t="str">
        <f t="shared" si="1869"/>
        <v>07:00 001/p1</v>
      </c>
      <c r="J895" s="318" t="s">
        <v>225</v>
      </c>
      <c r="K895" s="295"/>
      <c r="L895" s="337" t="s">
        <v>73</v>
      </c>
      <c r="M895" s="338" t="s">
        <v>71</v>
      </c>
      <c r="N895" s="339" t="s">
        <v>57</v>
      </c>
      <c r="O895" s="340" t="s">
        <v>74</v>
      </c>
      <c r="P895" s="341" t="s">
        <v>75</v>
      </c>
      <c r="Q895" s="342">
        <v>6200</v>
      </c>
      <c r="R895" s="325" t="s">
        <v>76</v>
      </c>
      <c r="S895" s="344"/>
      <c r="T895" s="345" t="s">
        <v>115</v>
      </c>
      <c r="U895" s="339" t="s">
        <v>62</v>
      </c>
      <c r="V895" s="339">
        <v>4</v>
      </c>
      <c r="W895" s="339">
        <v>4</v>
      </c>
      <c r="X895" s="354"/>
      <c r="Y895" s="347" t="s">
        <v>79</v>
      </c>
      <c r="Z895" s="339">
        <v>4</v>
      </c>
      <c r="AA895" s="348">
        <v>200000</v>
      </c>
      <c r="AB895" s="348" t="s">
        <v>65</v>
      </c>
      <c r="AC895" s="349">
        <v>0.1</v>
      </c>
      <c r="AD895" s="349">
        <v>0.02</v>
      </c>
      <c r="AE895" s="345" t="s">
        <v>88</v>
      </c>
      <c r="AF895" s="346">
        <v>50000</v>
      </c>
      <c r="AG895" s="350">
        <v>10</v>
      </c>
      <c r="AH895" s="350">
        <v>8</v>
      </c>
      <c r="AI895" s="350">
        <v>8</v>
      </c>
      <c r="AJ895" s="345">
        <v>14</v>
      </c>
      <c r="AK895" s="352" t="s">
        <v>67</v>
      </c>
      <c r="AL895" s="352" t="s">
        <v>68</v>
      </c>
      <c r="AM895" s="353" t="s">
        <v>69</v>
      </c>
      <c r="AN895" s="353" t="s">
        <v>70</v>
      </c>
      <c r="AO895" s="314">
        <f t="shared" si="1723"/>
        <v>0.937511574074074</v>
      </c>
      <c r="AP895" s="315">
        <f t="shared" si="1724"/>
        <v>1762</v>
      </c>
      <c r="AQ895" s="316" t="str">
        <f t="shared" si="1725"/>
        <v>MICRO</v>
      </c>
    </row>
    <row r="896" ht="29.25" customHeight="1" outlineLevel="1" spans="1:43">
      <c r="B896" s="317">
        <v>0.833344907407407</v>
      </c>
      <c r="C896" s="293" t="str">
        <f t="shared" ref="C896:G896" si="1870">TEXT(IF($B896=0," ",$B896-C$6),"hh:mm am/pm")</f>
        <v>18:00 001/p1</v>
      </c>
      <c r="D896" s="293" t="str">
        <f t="shared" si="1870"/>
        <v>16:00 001/p1</v>
      </c>
      <c r="E896" s="293" t="str">
        <f t="shared" si="1870"/>
        <v>17:00 001/p1</v>
      </c>
      <c r="F896" s="293" t="str">
        <f t="shared" si="1870"/>
        <v>18:00 001/p1</v>
      </c>
      <c r="G896" s="293" t="str">
        <f t="shared" si="1870"/>
        <v>19:00 001/p1</v>
      </c>
      <c r="H896" s="293" t="str">
        <f t="shared" ref="H896:I896" si="1871">TEXT(IF($B896=0," ",$B896+H$6),"hh:mm am/pm")</f>
        <v>02:00 001/p1</v>
      </c>
      <c r="I896" s="293" t="str">
        <f t="shared" si="1871"/>
        <v>07:00 001/p1</v>
      </c>
      <c r="J896" s="294" t="s">
        <v>399</v>
      </c>
      <c r="K896" s="295"/>
      <c r="L896" s="319" t="s">
        <v>133</v>
      </c>
      <c r="M896" s="320" t="s">
        <v>71</v>
      </c>
      <c r="N896" s="321" t="s">
        <v>57</v>
      </c>
      <c r="O896" s="322" t="s">
        <v>58</v>
      </c>
      <c r="P896" s="323" t="s">
        <v>59</v>
      </c>
      <c r="Q896" s="324">
        <v>120</v>
      </c>
      <c r="R896" s="375" t="s">
        <v>60</v>
      </c>
      <c r="S896" s="326"/>
      <c r="T896" s="327" t="s">
        <v>61</v>
      </c>
      <c r="U896" s="321" t="s">
        <v>62</v>
      </c>
      <c r="V896" s="321">
        <v>1.6</v>
      </c>
      <c r="W896" s="321">
        <v>1.6</v>
      </c>
      <c r="X896" s="328"/>
      <c r="Y896" s="329" t="s">
        <v>63</v>
      </c>
      <c r="Z896" s="326"/>
      <c r="AA896" s="330" t="s">
        <v>64</v>
      </c>
      <c r="AB896" s="330" t="s">
        <v>65</v>
      </c>
      <c r="AC896" s="331">
        <v>0.1</v>
      </c>
      <c r="AD896" s="331">
        <v>0</v>
      </c>
      <c r="AE896" s="327" t="s">
        <v>66</v>
      </c>
      <c r="AF896" s="332">
        <v>30000</v>
      </c>
      <c r="AG896" s="333">
        <v>10</v>
      </c>
      <c r="AH896" s="333">
        <v>8</v>
      </c>
      <c r="AI896" s="333">
        <v>8</v>
      </c>
      <c r="AJ896" s="327">
        <v>12</v>
      </c>
      <c r="AK896" s="335" t="s">
        <v>67</v>
      </c>
      <c r="AL896" s="335" t="s">
        <v>68</v>
      </c>
      <c r="AM896" s="336" t="s">
        <v>69</v>
      </c>
      <c r="AN896" s="336" t="s">
        <v>70</v>
      </c>
      <c r="AO896" s="314">
        <f t="shared" si="1723"/>
        <v>0.923622685185185</v>
      </c>
      <c r="AP896" s="315">
        <f t="shared" si="1724"/>
        <v>84</v>
      </c>
      <c r="AQ896" s="316" t="str">
        <f t="shared" si="1725"/>
        <v>MICRO</v>
      </c>
    </row>
    <row r="897" ht="29.25" customHeight="1" outlineLevel="1" spans="1:43">
      <c r="B897" s="317">
        <v>0.875011574074074</v>
      </c>
      <c r="C897" s="293" t="str">
        <f t="shared" ref="C897:G897" si="1872">TEXT(IF($B897=0," ",$B897-C$6),"hh:mm am/pm")</f>
        <v>19:00 001/p1</v>
      </c>
      <c r="D897" s="293" t="str">
        <f t="shared" si="1872"/>
        <v>17:00 001/p1</v>
      </c>
      <c r="E897" s="293" t="str">
        <f t="shared" si="1872"/>
        <v>18:00 001/p1</v>
      </c>
      <c r="F897" s="293" t="str">
        <f t="shared" si="1872"/>
        <v>19:00 001/p1</v>
      </c>
      <c r="G897" s="293" t="str">
        <f t="shared" si="1872"/>
        <v>20:00 001/p1</v>
      </c>
      <c r="H897" s="293" t="str">
        <f t="shared" ref="H897:I897" si="1873">TEXT(IF($B897=0," ",$B897+H$6),"hh:mm am/pm")</f>
        <v>03:00 001/p1</v>
      </c>
      <c r="I897" s="293" t="str">
        <f t="shared" si="1873"/>
        <v>08:00 001/p1</v>
      </c>
      <c r="J897" s="294" t="s">
        <v>470</v>
      </c>
      <c r="K897" s="295"/>
      <c r="L897" s="562" t="s">
        <v>160</v>
      </c>
      <c r="M897" s="338" t="s">
        <v>71</v>
      </c>
      <c r="N897" s="339" t="s">
        <v>57</v>
      </c>
      <c r="O897" s="340" t="s">
        <v>74</v>
      </c>
      <c r="P897" s="341" t="s">
        <v>59</v>
      </c>
      <c r="Q897" s="342">
        <v>3000</v>
      </c>
      <c r="R897" s="343" t="s">
        <v>60</v>
      </c>
      <c r="S897" s="343" t="s">
        <v>188</v>
      </c>
      <c r="T897" s="345" t="s">
        <v>61</v>
      </c>
      <c r="U897" s="339" t="s">
        <v>62</v>
      </c>
      <c r="V897" s="339">
        <v>15</v>
      </c>
      <c r="W897" s="344"/>
      <c r="X897" s="354"/>
      <c r="Y897" s="347" t="s">
        <v>161</v>
      </c>
      <c r="Z897" s="344"/>
      <c r="AA897" s="348" t="s">
        <v>162</v>
      </c>
      <c r="AB897" s="348" t="s">
        <v>65</v>
      </c>
      <c r="AC897" s="349">
        <v>0.08</v>
      </c>
      <c r="AD897" s="349">
        <v>0.02</v>
      </c>
      <c r="AE897" s="345" t="s">
        <v>66</v>
      </c>
      <c r="AF897" s="346">
        <v>40000</v>
      </c>
      <c r="AG897" s="350">
        <v>10</v>
      </c>
      <c r="AH897" s="350">
        <v>10</v>
      </c>
      <c r="AI897" s="350">
        <v>10</v>
      </c>
      <c r="AJ897" s="345">
        <v>14</v>
      </c>
      <c r="AK897" s="352" t="s">
        <v>67</v>
      </c>
      <c r="AL897" s="352" t="s">
        <v>68</v>
      </c>
      <c r="AM897" s="353" t="s">
        <v>69</v>
      </c>
      <c r="AN897" s="353" t="s">
        <v>70</v>
      </c>
      <c r="AO897" s="314">
        <f t="shared" si="1723"/>
        <v>0.979178240740741</v>
      </c>
      <c r="AP897" s="315">
        <f t="shared" si="1724"/>
        <v>223</v>
      </c>
      <c r="AQ897" s="316" t="str">
        <f t="shared" si="1725"/>
        <v>LOW</v>
      </c>
    </row>
    <row r="898" ht="29.25" customHeight="1" outlineLevel="1" spans="1:43">
      <c r="B898" s="317">
        <v>0.875011574074074</v>
      </c>
      <c r="C898" s="293" t="str">
        <f t="shared" ref="C898:G898" si="1874">TEXT(IF($B898=0," ",$B898-C$6),"hh:mm am/pm")</f>
        <v>19:00 001/p1</v>
      </c>
      <c r="D898" s="293" t="str">
        <f t="shared" si="1874"/>
        <v>17:00 001/p1</v>
      </c>
      <c r="E898" s="293" t="str">
        <f t="shared" si="1874"/>
        <v>18:00 001/p1</v>
      </c>
      <c r="F898" s="293" t="str">
        <f t="shared" si="1874"/>
        <v>19:00 001/p1</v>
      </c>
      <c r="G898" s="293" t="str">
        <f t="shared" si="1874"/>
        <v>20:00 001/p1</v>
      </c>
      <c r="H898" s="293" t="str">
        <f t="shared" ref="H898:I898" si="1875">TEXT(IF($B898=0," ",$B898+H$6),"hh:mm am/pm")</f>
        <v>03:00 001/p1</v>
      </c>
      <c r="I898" s="293" t="str">
        <f t="shared" si="1875"/>
        <v>08:00 001/p1</v>
      </c>
      <c r="J898" s="294" t="s">
        <v>417</v>
      </c>
      <c r="K898" s="295"/>
      <c r="L898" s="319" t="s">
        <v>117</v>
      </c>
      <c r="M898" s="320" t="s">
        <v>71</v>
      </c>
      <c r="N898" s="321" t="s">
        <v>100</v>
      </c>
      <c r="O898" s="322" t="s">
        <v>74</v>
      </c>
      <c r="P898" s="323" t="s">
        <v>101</v>
      </c>
      <c r="Q898" s="324">
        <v>300</v>
      </c>
      <c r="R898" s="375" t="s">
        <v>60</v>
      </c>
      <c r="S898" s="326"/>
      <c r="T898" s="327" t="s">
        <v>61</v>
      </c>
      <c r="U898" s="321" t="s">
        <v>62</v>
      </c>
      <c r="V898" s="321">
        <v>1</v>
      </c>
      <c r="W898" s="321">
        <v>1</v>
      </c>
      <c r="X898" s="328"/>
      <c r="Y898" s="329" t="s">
        <v>79</v>
      </c>
      <c r="Z898" s="321">
        <v>1</v>
      </c>
      <c r="AA898" s="330">
        <v>100000</v>
      </c>
      <c r="AB898" s="330" t="s">
        <v>65</v>
      </c>
      <c r="AC898" s="331">
        <v>0.1</v>
      </c>
      <c r="AD898" s="331">
        <v>0.02</v>
      </c>
      <c r="AE898" s="327" t="s">
        <v>88</v>
      </c>
      <c r="AF898" s="332">
        <v>40000</v>
      </c>
      <c r="AG898" s="333">
        <v>8</v>
      </c>
      <c r="AH898" s="333">
        <v>7</v>
      </c>
      <c r="AI898" s="333">
        <v>7</v>
      </c>
      <c r="AJ898" s="327">
        <v>12</v>
      </c>
      <c r="AK898" s="335" t="s">
        <v>67</v>
      </c>
      <c r="AL898" s="335" t="s">
        <v>68</v>
      </c>
      <c r="AM898" s="336" t="s">
        <v>69</v>
      </c>
      <c r="AN898" s="336" t="s">
        <v>70</v>
      </c>
      <c r="AO898" s="314">
        <f t="shared" si="1723"/>
        <v>0.945150462962963</v>
      </c>
      <c r="AP898" s="315">
        <f t="shared" si="1724"/>
        <v>341</v>
      </c>
      <c r="AQ898" s="316" t="str">
        <f t="shared" si="1725"/>
        <v>MICRO</v>
      </c>
    </row>
    <row r="899" ht="29.25" customHeight="1" outlineLevel="1" spans="1:43">
      <c r="A899" s="363" t="s">
        <v>438</v>
      </c>
      <c r="B899" s="317">
        <v>0.875011574074074</v>
      </c>
      <c r="C899" s="293" t="str">
        <f t="shared" ref="C899:G899" si="1876">TEXT(IF($B899=0," ",$B899-C$6),"hh:mm am/pm")</f>
        <v>19:00 001/p1</v>
      </c>
      <c r="D899" s="293" t="str">
        <f t="shared" si="1876"/>
        <v>17:00 001/p1</v>
      </c>
      <c r="E899" s="293" t="str">
        <f t="shared" si="1876"/>
        <v>18:00 001/p1</v>
      </c>
      <c r="F899" s="293" t="str">
        <f t="shared" si="1876"/>
        <v>19:00 001/p1</v>
      </c>
      <c r="G899" s="293" t="str">
        <f t="shared" si="1876"/>
        <v>20:00 001/p1</v>
      </c>
      <c r="H899" s="293" t="str">
        <f t="shared" ref="H899:I899" si="1877">TEXT(IF($B899=0," ",$B899+H$6),"hh:mm am/pm")</f>
        <v>03:00 001/p1</v>
      </c>
      <c r="I899" s="293" t="str">
        <f t="shared" si="1877"/>
        <v>08:00 001/p1</v>
      </c>
      <c r="J899" s="294" t="s">
        <v>338</v>
      </c>
      <c r="K899" s="295"/>
      <c r="L899" s="337" t="s">
        <v>124</v>
      </c>
      <c r="M899" s="338" t="s">
        <v>71</v>
      </c>
      <c r="N899" s="339" t="s">
        <v>122</v>
      </c>
      <c r="O899" s="340" t="s">
        <v>82</v>
      </c>
      <c r="P899" s="341" t="s">
        <v>59</v>
      </c>
      <c r="Q899" s="342">
        <v>160</v>
      </c>
      <c r="R899" s="343" t="s">
        <v>60</v>
      </c>
      <c r="S899" s="344"/>
      <c r="T899" s="345" t="s">
        <v>61</v>
      </c>
      <c r="U899" s="339" t="s">
        <v>62</v>
      </c>
      <c r="V899" s="339">
        <v>0.6</v>
      </c>
      <c r="W899" s="339">
        <v>0.6</v>
      </c>
      <c r="X899" s="354"/>
      <c r="Y899" s="347" t="s">
        <v>63</v>
      </c>
      <c r="Z899" s="344"/>
      <c r="AA899" s="348" t="s">
        <v>64</v>
      </c>
      <c r="AB899" s="348" t="s">
        <v>65</v>
      </c>
      <c r="AC899" s="349">
        <v>0.1</v>
      </c>
      <c r="AD899" s="349">
        <v>0</v>
      </c>
      <c r="AE899" s="345" t="s">
        <v>66</v>
      </c>
      <c r="AF899" s="346">
        <v>50000</v>
      </c>
      <c r="AG899" s="350">
        <v>8</v>
      </c>
      <c r="AH899" s="350">
        <v>7</v>
      </c>
      <c r="AI899" s="350">
        <v>6</v>
      </c>
      <c r="AJ899" s="345">
        <v>15</v>
      </c>
      <c r="AK899" s="352" t="s">
        <v>67</v>
      </c>
      <c r="AL899" s="352" t="s">
        <v>68</v>
      </c>
      <c r="AM899" s="353" t="s">
        <v>69</v>
      </c>
      <c r="AN899" s="353" t="s">
        <v>70</v>
      </c>
      <c r="AO899" s="314">
        <f t="shared" si="1723"/>
        <v>0.965289351851852</v>
      </c>
      <c r="AP899" s="315">
        <f t="shared" si="1724"/>
        <v>297</v>
      </c>
      <c r="AQ899" s="316" t="str">
        <f t="shared" si="1725"/>
        <v>MICRO</v>
      </c>
    </row>
    <row r="900" ht="29.25" customHeight="1" outlineLevel="1" spans="1:43">
      <c r="B900" s="317">
        <v>0.875011574074074</v>
      </c>
      <c r="C900" s="293" t="str">
        <f t="shared" ref="C900:G900" si="1878">TEXT(IF($B900=0," ",$B900-C$6),"hh:mm am/pm")</f>
        <v>19:00 001/p1</v>
      </c>
      <c r="D900" s="293" t="str">
        <f t="shared" si="1878"/>
        <v>17:00 001/p1</v>
      </c>
      <c r="E900" s="293" t="str">
        <f t="shared" si="1878"/>
        <v>18:00 001/p1</v>
      </c>
      <c r="F900" s="293" t="str">
        <f t="shared" si="1878"/>
        <v>19:00 001/p1</v>
      </c>
      <c r="G900" s="293" t="str">
        <f t="shared" si="1878"/>
        <v>20:00 001/p1</v>
      </c>
      <c r="H900" s="293" t="str">
        <f t="shared" ref="H900:I900" si="1879">TEXT(IF($B900=0," ",$B900+H$6),"hh:mm am/pm")</f>
        <v>03:00 001/p1</v>
      </c>
      <c r="I900" s="293" t="str">
        <f t="shared" si="1879"/>
        <v>08:00 001/p1</v>
      </c>
      <c r="J900" s="294" t="s">
        <v>262</v>
      </c>
      <c r="K900" s="295"/>
      <c r="L900" s="319" t="s">
        <v>119</v>
      </c>
      <c r="M900" s="320" t="s">
        <v>71</v>
      </c>
      <c r="N900" s="321" t="s">
        <v>57</v>
      </c>
      <c r="O900" s="322" t="s">
        <v>74</v>
      </c>
      <c r="P900" s="323" t="s">
        <v>75</v>
      </c>
      <c r="Q900" s="324">
        <v>1500</v>
      </c>
      <c r="R900" s="375" t="s">
        <v>60</v>
      </c>
      <c r="S900" s="326"/>
      <c r="T900" s="327" t="s">
        <v>77</v>
      </c>
      <c r="U900" s="321" t="s">
        <v>78</v>
      </c>
      <c r="V900" s="321">
        <v>1</v>
      </c>
      <c r="W900" s="321">
        <v>1</v>
      </c>
      <c r="X900" s="328"/>
      <c r="Y900" s="329" t="s">
        <v>79</v>
      </c>
      <c r="Z900" s="321">
        <v>1</v>
      </c>
      <c r="AA900" s="330">
        <v>120000</v>
      </c>
      <c r="AB900" s="330" t="s">
        <v>65</v>
      </c>
      <c r="AC900" s="331">
        <v>0.1</v>
      </c>
      <c r="AD900" s="331">
        <v>0.02</v>
      </c>
      <c r="AE900" s="327" t="s">
        <v>88</v>
      </c>
      <c r="AF900" s="332">
        <v>30000</v>
      </c>
      <c r="AG900" s="333">
        <v>7</v>
      </c>
      <c r="AH900" s="333">
        <v>6</v>
      </c>
      <c r="AI900" s="333">
        <v>6</v>
      </c>
      <c r="AJ900" s="327">
        <v>13</v>
      </c>
      <c r="AK900" s="335" t="s">
        <v>67</v>
      </c>
      <c r="AL900" s="335" t="s">
        <v>68</v>
      </c>
      <c r="AM900" s="336" t="s">
        <v>69</v>
      </c>
      <c r="AN900" s="336" t="s">
        <v>70</v>
      </c>
      <c r="AO900" s="314">
        <f t="shared" si="1723"/>
        <v>0.941678240740741</v>
      </c>
      <c r="AP900" s="315">
        <f t="shared" si="1724"/>
        <v>1705</v>
      </c>
      <c r="AQ900" s="316" t="str">
        <f t="shared" si="1725"/>
        <v>MICRO</v>
      </c>
    </row>
    <row r="901" ht="29.25" customHeight="1" outlineLevel="1" spans="1:43">
      <c r="B901" s="317">
        <v>0.888900462962963</v>
      </c>
      <c r="C901" s="293" t="str">
        <f t="shared" ref="C901:G901" si="1880">TEXT(IF($B901=0," ",$B901-C$6),"hh:mm am/pm")</f>
        <v>19:20 001/p1</v>
      </c>
      <c r="D901" s="293" t="str">
        <f t="shared" si="1880"/>
        <v>17:20 001/p1</v>
      </c>
      <c r="E901" s="293" t="str">
        <f t="shared" si="1880"/>
        <v>18:20 001/p1</v>
      </c>
      <c r="F901" s="293" t="str">
        <f t="shared" si="1880"/>
        <v>19:20 001/p1</v>
      </c>
      <c r="G901" s="293" t="str">
        <f t="shared" si="1880"/>
        <v>20:20 001/p1</v>
      </c>
      <c r="H901" s="293" t="str">
        <f t="shared" ref="H901:I901" si="1881">TEXT(IF($B901=0," ",$B901+H$6),"hh:mm am/pm")</f>
        <v>03:20 001/p1</v>
      </c>
      <c r="I901" s="293" t="str">
        <f t="shared" si="1881"/>
        <v>08:20 001/p1</v>
      </c>
      <c r="J901" s="294" t="s">
        <v>134</v>
      </c>
      <c r="K901" s="295"/>
      <c r="L901" s="337" t="s">
        <v>114</v>
      </c>
      <c r="M901" s="338" t="s">
        <v>71</v>
      </c>
      <c r="N901" s="339" t="s">
        <v>57</v>
      </c>
      <c r="O901" s="340" t="s">
        <v>74</v>
      </c>
      <c r="P901" s="341" t="s">
        <v>75</v>
      </c>
      <c r="Q901" s="342">
        <v>200</v>
      </c>
      <c r="R901" s="343" t="s">
        <v>60</v>
      </c>
      <c r="S901" s="344"/>
      <c r="T901" s="345" t="s">
        <v>77</v>
      </c>
      <c r="U901" s="339" t="s">
        <v>62</v>
      </c>
      <c r="V901" s="339">
        <v>0.2</v>
      </c>
      <c r="W901" s="339">
        <v>0.4</v>
      </c>
      <c r="X901" s="354"/>
      <c r="Y901" s="347" t="s">
        <v>79</v>
      </c>
      <c r="Z901" s="339">
        <v>0.8</v>
      </c>
      <c r="AA901" s="348">
        <v>100000</v>
      </c>
      <c r="AB901" s="348" t="s">
        <v>65</v>
      </c>
      <c r="AC901" s="349">
        <v>0.1</v>
      </c>
      <c r="AD901" s="349">
        <v>0</v>
      </c>
      <c r="AE901" s="345" t="s">
        <v>66</v>
      </c>
      <c r="AF901" s="346">
        <v>40000</v>
      </c>
      <c r="AG901" s="350">
        <v>7</v>
      </c>
      <c r="AH901" s="350">
        <v>6</v>
      </c>
      <c r="AI901" s="350">
        <v>5</v>
      </c>
      <c r="AJ901" s="345">
        <v>15</v>
      </c>
      <c r="AK901" s="352" t="s">
        <v>67</v>
      </c>
      <c r="AL901" s="352" t="s">
        <v>68</v>
      </c>
      <c r="AM901" s="353" t="s">
        <v>69</v>
      </c>
      <c r="AN901" s="353" t="s">
        <v>70</v>
      </c>
      <c r="AO901" s="314">
        <f t="shared" si="1723"/>
        <v>0.965289351851852</v>
      </c>
      <c r="AP901" s="315">
        <f t="shared" si="1724"/>
        <v>1112</v>
      </c>
      <c r="AQ901" s="316" t="str">
        <f t="shared" si="1725"/>
        <v>MICRO</v>
      </c>
    </row>
    <row r="902" ht="29.25" customHeight="1" outlineLevel="1" spans="1:43">
      <c r="A902" s="363" t="s">
        <v>438</v>
      </c>
      <c r="B902" s="317">
        <v>0.916678240740741</v>
      </c>
      <c r="C902" s="293" t="str">
        <f t="shared" ref="C902:G902" si="1882">TEXT(IF($B902=0," ",$B902-C$6),"hh:mm am/pm")</f>
        <v>20:00 001/p1</v>
      </c>
      <c r="D902" s="293" t="str">
        <f t="shared" si="1882"/>
        <v>18:00 001/p1</v>
      </c>
      <c r="E902" s="293" t="str">
        <f t="shared" si="1882"/>
        <v>19:00 001/p1</v>
      </c>
      <c r="F902" s="293" t="str">
        <f t="shared" si="1882"/>
        <v>20:00 001/p1</v>
      </c>
      <c r="G902" s="293" t="str">
        <f t="shared" si="1882"/>
        <v>21:00 001/p1</v>
      </c>
      <c r="H902" s="293" t="str">
        <f t="shared" ref="H902:I902" si="1883">TEXT(IF($B902=0," ",$B902+H$6),"hh:mm am/pm")</f>
        <v>04:00 001/p1</v>
      </c>
      <c r="I902" s="293" t="str">
        <f t="shared" si="1883"/>
        <v>09:00 001/p1</v>
      </c>
      <c r="J902" s="537" t="s">
        <v>471</v>
      </c>
      <c r="K902" s="295"/>
      <c r="L902" s="563" t="s">
        <v>174</v>
      </c>
      <c r="M902" s="320" t="s">
        <v>71</v>
      </c>
      <c r="N902" s="321" t="s">
        <v>57</v>
      </c>
      <c r="O902" s="322" t="s">
        <v>82</v>
      </c>
      <c r="P902" s="323" t="s">
        <v>59</v>
      </c>
      <c r="Q902" s="324">
        <v>2400</v>
      </c>
      <c r="R902" s="375" t="s">
        <v>60</v>
      </c>
      <c r="S902" s="326"/>
      <c r="T902" s="327" t="s">
        <v>61</v>
      </c>
      <c r="U902" s="321" t="s">
        <v>62</v>
      </c>
      <c r="V902" s="321">
        <v>22</v>
      </c>
      <c r="W902" s="321">
        <v>22</v>
      </c>
      <c r="X902" s="328"/>
      <c r="Y902" s="329" t="s">
        <v>63</v>
      </c>
      <c r="Z902" s="326"/>
      <c r="AA902" s="330" t="s">
        <v>64</v>
      </c>
      <c r="AB902" s="330" t="s">
        <v>65</v>
      </c>
      <c r="AC902" s="331">
        <v>0.1</v>
      </c>
      <c r="AD902" s="331">
        <v>0.02</v>
      </c>
      <c r="AE902" s="327" t="s">
        <v>66</v>
      </c>
      <c r="AF902" s="332">
        <v>50000</v>
      </c>
      <c r="AG902" s="333">
        <v>8</v>
      </c>
      <c r="AH902" s="333">
        <v>8</v>
      </c>
      <c r="AI902" s="333">
        <v>8</v>
      </c>
      <c r="AJ902" s="327">
        <v>15</v>
      </c>
      <c r="AK902" s="335" t="s">
        <v>67</v>
      </c>
      <c r="AL902" s="335" t="s">
        <v>68</v>
      </c>
      <c r="AM902" s="336" t="s">
        <v>69</v>
      </c>
      <c r="AN902" s="336" t="s">
        <v>70</v>
      </c>
      <c r="AO902" s="314">
        <f t="shared" si="1723"/>
        <v>1.00695601851852</v>
      </c>
      <c r="AP902" s="315">
        <f t="shared" si="1724"/>
        <v>124</v>
      </c>
      <c r="AQ902" s="316" t="str">
        <f t="shared" si="1725"/>
        <v>MEDIUM</v>
      </c>
    </row>
    <row r="903" ht="29.25" customHeight="1" outlineLevel="1" spans="1:43">
      <c r="B903" s="317">
        <v>0.916678240740741</v>
      </c>
      <c r="C903" s="293" t="str">
        <f t="shared" ref="C903:G903" si="1884">TEXT(IF($B903=0," ",$B903-C$6),"hh:mm am/pm")</f>
        <v>20:00 001/p1</v>
      </c>
      <c r="D903" s="293" t="str">
        <f t="shared" si="1884"/>
        <v>18:00 001/p1</v>
      </c>
      <c r="E903" s="293" t="str">
        <f t="shared" si="1884"/>
        <v>19:00 001/p1</v>
      </c>
      <c r="F903" s="293" t="str">
        <f t="shared" si="1884"/>
        <v>20:00 001/p1</v>
      </c>
      <c r="G903" s="293" t="str">
        <f t="shared" si="1884"/>
        <v>21:00 001/p1</v>
      </c>
      <c r="H903" s="293" t="str">
        <f t="shared" ref="H903:I903" si="1885">TEXT(IF($B903=0," ",$B903+H$6),"hh:mm am/pm")</f>
        <v>04:00 001/p1</v>
      </c>
      <c r="I903" s="293" t="str">
        <f t="shared" si="1885"/>
        <v>09:00 001/p1</v>
      </c>
      <c r="J903" s="318" t="s">
        <v>168</v>
      </c>
      <c r="K903" s="295"/>
      <c r="L903" s="337" t="s">
        <v>73</v>
      </c>
      <c r="M903" s="338" t="s">
        <v>71</v>
      </c>
      <c r="N903" s="339" t="s">
        <v>57</v>
      </c>
      <c r="O903" s="340" t="s">
        <v>74</v>
      </c>
      <c r="P903" s="341" t="s">
        <v>256</v>
      </c>
      <c r="Q903" s="342">
        <v>4200</v>
      </c>
      <c r="R903" s="325" t="s">
        <v>76</v>
      </c>
      <c r="S903" s="344"/>
      <c r="T903" s="345" t="s">
        <v>115</v>
      </c>
      <c r="U903" s="339" t="s">
        <v>62</v>
      </c>
      <c r="V903" s="339">
        <v>3</v>
      </c>
      <c r="W903" s="339">
        <v>3</v>
      </c>
      <c r="X903" s="354"/>
      <c r="Y903" s="347" t="s">
        <v>79</v>
      </c>
      <c r="Z903" s="339">
        <v>3</v>
      </c>
      <c r="AA903" s="348">
        <v>160000</v>
      </c>
      <c r="AB903" s="348" t="s">
        <v>65</v>
      </c>
      <c r="AC903" s="349">
        <v>0.1</v>
      </c>
      <c r="AD903" s="349">
        <v>0.02</v>
      </c>
      <c r="AE903" s="345" t="s">
        <v>88</v>
      </c>
      <c r="AF903" s="346">
        <v>40000</v>
      </c>
      <c r="AG903" s="350">
        <v>8</v>
      </c>
      <c r="AH903" s="350">
        <v>7</v>
      </c>
      <c r="AI903" s="350">
        <v>7</v>
      </c>
      <c r="AJ903" s="345">
        <v>13</v>
      </c>
      <c r="AK903" s="352" t="s">
        <v>67</v>
      </c>
      <c r="AL903" s="352" t="s">
        <v>68</v>
      </c>
      <c r="AM903" s="353" t="s">
        <v>69</v>
      </c>
      <c r="AN903" s="353" t="s">
        <v>70</v>
      </c>
      <c r="AO903" s="314">
        <f t="shared" si="1723"/>
        <v>0.992372685185185</v>
      </c>
      <c r="AP903" s="315">
        <f t="shared" si="1724"/>
        <v>1591</v>
      </c>
      <c r="AQ903" s="316" t="str">
        <f t="shared" si="1725"/>
        <v>MICRO</v>
      </c>
    </row>
    <row r="904" ht="29.25" customHeight="1" outlineLevel="1" spans="1:43">
      <c r="B904" s="317">
        <v>0.916678240740741</v>
      </c>
      <c r="C904" s="293" t="str">
        <f t="shared" ref="C904:G904" si="1886">TEXT(IF($B904=0," ",$B904-C$6),"hh:mm am/pm")</f>
        <v>20:00 001/p1</v>
      </c>
      <c r="D904" s="293" t="str">
        <f t="shared" si="1886"/>
        <v>18:00 001/p1</v>
      </c>
      <c r="E904" s="293" t="str">
        <f t="shared" si="1886"/>
        <v>19:00 001/p1</v>
      </c>
      <c r="F904" s="293" t="str">
        <f t="shared" si="1886"/>
        <v>20:00 001/p1</v>
      </c>
      <c r="G904" s="293" t="str">
        <f t="shared" si="1886"/>
        <v>21:00 001/p1</v>
      </c>
      <c r="H904" s="293" t="str">
        <f t="shared" ref="H904:I904" si="1887">TEXT(IF($B904=0," ",$B904+H$6),"hh:mm am/pm")</f>
        <v>04:00 001/p1</v>
      </c>
      <c r="I904" s="293" t="str">
        <f t="shared" si="1887"/>
        <v>09:00 001/p1</v>
      </c>
      <c r="J904" s="537" t="s">
        <v>341</v>
      </c>
      <c r="K904" s="295"/>
      <c r="L904" s="319" t="s">
        <v>266</v>
      </c>
      <c r="M904" s="320" t="s">
        <v>71</v>
      </c>
      <c r="N904" s="321" t="s">
        <v>100</v>
      </c>
      <c r="O904" s="322" t="s">
        <v>82</v>
      </c>
      <c r="P904" s="323" t="s">
        <v>101</v>
      </c>
      <c r="Q904" s="324">
        <v>2400</v>
      </c>
      <c r="R904" s="375" t="s">
        <v>60</v>
      </c>
      <c r="S904" s="326"/>
      <c r="T904" s="327" t="s">
        <v>92</v>
      </c>
      <c r="U904" s="321" t="s">
        <v>62</v>
      </c>
      <c r="V904" s="321">
        <v>11</v>
      </c>
      <c r="W904" s="321">
        <v>11</v>
      </c>
      <c r="X904" s="328"/>
      <c r="Y904" s="329" t="s">
        <v>63</v>
      </c>
      <c r="Z904" s="326"/>
      <c r="AA904" s="330" t="s">
        <v>64</v>
      </c>
      <c r="AB904" s="330" t="s">
        <v>65</v>
      </c>
      <c r="AC904" s="331">
        <v>0.1</v>
      </c>
      <c r="AD904" s="331">
        <v>0.02</v>
      </c>
      <c r="AE904" s="327" t="s">
        <v>88</v>
      </c>
      <c r="AF904" s="332">
        <v>50000</v>
      </c>
      <c r="AG904" s="333">
        <v>7</v>
      </c>
      <c r="AH904" s="333">
        <v>6</v>
      </c>
      <c r="AI904" s="333">
        <v>7</v>
      </c>
      <c r="AJ904" s="327">
        <v>13</v>
      </c>
      <c r="AK904" s="335" t="s">
        <v>67</v>
      </c>
      <c r="AL904" s="335" t="s">
        <v>68</v>
      </c>
      <c r="AM904" s="336" t="s">
        <v>69</v>
      </c>
      <c r="AN904" s="336" t="s">
        <v>70</v>
      </c>
      <c r="AO904" s="314">
        <f t="shared" si="1723"/>
        <v>0.983344907407407</v>
      </c>
      <c r="AP904" s="315">
        <f t="shared" si="1724"/>
        <v>248</v>
      </c>
      <c r="AQ904" s="316" t="str">
        <f t="shared" si="1725"/>
        <v>LOW</v>
      </c>
    </row>
    <row r="905" ht="29.25" customHeight="1" outlineLevel="1" spans="1:43">
      <c r="A905" s="363" t="s">
        <v>438</v>
      </c>
      <c r="B905" s="317">
        <v>0.927094907407407</v>
      </c>
      <c r="C905" s="293" t="str">
        <f t="shared" ref="C905:G905" si="1888">TEXT(IF($B905=0," ",$B905-C$6),"hh:mm am/pm")</f>
        <v>20:15 001/p1</v>
      </c>
      <c r="D905" s="293" t="str">
        <f t="shared" si="1888"/>
        <v>18:15 001/p1</v>
      </c>
      <c r="E905" s="293" t="str">
        <f t="shared" si="1888"/>
        <v>19:15 001/p1</v>
      </c>
      <c r="F905" s="293" t="str">
        <f t="shared" si="1888"/>
        <v>20:15 001/p1</v>
      </c>
      <c r="G905" s="293" t="str">
        <f t="shared" si="1888"/>
        <v>21:15 001/p1</v>
      </c>
      <c r="H905" s="293" t="str">
        <f t="shared" ref="H905:I905" si="1889">TEXT(IF($B905=0," ",$B905+H$6),"hh:mm am/pm")</f>
        <v>04:15 001/p1</v>
      </c>
      <c r="I905" s="293" t="str">
        <f t="shared" si="1889"/>
        <v>09:15 001/p1</v>
      </c>
      <c r="J905" s="294" t="s">
        <v>149</v>
      </c>
      <c r="K905" s="295"/>
      <c r="L905" s="337" t="s">
        <v>149</v>
      </c>
      <c r="M905" s="338" t="s">
        <v>71</v>
      </c>
      <c r="N905" s="339" t="s">
        <v>57</v>
      </c>
      <c r="O905" s="340" t="s">
        <v>74</v>
      </c>
      <c r="P905" s="341" t="s">
        <v>75</v>
      </c>
      <c r="Q905" s="342">
        <v>50</v>
      </c>
      <c r="R905" s="343" t="s">
        <v>60</v>
      </c>
      <c r="S905" s="344"/>
      <c r="T905" s="345" t="s">
        <v>61</v>
      </c>
      <c r="U905" s="339" t="s">
        <v>62</v>
      </c>
      <c r="V905" s="339">
        <v>0.6</v>
      </c>
      <c r="W905" s="339">
        <v>0.6</v>
      </c>
      <c r="X905" s="354"/>
      <c r="Y905" s="347" t="s">
        <v>63</v>
      </c>
      <c r="Z905" s="339">
        <v>0.6</v>
      </c>
      <c r="AA905" s="348">
        <v>30000</v>
      </c>
      <c r="AB905" s="348" t="s">
        <v>65</v>
      </c>
      <c r="AC905" s="349">
        <v>0.1</v>
      </c>
      <c r="AD905" s="349">
        <v>0</v>
      </c>
      <c r="AE905" s="345" t="s">
        <v>112</v>
      </c>
      <c r="AF905" s="346">
        <v>20000</v>
      </c>
      <c r="AG905" s="350">
        <v>5</v>
      </c>
      <c r="AH905" s="350">
        <v>5</v>
      </c>
      <c r="AI905" s="350">
        <v>5</v>
      </c>
      <c r="AJ905" s="345">
        <v>15</v>
      </c>
      <c r="AK905" s="352" t="s">
        <v>150</v>
      </c>
      <c r="AL905" s="352" t="s">
        <v>68</v>
      </c>
      <c r="AM905" s="353" t="s">
        <v>69</v>
      </c>
      <c r="AN905" s="353" t="s">
        <v>70</v>
      </c>
      <c r="AO905" s="314">
        <f t="shared" si="1723"/>
        <v>0.982650462962963</v>
      </c>
      <c r="AP905" s="315">
        <f t="shared" si="1724"/>
        <v>93</v>
      </c>
      <c r="AQ905" s="316" t="str">
        <f t="shared" si="1725"/>
        <v>MICRO</v>
      </c>
    </row>
    <row r="906" ht="29.25" customHeight="1" outlineLevel="1" spans="1:43">
      <c r="B906" s="317">
        <v>0.937511574074074</v>
      </c>
      <c r="C906" s="293" t="str">
        <f t="shared" ref="C906:G906" si="1890">TEXT(IF($B906=0," ",$B906-C$6),"hh:mm am/pm")</f>
        <v>20:30 001/p1</v>
      </c>
      <c r="D906" s="293" t="str">
        <f t="shared" si="1890"/>
        <v>18:30 001/p1</v>
      </c>
      <c r="E906" s="293" t="str">
        <f t="shared" si="1890"/>
        <v>19:30 001/p1</v>
      </c>
      <c r="F906" s="293" t="str">
        <f t="shared" si="1890"/>
        <v>20:30 001/p1</v>
      </c>
      <c r="G906" s="293" t="str">
        <f t="shared" si="1890"/>
        <v>21:30 001/p1</v>
      </c>
      <c r="H906" s="293" t="str">
        <f t="shared" ref="H906:I906" si="1891">TEXT(IF($B906=0," ",$B906+H$6),"hh:mm am/pm")</f>
        <v>04:30 001/p1</v>
      </c>
      <c r="I906" s="293" t="str">
        <f t="shared" si="1891"/>
        <v>09:30 001/p1</v>
      </c>
      <c r="J906" s="294" t="s">
        <v>269</v>
      </c>
      <c r="K906" s="295"/>
      <c r="L906" s="319" t="s">
        <v>126</v>
      </c>
      <c r="M906" s="320" t="s">
        <v>71</v>
      </c>
      <c r="N906" s="321" t="s">
        <v>57</v>
      </c>
      <c r="O906" s="322" t="s">
        <v>144</v>
      </c>
      <c r="P906" s="323" t="s">
        <v>59</v>
      </c>
      <c r="Q906" s="324">
        <v>240</v>
      </c>
      <c r="R906" s="375" t="s">
        <v>60</v>
      </c>
      <c r="S906" s="326"/>
      <c r="T906" s="327" t="s">
        <v>61</v>
      </c>
      <c r="U906" s="321" t="s">
        <v>62</v>
      </c>
      <c r="V906" s="321">
        <v>4</v>
      </c>
      <c r="W906" s="321">
        <v>4</v>
      </c>
      <c r="X906" s="328"/>
      <c r="Y906" s="329" t="s">
        <v>63</v>
      </c>
      <c r="Z906" s="326"/>
      <c r="AA906" s="330" t="s">
        <v>64</v>
      </c>
      <c r="AB906" s="330" t="s">
        <v>65</v>
      </c>
      <c r="AC906" s="331">
        <v>0.1</v>
      </c>
      <c r="AD906" s="331">
        <v>0.02</v>
      </c>
      <c r="AE906" s="327" t="s">
        <v>66</v>
      </c>
      <c r="AF906" s="332">
        <v>30000</v>
      </c>
      <c r="AG906" s="333">
        <v>8</v>
      </c>
      <c r="AH906" s="333">
        <v>7</v>
      </c>
      <c r="AI906" s="333">
        <v>7</v>
      </c>
      <c r="AJ906" s="327">
        <v>13</v>
      </c>
      <c r="AK906" s="335" t="s">
        <v>67</v>
      </c>
      <c r="AL906" s="335" t="s">
        <v>68</v>
      </c>
      <c r="AM906" s="336" t="s">
        <v>69</v>
      </c>
      <c r="AN906" s="336" t="s">
        <v>70</v>
      </c>
      <c r="AO906" s="314">
        <f t="shared" si="1723"/>
        <v>1.01320601851852</v>
      </c>
      <c r="AP906" s="315">
        <f t="shared" si="1724"/>
        <v>69</v>
      </c>
      <c r="AQ906" s="316" t="str">
        <f t="shared" si="1725"/>
        <v>MICRO</v>
      </c>
    </row>
    <row r="907" ht="29.25" customHeight="1" outlineLevel="1" spans="1:43">
      <c r="B907" s="317">
        <v>0.958344907407407</v>
      </c>
      <c r="C907" s="293" t="str">
        <f t="shared" ref="C907:G907" si="1892">TEXT(IF($B907=0," ",$B907-C$6),"hh:mm am/pm")</f>
        <v>21:00 001/p1</v>
      </c>
      <c r="D907" s="293" t="str">
        <f t="shared" si="1892"/>
        <v>19:00 001/p1</v>
      </c>
      <c r="E907" s="293" t="str">
        <f t="shared" si="1892"/>
        <v>20:00 001/p1</v>
      </c>
      <c r="F907" s="293" t="str">
        <f t="shared" si="1892"/>
        <v>21:00 001/p1</v>
      </c>
      <c r="G907" s="293" t="str">
        <f t="shared" si="1892"/>
        <v>22:00 001/p1</v>
      </c>
      <c r="H907" s="293" t="str">
        <f t="shared" ref="H907:I907" si="1893">TEXT(IF($B907=0," ",$B907+H$6),"hh:mm am/pm")</f>
        <v>05:00 001/p1</v>
      </c>
      <c r="I907" s="293" t="str">
        <f t="shared" si="1893"/>
        <v>10:00 001/p1</v>
      </c>
      <c r="J907" s="318" t="s">
        <v>430</v>
      </c>
      <c r="K907" s="295"/>
      <c r="L907" s="337" t="s">
        <v>73</v>
      </c>
      <c r="M907" s="338" t="s">
        <v>71</v>
      </c>
      <c r="N907" s="339" t="s">
        <v>57</v>
      </c>
      <c r="O907" s="340" t="s">
        <v>74</v>
      </c>
      <c r="P907" s="341" t="s">
        <v>75</v>
      </c>
      <c r="Q907" s="342">
        <v>830</v>
      </c>
      <c r="R907" s="377" t="s">
        <v>181</v>
      </c>
      <c r="S907" s="344"/>
      <c r="T907" s="345" t="s">
        <v>77</v>
      </c>
      <c r="U907" s="339" t="s">
        <v>78</v>
      </c>
      <c r="V907" s="339">
        <v>0.8</v>
      </c>
      <c r="W907" s="339">
        <v>0.8</v>
      </c>
      <c r="X907" s="354"/>
      <c r="Y907" s="347" t="s">
        <v>79</v>
      </c>
      <c r="Z907" s="339">
        <v>0.8</v>
      </c>
      <c r="AA907" s="348">
        <v>60000</v>
      </c>
      <c r="AB907" s="348" t="s">
        <v>65</v>
      </c>
      <c r="AC907" s="349">
        <v>0.1</v>
      </c>
      <c r="AD907" s="349">
        <v>0.02</v>
      </c>
      <c r="AE907" s="345" t="s">
        <v>66</v>
      </c>
      <c r="AF907" s="346">
        <v>20000</v>
      </c>
      <c r="AG907" s="350">
        <v>6</v>
      </c>
      <c r="AH907" s="350">
        <v>5</v>
      </c>
      <c r="AI907" s="350">
        <v>6</v>
      </c>
      <c r="AJ907" s="345">
        <v>12</v>
      </c>
      <c r="AK907" s="352" t="s">
        <v>67</v>
      </c>
      <c r="AL907" s="352" t="s">
        <v>68</v>
      </c>
      <c r="AM907" s="353" t="s">
        <v>69</v>
      </c>
      <c r="AN907" s="353" t="s">
        <v>70</v>
      </c>
      <c r="AO907" s="314">
        <f t="shared" si="1723"/>
        <v>1.01181712962963</v>
      </c>
      <c r="AP907" s="315">
        <f t="shared" si="1724"/>
        <v>1179</v>
      </c>
      <c r="AQ907" s="316" t="str">
        <f t="shared" si="1725"/>
        <v>MICRO</v>
      </c>
    </row>
    <row r="908" ht="29.25" customHeight="1" outlineLevel="1" spans="1:43">
      <c r="A908" s="363" t="s">
        <v>438</v>
      </c>
      <c r="B908" s="317">
        <v>0.958344907407407</v>
      </c>
      <c r="C908" s="293" t="str">
        <f t="shared" ref="C908:G908" si="1894">TEXT(IF($B908=0," ",$B908-C$6),"hh:mm am/pm")</f>
        <v>21:00 001/p1</v>
      </c>
      <c r="D908" s="293" t="str">
        <f t="shared" si="1894"/>
        <v>19:00 001/p1</v>
      </c>
      <c r="E908" s="293" t="str">
        <f t="shared" si="1894"/>
        <v>20:00 001/p1</v>
      </c>
      <c r="F908" s="293" t="str">
        <f t="shared" si="1894"/>
        <v>21:00 001/p1</v>
      </c>
      <c r="G908" s="293" t="str">
        <f t="shared" si="1894"/>
        <v>22:00 001/p1</v>
      </c>
      <c r="H908" s="293" t="str">
        <f t="shared" ref="H908:I908" si="1895">TEXT(IF($B908=0," ",$B908+H$6),"hh:mm am/pm")</f>
        <v>05:00 001/p1</v>
      </c>
      <c r="I908" s="293" t="str">
        <f t="shared" si="1895"/>
        <v>10:00 001/p1</v>
      </c>
      <c r="J908" s="294" t="s">
        <v>270</v>
      </c>
      <c r="K908" s="295"/>
      <c r="L908" s="319" t="s">
        <v>114</v>
      </c>
      <c r="M908" s="320" t="s">
        <v>71</v>
      </c>
      <c r="N908" s="321" t="s">
        <v>57</v>
      </c>
      <c r="O908" s="322" t="s">
        <v>74</v>
      </c>
      <c r="P908" s="323" t="s">
        <v>75</v>
      </c>
      <c r="Q908" s="324">
        <v>80</v>
      </c>
      <c r="R908" s="375" t="s">
        <v>60</v>
      </c>
      <c r="S908" s="326"/>
      <c r="T908" s="327" t="s">
        <v>77</v>
      </c>
      <c r="U908" s="321" t="s">
        <v>62</v>
      </c>
      <c r="V908" s="321">
        <v>0.2</v>
      </c>
      <c r="W908" s="321">
        <v>0.2</v>
      </c>
      <c r="X908" s="328"/>
      <c r="Y908" s="329" t="s">
        <v>79</v>
      </c>
      <c r="Z908" s="321">
        <v>0.2</v>
      </c>
      <c r="AA908" s="330">
        <v>50000</v>
      </c>
      <c r="AB908" s="330" t="s">
        <v>65</v>
      </c>
      <c r="AC908" s="331">
        <v>0.1</v>
      </c>
      <c r="AD908" s="331">
        <v>0</v>
      </c>
      <c r="AE908" s="327" t="s">
        <v>66</v>
      </c>
      <c r="AF908" s="332">
        <v>20000</v>
      </c>
      <c r="AG908" s="333">
        <v>5</v>
      </c>
      <c r="AH908" s="333">
        <v>5</v>
      </c>
      <c r="AI908" s="333">
        <v>5</v>
      </c>
      <c r="AJ908" s="327">
        <v>12</v>
      </c>
      <c r="AK908" s="335" t="s">
        <v>67</v>
      </c>
      <c r="AL908" s="335" t="s">
        <v>68</v>
      </c>
      <c r="AM908" s="336" t="s">
        <v>69</v>
      </c>
      <c r="AN908" s="336" t="s">
        <v>70</v>
      </c>
      <c r="AO908" s="314">
        <f t="shared" si="1723"/>
        <v>1.0034837962963</v>
      </c>
      <c r="AP908" s="315">
        <f t="shared" si="1724"/>
        <v>445</v>
      </c>
      <c r="AQ908" s="316" t="str">
        <f t="shared" si="1725"/>
        <v>MICRO</v>
      </c>
    </row>
    <row r="909" ht="29.25" customHeight="1" outlineLevel="1" spans="1:43">
      <c r="B909" s="317">
        <v>0.958344907407407</v>
      </c>
      <c r="C909" s="293" t="str">
        <f t="shared" ref="C909:G909" si="1896">TEXT(IF($B909=0," ",$B909-C$6),"hh:mm am/pm")</f>
        <v>21:00 001/p1</v>
      </c>
      <c r="D909" s="293" t="str">
        <f t="shared" si="1896"/>
        <v>19:00 001/p1</v>
      </c>
      <c r="E909" s="293" t="str">
        <f t="shared" si="1896"/>
        <v>20:00 001/p1</v>
      </c>
      <c r="F909" s="293" t="str">
        <f t="shared" si="1896"/>
        <v>21:00 001/p1</v>
      </c>
      <c r="G909" s="293" t="str">
        <f t="shared" si="1896"/>
        <v>22:00 001/p1</v>
      </c>
      <c r="H909" s="293" t="str">
        <f t="shared" ref="H909:I909" si="1897">TEXT(IF($B909=0," ",$B909+H$6),"hh:mm am/pm")</f>
        <v>05:00 001/p1</v>
      </c>
      <c r="I909" s="293" t="str">
        <f t="shared" si="1897"/>
        <v>10:00 001/p1</v>
      </c>
      <c r="J909" s="537" t="s">
        <v>344</v>
      </c>
      <c r="K909" s="295"/>
      <c r="L909" s="337" t="s">
        <v>272</v>
      </c>
      <c r="M909" s="338" t="s">
        <v>71</v>
      </c>
      <c r="N909" s="339" t="s">
        <v>57</v>
      </c>
      <c r="O909" s="340" t="s">
        <v>82</v>
      </c>
      <c r="P909" s="341" t="s">
        <v>75</v>
      </c>
      <c r="Q909" s="342">
        <v>1600</v>
      </c>
      <c r="R909" s="343" t="s">
        <v>60</v>
      </c>
      <c r="S909" s="344"/>
      <c r="T909" s="345" t="s">
        <v>92</v>
      </c>
      <c r="U909" s="339" t="s">
        <v>62</v>
      </c>
      <c r="V909" s="339">
        <v>11</v>
      </c>
      <c r="W909" s="339">
        <v>11</v>
      </c>
      <c r="X909" s="354"/>
      <c r="Y909" s="347" t="s">
        <v>63</v>
      </c>
      <c r="Z909" s="344"/>
      <c r="AA909" s="348" t="s">
        <v>64</v>
      </c>
      <c r="AB909" s="348" t="s">
        <v>65</v>
      </c>
      <c r="AC909" s="349">
        <v>0.1</v>
      </c>
      <c r="AD909" s="349">
        <v>0.02</v>
      </c>
      <c r="AE909" s="345" t="s">
        <v>88</v>
      </c>
      <c r="AF909" s="346">
        <v>50000</v>
      </c>
      <c r="AG909" s="350">
        <v>6</v>
      </c>
      <c r="AH909" s="350">
        <v>6</v>
      </c>
      <c r="AI909" s="350">
        <v>6</v>
      </c>
      <c r="AJ909" s="345">
        <v>13</v>
      </c>
      <c r="AK909" s="352" t="s">
        <v>67</v>
      </c>
      <c r="AL909" s="352" t="s">
        <v>68</v>
      </c>
      <c r="AM909" s="353" t="s">
        <v>69</v>
      </c>
      <c r="AN909" s="353" t="s">
        <v>70</v>
      </c>
      <c r="AO909" s="314">
        <f t="shared" si="1723"/>
        <v>1.0159837962963</v>
      </c>
      <c r="AP909" s="315">
        <f t="shared" si="1724"/>
        <v>166</v>
      </c>
      <c r="AQ909" s="316" t="str">
        <f t="shared" si="1725"/>
        <v>LOW</v>
      </c>
    </row>
    <row r="910" ht="29.25" customHeight="1" outlineLevel="1" spans="1:43">
      <c r="B910" s="317">
        <v>0.965289351851852</v>
      </c>
      <c r="C910" s="293" t="str">
        <f t="shared" ref="C910:G910" si="1898">TEXT(IF($B910=0," ",$B910-C$6),"hh:mm am/pm")</f>
        <v>21:10 001/p1</v>
      </c>
      <c r="D910" s="293" t="str">
        <f t="shared" si="1898"/>
        <v>19:10 001/p1</v>
      </c>
      <c r="E910" s="293" t="str">
        <f t="shared" si="1898"/>
        <v>20:10 001/p1</v>
      </c>
      <c r="F910" s="293" t="str">
        <f t="shared" si="1898"/>
        <v>21:10 001/p1</v>
      </c>
      <c r="G910" s="293" t="str">
        <f t="shared" si="1898"/>
        <v>22:10 001/p1</v>
      </c>
      <c r="H910" s="293" t="str">
        <f t="shared" ref="H910:I910" si="1899">TEXT(IF($B910=0," ",$B910+H$6),"hh:mm am/pm")</f>
        <v>05:10 001/p1</v>
      </c>
      <c r="I910" s="293" t="str">
        <f t="shared" si="1899"/>
        <v>10:10 001/p1</v>
      </c>
      <c r="J910" s="537" t="s">
        <v>273</v>
      </c>
      <c r="K910" s="295"/>
      <c r="L910" s="319" t="s">
        <v>129</v>
      </c>
      <c r="M910" s="320" t="s">
        <v>71</v>
      </c>
      <c r="N910" s="321" t="s">
        <v>122</v>
      </c>
      <c r="O910" s="322" t="s">
        <v>74</v>
      </c>
      <c r="P910" s="323" t="s">
        <v>101</v>
      </c>
      <c r="Q910" s="324">
        <v>80</v>
      </c>
      <c r="R910" s="375" t="s">
        <v>60</v>
      </c>
      <c r="S910" s="326"/>
      <c r="T910" s="327" t="s">
        <v>61</v>
      </c>
      <c r="U910" s="321" t="s">
        <v>62</v>
      </c>
      <c r="V910" s="321">
        <v>0.6</v>
      </c>
      <c r="W910" s="321">
        <v>0.6</v>
      </c>
      <c r="X910" s="328"/>
      <c r="Y910" s="329" t="s">
        <v>79</v>
      </c>
      <c r="Z910" s="321">
        <v>0.6</v>
      </c>
      <c r="AA910" s="330">
        <v>80000</v>
      </c>
      <c r="AB910" s="330" t="s">
        <v>65</v>
      </c>
      <c r="AC910" s="331">
        <v>0.1</v>
      </c>
      <c r="AD910" s="331">
        <v>0</v>
      </c>
      <c r="AE910" s="327" t="s">
        <v>88</v>
      </c>
      <c r="AF910" s="332">
        <v>40000</v>
      </c>
      <c r="AG910" s="333">
        <v>6</v>
      </c>
      <c r="AH910" s="333">
        <v>5</v>
      </c>
      <c r="AI910" s="333">
        <v>5</v>
      </c>
      <c r="AJ910" s="327">
        <v>12</v>
      </c>
      <c r="AK910" s="335" t="s">
        <v>472</v>
      </c>
      <c r="AL910" s="335" t="s">
        <v>68</v>
      </c>
      <c r="AM910" s="336" t="s">
        <v>69</v>
      </c>
      <c r="AN910" s="336" t="s">
        <v>70</v>
      </c>
      <c r="AO910" s="314">
        <f t="shared" si="1723"/>
        <v>1.01876157407407</v>
      </c>
      <c r="AP910" s="315">
        <f t="shared" si="1724"/>
        <v>149</v>
      </c>
      <c r="AQ910" s="316" t="str">
        <f t="shared" si="1725"/>
        <v>MICRO</v>
      </c>
    </row>
    <row r="911" ht="29.25" customHeight="1" outlineLevel="1" spans="1:43">
      <c r="A911" s="363" t="s">
        <v>438</v>
      </c>
      <c r="B911" s="317">
        <v>0.979178240740741</v>
      </c>
      <c r="C911" s="293" t="str">
        <f t="shared" ref="C911:G911" si="1900">TEXT(IF($B911=0," ",$B911-C$6),"hh:mm am/pm")</f>
        <v>21:30 001/p1</v>
      </c>
      <c r="D911" s="293" t="str">
        <f t="shared" si="1900"/>
        <v>19:30 001/p1</v>
      </c>
      <c r="E911" s="293" t="str">
        <f t="shared" si="1900"/>
        <v>20:30 001/p1</v>
      </c>
      <c r="F911" s="293" t="str">
        <f t="shared" si="1900"/>
        <v>21:30 001/p1</v>
      </c>
      <c r="G911" s="293" t="str">
        <f t="shared" si="1900"/>
        <v>22:30 001/p1</v>
      </c>
      <c r="H911" s="293" t="str">
        <f t="shared" ref="H911:I911" si="1901">TEXT(IF($B911=0," ",$B911+H$6),"hh:mm am/pm")</f>
        <v>05:30 001/p1</v>
      </c>
      <c r="I911" s="293" t="str">
        <f t="shared" si="1901"/>
        <v>10:30 001/p1</v>
      </c>
      <c r="J911" s="537" t="s">
        <v>274</v>
      </c>
      <c r="K911" s="295"/>
      <c r="L911" s="337" t="s">
        <v>192</v>
      </c>
      <c r="M911" s="338" t="s">
        <v>71</v>
      </c>
      <c r="N911" s="339" t="s">
        <v>57</v>
      </c>
      <c r="O911" s="340" t="s">
        <v>233</v>
      </c>
      <c r="P911" s="341" t="s">
        <v>59</v>
      </c>
      <c r="Q911" s="342">
        <v>240</v>
      </c>
      <c r="R911" s="343" t="s">
        <v>60</v>
      </c>
      <c r="S911" s="344"/>
      <c r="T911" s="345" t="s">
        <v>61</v>
      </c>
      <c r="U911" s="339" t="s">
        <v>62</v>
      </c>
      <c r="V911" s="339">
        <v>2</v>
      </c>
      <c r="W911" s="339">
        <v>2</v>
      </c>
      <c r="X911" s="354"/>
      <c r="Y911" s="347" t="s">
        <v>63</v>
      </c>
      <c r="Z911" s="344"/>
      <c r="AA911" s="348" t="s">
        <v>64</v>
      </c>
      <c r="AB911" s="348" t="s">
        <v>65</v>
      </c>
      <c r="AC911" s="349">
        <v>0.1</v>
      </c>
      <c r="AD911" s="349">
        <v>0.02</v>
      </c>
      <c r="AE911" s="345" t="s">
        <v>66</v>
      </c>
      <c r="AF911" s="346">
        <v>30000</v>
      </c>
      <c r="AG911" s="350">
        <v>5</v>
      </c>
      <c r="AH911" s="350">
        <v>5</v>
      </c>
      <c r="AI911" s="350">
        <v>5</v>
      </c>
      <c r="AJ911" s="345">
        <v>13</v>
      </c>
      <c r="AK911" s="352" t="s">
        <v>67</v>
      </c>
      <c r="AL911" s="352" t="s">
        <v>68</v>
      </c>
      <c r="AM911" s="353" t="s">
        <v>69</v>
      </c>
      <c r="AN911" s="353" t="s">
        <v>70</v>
      </c>
      <c r="AO911" s="314">
        <f t="shared" si="1723"/>
        <v>1.02778935185185</v>
      </c>
      <c r="AP911" s="315">
        <f t="shared" si="1724"/>
        <v>137</v>
      </c>
      <c r="AQ911" s="316" t="str">
        <f t="shared" si="1725"/>
        <v>MICRO</v>
      </c>
    </row>
    <row r="912" ht="29.25" customHeight="1" outlineLevel="1" spans="1:43">
      <c r="B912" s="317">
        <v>0.979178240740741</v>
      </c>
      <c r="C912" s="293" t="str">
        <f t="shared" ref="C912:G912" si="1902">TEXT(IF($B912=0," ",$B912-C$6),"hh:mm am/pm")</f>
        <v>21:30 001/p1</v>
      </c>
      <c r="D912" s="293" t="str">
        <f t="shared" si="1902"/>
        <v>19:30 001/p1</v>
      </c>
      <c r="E912" s="293" t="str">
        <f t="shared" si="1902"/>
        <v>20:30 001/p1</v>
      </c>
      <c r="F912" s="293" t="str">
        <f t="shared" si="1902"/>
        <v>21:30 001/p1</v>
      </c>
      <c r="G912" s="293" t="str">
        <f t="shared" si="1902"/>
        <v>22:30 001/p1</v>
      </c>
      <c r="H912" s="293" t="str">
        <f t="shared" ref="H912:I912" si="1903">TEXT(IF($B912=0," ",$B912+H$6),"hh:mm am/pm")</f>
        <v>05:30 001/p1</v>
      </c>
      <c r="I912" s="293" t="str">
        <f t="shared" si="1903"/>
        <v>10:30 001/p1</v>
      </c>
      <c r="J912" s="537" t="s">
        <v>345</v>
      </c>
      <c r="K912" s="295"/>
      <c r="L912" s="319" t="s">
        <v>346</v>
      </c>
      <c r="M912" s="320" t="s">
        <v>71</v>
      </c>
      <c r="N912" s="321" t="s">
        <v>57</v>
      </c>
      <c r="O912" s="322" t="s">
        <v>74</v>
      </c>
      <c r="P912" s="323" t="s">
        <v>59</v>
      </c>
      <c r="Q912" s="324">
        <v>3000</v>
      </c>
      <c r="R912" s="375" t="s">
        <v>60</v>
      </c>
      <c r="S912" s="326"/>
      <c r="T912" s="327" t="s">
        <v>61</v>
      </c>
      <c r="U912" s="321" t="s">
        <v>78</v>
      </c>
      <c r="V912" s="321">
        <v>30</v>
      </c>
      <c r="W912" s="321">
        <v>30</v>
      </c>
      <c r="X912" s="328"/>
      <c r="Y912" s="329" t="s">
        <v>63</v>
      </c>
      <c r="Z912" s="326"/>
      <c r="AA912" s="330" t="s">
        <v>64</v>
      </c>
      <c r="AB912" s="330" t="s">
        <v>65</v>
      </c>
      <c r="AC912" s="331">
        <v>0.1</v>
      </c>
      <c r="AD912" s="331">
        <v>0.02</v>
      </c>
      <c r="AE912" s="327" t="s">
        <v>88</v>
      </c>
      <c r="AF912" s="332">
        <v>50000</v>
      </c>
      <c r="AG912" s="333">
        <v>6</v>
      </c>
      <c r="AH912" s="333">
        <v>5</v>
      </c>
      <c r="AI912" s="333">
        <v>6</v>
      </c>
      <c r="AJ912" s="327">
        <v>13</v>
      </c>
      <c r="AK912" s="335" t="s">
        <v>67</v>
      </c>
      <c r="AL912" s="335" t="s">
        <v>68</v>
      </c>
      <c r="AM912" s="336" t="s">
        <v>69</v>
      </c>
      <c r="AN912" s="336" t="s">
        <v>70</v>
      </c>
      <c r="AO912" s="314">
        <f t="shared" si="1723"/>
        <v>1.03681712962963</v>
      </c>
      <c r="AP912" s="315">
        <f t="shared" si="1724"/>
        <v>114</v>
      </c>
      <c r="AQ912" s="316" t="str">
        <f t="shared" si="1725"/>
        <v>MEDIUM</v>
      </c>
    </row>
    <row r="913" ht="29.25" customHeight="1" outlineLevel="1" spans="1:43">
      <c r="B913" s="570"/>
      <c r="C913" s="293" t="str">
        <f t="shared" ref="C913:G913" si="1904">TEXT(IF($B913=0," ",$B913-C$6),"hh:mm am/pm")</f>
        <v> </v>
      </c>
      <c r="D913" s="293" t="str">
        <f t="shared" si="1904"/>
        <v> </v>
      </c>
      <c r="E913" s="293" t="str">
        <f t="shared" si="1904"/>
        <v> </v>
      </c>
      <c r="F913" s="293" t="str">
        <f t="shared" si="1904"/>
        <v> </v>
      </c>
      <c r="G913" s="293" t="str">
        <f t="shared" si="1904"/>
        <v> </v>
      </c>
      <c r="H913" s="293" t="str">
        <f t="shared" ref="H913:I913" si="1905">TEXT(IF($B913=0," ",$B913+H$6),"hh:mm am/pm")</f>
        <v> </v>
      </c>
      <c r="I913" s="293" t="str">
        <f t="shared" si="1905"/>
        <v> </v>
      </c>
      <c r="J913" s="571" t="s">
        <v>193</v>
      </c>
      <c r="K913" s="572"/>
      <c r="L913" s="573" t="s">
        <v>194</v>
      </c>
      <c r="M913" s="574"/>
      <c r="N913" s="574"/>
      <c r="O913" s="574"/>
      <c r="P913" s="574"/>
      <c r="Q913" s="574"/>
      <c r="R913" s="574"/>
      <c r="S913" s="574"/>
      <c r="T913" s="574"/>
      <c r="U913" s="574"/>
      <c r="V913" s="574"/>
      <c r="W913" s="574"/>
      <c r="X913" s="574"/>
      <c r="Y913" s="574"/>
      <c r="Z913" s="574"/>
      <c r="AA913" s="574"/>
      <c r="AB913" s="574"/>
      <c r="AC913" s="574"/>
      <c r="AD913" s="574"/>
      <c r="AE913" s="574"/>
      <c r="AF913" s="574"/>
      <c r="AG913" s="574"/>
      <c r="AH913" s="574"/>
      <c r="AI913" s="574"/>
      <c r="AJ913" s="574"/>
      <c r="AK913" s="574"/>
      <c r="AL913" s="574"/>
      <c r="AM913" s="575"/>
      <c r="AN913" s="575"/>
      <c r="AO913" s="314" t="str">
        <f t="shared" si="1723"/>
        <v> </v>
      </c>
      <c r="AP913" s="374">
        <f t="shared" si="1724"/>
        <v>0</v>
      </c>
      <c r="AQ913" s="316" t="str">
        <f t="shared" si="1725"/>
        <v> </v>
      </c>
    </row>
    <row r="914" ht="29.25" customHeight="1" outlineLevel="1" spans="1:43">
      <c r="A914" s="363" t="s">
        <v>438</v>
      </c>
      <c r="B914" s="317">
        <v>0.333344907407407</v>
      </c>
      <c r="C914" s="293" t="str">
        <f t="shared" ref="C914:G914" si="1906">TEXT(IF($B914=0," ",$B914-C$6),"hh:mm am/pm")</f>
        <v>06:00 001/p1</v>
      </c>
      <c r="D914" s="293" t="str">
        <f t="shared" si="1906"/>
        <v>04:00 001/p1</v>
      </c>
      <c r="E914" s="293" t="str">
        <f t="shared" si="1906"/>
        <v>05:00 001/p1</v>
      </c>
      <c r="F914" s="293" t="str">
        <f t="shared" si="1906"/>
        <v>06:00 001/p1</v>
      </c>
      <c r="G914" s="293" t="str">
        <f t="shared" si="1906"/>
        <v>07:00 001/p1</v>
      </c>
      <c r="H914" s="293" t="str">
        <f t="shared" ref="H914:I914" si="1907">TEXT(IF($B914=0," ",$B914+H$6),"hh:mm am/pm")</f>
        <v>14:00 001/p1</v>
      </c>
      <c r="I914" s="293" t="str">
        <f t="shared" si="1907"/>
        <v>19:00 001/p1</v>
      </c>
      <c r="J914" s="423" t="str">
        <f>L825</f>
        <v>#AS Supremo</v>
      </c>
      <c r="K914" s="424"/>
      <c r="L914" s="425" t="s">
        <v>473</v>
      </c>
      <c r="M914" s="408" t="s">
        <v>196</v>
      </c>
      <c r="N914" s="409" t="s">
        <v>57</v>
      </c>
      <c r="O914" s="410" t="s">
        <v>74</v>
      </c>
      <c r="P914" s="411" t="s">
        <v>59</v>
      </c>
      <c r="Q914" s="412">
        <f>110*8</f>
        <v>880</v>
      </c>
      <c r="R914" s="414" t="s">
        <v>60</v>
      </c>
      <c r="S914" s="413"/>
      <c r="T914" s="414">
        <v>0.1</v>
      </c>
      <c r="U914" s="409" t="s">
        <v>62</v>
      </c>
      <c r="V914" s="409">
        <v>5</v>
      </c>
      <c r="W914" s="409">
        <v>5</v>
      </c>
      <c r="X914" s="426"/>
      <c r="Y914" s="416" t="s">
        <v>79</v>
      </c>
      <c r="Z914" s="409">
        <v>6</v>
      </c>
      <c r="AA914" s="417">
        <v>50000</v>
      </c>
      <c r="AB914" s="417" t="s">
        <v>65</v>
      </c>
      <c r="AC914" s="414">
        <v>0.05</v>
      </c>
      <c r="AD914" s="414">
        <v>0</v>
      </c>
      <c r="AE914" s="418" t="s">
        <v>88</v>
      </c>
      <c r="AF914" s="419">
        <v>20000</v>
      </c>
      <c r="AG914" s="420">
        <v>8</v>
      </c>
      <c r="AH914" s="420">
        <v>6</v>
      </c>
      <c r="AI914" s="420">
        <v>6</v>
      </c>
      <c r="AJ914" s="418">
        <v>12</v>
      </c>
      <c r="AK914" s="428" t="s">
        <v>67</v>
      </c>
      <c r="AL914" s="421" t="s">
        <v>68</v>
      </c>
      <c r="AM914" s="403" t="s">
        <v>197</v>
      </c>
      <c r="AN914" s="403" t="s">
        <v>198</v>
      </c>
      <c r="AO914" s="314">
        <f t="shared" si="1723"/>
        <v>0.403483796296296</v>
      </c>
      <c r="AP914" s="315">
        <f t="shared" si="1724"/>
        <v>186</v>
      </c>
      <c r="AQ914" s="316" t="str">
        <f t="shared" si="1725"/>
        <v>MICRO</v>
      </c>
    </row>
    <row r="915" ht="29.25" customHeight="1" outlineLevel="1" spans="1:43">
      <c r="B915" s="317">
        <v>0.416678240740741</v>
      </c>
      <c r="C915" s="293" t="str">
        <f t="shared" ref="C915:G915" si="1908">TEXT(IF($B915=0," ",$B915-C$6),"hh:mm am/pm")</f>
        <v>08:00 001/p1</v>
      </c>
      <c r="D915" s="293" t="str">
        <f t="shared" si="1908"/>
        <v>06:00 001/p1</v>
      </c>
      <c r="E915" s="293" t="str">
        <f t="shared" si="1908"/>
        <v>07:00 001/p1</v>
      </c>
      <c r="F915" s="293" t="str">
        <f t="shared" si="1908"/>
        <v>08:00 001/p1</v>
      </c>
      <c r="G915" s="293" t="str">
        <f t="shared" si="1908"/>
        <v>09:00 001/p1</v>
      </c>
      <c r="H915" s="293" t="str">
        <f t="shared" ref="H915:I915" si="1909">TEXT(IF($B915=0," ",$B915+H$6),"hh:mm am/pm")</f>
        <v>16:00 001/p1</v>
      </c>
      <c r="I915" s="293" t="str">
        <f t="shared" si="1909"/>
        <v>21:00 001/p1</v>
      </c>
      <c r="J915" s="29"/>
      <c r="K915" s="431"/>
      <c r="L915" s="432" t="s">
        <v>474</v>
      </c>
      <c r="M915" s="408" t="s">
        <v>196</v>
      </c>
      <c r="N915" s="409" t="s">
        <v>57</v>
      </c>
      <c r="O915" s="410" t="s">
        <v>74</v>
      </c>
      <c r="P915" s="411" t="s">
        <v>59</v>
      </c>
      <c r="Q915" s="412">
        <f>110*10</f>
        <v>1100</v>
      </c>
      <c r="R915" s="409" t="s">
        <v>60</v>
      </c>
      <c r="S915" s="426"/>
      <c r="T915" s="414">
        <v>0.1</v>
      </c>
      <c r="U915" s="409" t="s">
        <v>62</v>
      </c>
      <c r="V915" s="409">
        <v>12</v>
      </c>
      <c r="W915" s="409">
        <v>12</v>
      </c>
      <c r="X915" s="426"/>
      <c r="Y915" s="416" t="s">
        <v>63</v>
      </c>
      <c r="Z915" s="426"/>
      <c r="AA915" s="417" t="s">
        <v>64</v>
      </c>
      <c r="AB915" s="417" t="s">
        <v>65</v>
      </c>
      <c r="AC915" s="414">
        <v>0.05</v>
      </c>
      <c r="AD915" s="414">
        <v>0</v>
      </c>
      <c r="AE915" s="418" t="s">
        <v>66</v>
      </c>
      <c r="AF915" s="419">
        <v>30000</v>
      </c>
      <c r="AG915" s="420">
        <v>5</v>
      </c>
      <c r="AH915" s="420">
        <v>5</v>
      </c>
      <c r="AI915" s="420">
        <v>5</v>
      </c>
      <c r="AJ915" s="418">
        <v>13</v>
      </c>
      <c r="AK915" s="428" t="s">
        <v>67</v>
      </c>
      <c r="AL915" s="421" t="s">
        <v>68</v>
      </c>
      <c r="AM915" s="403" t="s">
        <v>197</v>
      </c>
      <c r="AN915" s="403" t="s">
        <v>198</v>
      </c>
      <c r="AO915" s="314">
        <f t="shared" si="1723"/>
        <v>0.465289351851852</v>
      </c>
      <c r="AP915" s="315">
        <f t="shared" si="1724"/>
        <v>97</v>
      </c>
      <c r="AQ915" s="316" t="str">
        <f t="shared" si="1725"/>
        <v>LOW</v>
      </c>
    </row>
    <row r="916" ht="29.25" customHeight="1" outlineLevel="1" spans="1:43">
      <c r="B916" s="317">
        <v>0.479178240740741</v>
      </c>
      <c r="C916" s="293" t="str">
        <f t="shared" ref="C916:G916" si="1910">TEXT(IF($B916=0," ",$B916-C$6),"hh:mm am/pm")</f>
        <v>09:30 001/p1</v>
      </c>
      <c r="D916" s="293" t="str">
        <f t="shared" si="1910"/>
        <v>07:30 001/p1</v>
      </c>
      <c r="E916" s="293" t="str">
        <f t="shared" si="1910"/>
        <v>08:30 001/p1</v>
      </c>
      <c r="F916" s="293" t="str">
        <f t="shared" si="1910"/>
        <v>09:30 001/p1</v>
      </c>
      <c r="G916" s="293" t="str">
        <f t="shared" si="1910"/>
        <v>10:30 001/p1</v>
      </c>
      <c r="H916" s="293" t="str">
        <f t="shared" ref="H916:I916" si="1911">TEXT(IF($B916=0," ",$B916+H$6),"hh:mm am/pm")</f>
        <v>17:30 001/p1</v>
      </c>
      <c r="I916" s="293" t="str">
        <f t="shared" si="1911"/>
        <v>22:30 001/p1</v>
      </c>
      <c r="J916" s="29"/>
      <c r="K916" s="431"/>
      <c r="L916" s="432" t="s">
        <v>475</v>
      </c>
      <c r="M916" s="408" t="s">
        <v>196</v>
      </c>
      <c r="N916" s="409" t="s">
        <v>57</v>
      </c>
      <c r="O916" s="410" t="s">
        <v>74</v>
      </c>
      <c r="P916" s="411" t="s">
        <v>59</v>
      </c>
      <c r="Q916" s="412">
        <f>110*40</f>
        <v>4400</v>
      </c>
      <c r="R916" s="409" t="s">
        <v>60</v>
      </c>
      <c r="S916" s="426"/>
      <c r="T916" s="414">
        <v>0.1</v>
      </c>
      <c r="U916" s="409" t="s">
        <v>62</v>
      </c>
      <c r="V916" s="409">
        <v>6</v>
      </c>
      <c r="W916" s="409">
        <v>6</v>
      </c>
      <c r="X916" s="426"/>
      <c r="Y916" s="416" t="s">
        <v>79</v>
      </c>
      <c r="Z916" s="409">
        <v>6</v>
      </c>
      <c r="AA916" s="417">
        <v>20000</v>
      </c>
      <c r="AB916" s="417" t="s">
        <v>65</v>
      </c>
      <c r="AC916" s="414">
        <v>0.05</v>
      </c>
      <c r="AD916" s="414">
        <v>0</v>
      </c>
      <c r="AE916" s="418" t="s">
        <v>66</v>
      </c>
      <c r="AF916" s="419">
        <v>10000</v>
      </c>
      <c r="AG916" s="420">
        <v>5</v>
      </c>
      <c r="AH916" s="420">
        <v>5</v>
      </c>
      <c r="AI916" s="420">
        <v>5</v>
      </c>
      <c r="AJ916" s="418">
        <v>11</v>
      </c>
      <c r="AK916" s="428" t="s">
        <v>67</v>
      </c>
      <c r="AL916" s="421" t="s">
        <v>68</v>
      </c>
      <c r="AM916" s="403" t="s">
        <v>197</v>
      </c>
      <c r="AN916" s="403" t="s">
        <v>198</v>
      </c>
      <c r="AO916" s="314">
        <f t="shared" si="1723"/>
        <v>0.517372685185185</v>
      </c>
      <c r="AP916" s="315">
        <f t="shared" si="1724"/>
        <v>772</v>
      </c>
      <c r="AQ916" s="316" t="str">
        <f t="shared" si="1725"/>
        <v>LOW</v>
      </c>
    </row>
    <row r="917" ht="29.25" customHeight="1" outlineLevel="1" spans="1:43">
      <c r="B917" s="317">
        <v>0.520844907407407</v>
      </c>
      <c r="C917" s="293" t="str">
        <f t="shared" ref="C917:G917" si="1912">TEXT(IF($B917=0," ",$B917-C$6),"hh:mm am/pm")</f>
        <v>10:30 001/p1</v>
      </c>
      <c r="D917" s="293" t="str">
        <f t="shared" si="1912"/>
        <v>08:30 001/p1</v>
      </c>
      <c r="E917" s="293" t="str">
        <f t="shared" si="1912"/>
        <v>09:30 001/p1</v>
      </c>
      <c r="F917" s="293" t="str">
        <f t="shared" si="1912"/>
        <v>10:30 001/p1</v>
      </c>
      <c r="G917" s="293" t="str">
        <f t="shared" si="1912"/>
        <v>11:30 001/p1</v>
      </c>
      <c r="H917" s="293" t="str">
        <f t="shared" ref="H917:I917" si="1913">TEXT(IF($B917=0," ",$B917+H$6),"hh:mm am/pm")</f>
        <v>18:30 001/p1</v>
      </c>
      <c r="I917" s="293" t="str">
        <f t="shared" si="1913"/>
        <v>23:30 001/p1</v>
      </c>
      <c r="J917" s="29"/>
      <c r="K917" s="431"/>
      <c r="L917" s="432" t="s">
        <v>476</v>
      </c>
      <c r="M917" s="408" t="s">
        <v>196</v>
      </c>
      <c r="N917" s="409" t="s">
        <v>57</v>
      </c>
      <c r="O917" s="410" t="s">
        <v>74</v>
      </c>
      <c r="P917" s="411" t="s">
        <v>59</v>
      </c>
      <c r="Q917" s="412">
        <f>110*15</f>
        <v>1650</v>
      </c>
      <c r="R917" s="409" t="s">
        <v>60</v>
      </c>
      <c r="S917" s="413"/>
      <c r="T917" s="414">
        <v>0.1</v>
      </c>
      <c r="U917" s="409" t="s">
        <v>62</v>
      </c>
      <c r="V917" s="409">
        <v>15</v>
      </c>
      <c r="W917" s="409">
        <v>15</v>
      </c>
      <c r="X917" s="426"/>
      <c r="Y917" s="416" t="s">
        <v>79</v>
      </c>
      <c r="Z917" s="426"/>
      <c r="AA917" s="417" t="s">
        <v>64</v>
      </c>
      <c r="AB917" s="417" t="s">
        <v>65</v>
      </c>
      <c r="AC917" s="414">
        <v>0.05</v>
      </c>
      <c r="AD917" s="414">
        <v>0</v>
      </c>
      <c r="AE917" s="418" t="s">
        <v>66</v>
      </c>
      <c r="AF917" s="419">
        <v>30000</v>
      </c>
      <c r="AG917" s="420">
        <v>5</v>
      </c>
      <c r="AH917" s="420">
        <v>5</v>
      </c>
      <c r="AI917" s="420">
        <v>5</v>
      </c>
      <c r="AJ917" s="418">
        <v>12</v>
      </c>
      <c r="AK917" s="428" t="s">
        <v>67</v>
      </c>
      <c r="AL917" s="421" t="s">
        <v>68</v>
      </c>
      <c r="AM917" s="403" t="s">
        <v>197</v>
      </c>
      <c r="AN917" s="403" t="s">
        <v>198</v>
      </c>
      <c r="AO917" s="314">
        <f t="shared" si="1723"/>
        <v>0.565983796296296</v>
      </c>
      <c r="AP917" s="315">
        <f t="shared" si="1724"/>
        <v>116</v>
      </c>
      <c r="AQ917" s="316" t="str">
        <f t="shared" si="1725"/>
        <v>LOW</v>
      </c>
    </row>
    <row r="918" ht="29.25" customHeight="1" outlineLevel="1" spans="1:43">
      <c r="A918" s="363"/>
      <c r="B918" s="317">
        <v>0.541678240740741</v>
      </c>
      <c r="C918" s="293" t="str">
        <f t="shared" ref="C918:G918" si="1914">TEXT(IF($B918=0," ",$B918-C$6),"hh:mm am/pm")</f>
        <v>11:00 001/p1</v>
      </c>
      <c r="D918" s="293" t="str">
        <f t="shared" si="1914"/>
        <v>09:00 001/p1</v>
      </c>
      <c r="E918" s="293" t="str">
        <f t="shared" si="1914"/>
        <v>10:00 001/p1</v>
      </c>
      <c r="F918" s="293" t="str">
        <f t="shared" si="1914"/>
        <v>11:00 001/p1</v>
      </c>
      <c r="G918" s="293" t="str">
        <f t="shared" si="1914"/>
        <v>12:00 001/p1</v>
      </c>
      <c r="H918" s="293" t="str">
        <f t="shared" ref="H918:I918" si="1915">TEXT(IF($B918=0," ",$B918+H$6),"hh:mm am/pm")</f>
        <v>19:00 001/p1</v>
      </c>
      <c r="I918" s="293" t="str">
        <f t="shared" si="1915"/>
        <v>00:00 001/p1</v>
      </c>
      <c r="J918" s="29"/>
      <c r="K918" s="431"/>
      <c r="L918" s="432" t="s">
        <v>215</v>
      </c>
      <c r="M918" s="408" t="s">
        <v>196</v>
      </c>
      <c r="N918" s="409" t="s">
        <v>57</v>
      </c>
      <c r="O918" s="410" t="s">
        <v>74</v>
      </c>
      <c r="P918" s="411" t="s">
        <v>59</v>
      </c>
      <c r="Q918" s="412">
        <f>110*30</f>
        <v>3300</v>
      </c>
      <c r="R918" s="414" t="s">
        <v>60</v>
      </c>
      <c r="S918" s="413"/>
      <c r="T918" s="414">
        <v>0.1</v>
      </c>
      <c r="U918" s="409" t="s">
        <v>62</v>
      </c>
      <c r="V918" s="409">
        <v>6</v>
      </c>
      <c r="W918" s="409">
        <v>6</v>
      </c>
      <c r="X918" s="426"/>
      <c r="Y918" s="416" t="s">
        <v>79</v>
      </c>
      <c r="Z918" s="409">
        <v>7</v>
      </c>
      <c r="AA918" s="417">
        <v>20000</v>
      </c>
      <c r="AB918" s="417" t="s">
        <v>65</v>
      </c>
      <c r="AC918" s="414">
        <v>0.05</v>
      </c>
      <c r="AD918" s="414">
        <v>0</v>
      </c>
      <c r="AE918" s="418" t="s">
        <v>66</v>
      </c>
      <c r="AF918" s="419">
        <v>10000</v>
      </c>
      <c r="AG918" s="420">
        <v>4</v>
      </c>
      <c r="AH918" s="420">
        <v>4</v>
      </c>
      <c r="AI918" s="420">
        <v>4</v>
      </c>
      <c r="AJ918" s="418">
        <v>11</v>
      </c>
      <c r="AK918" s="428" t="s">
        <v>67</v>
      </c>
      <c r="AL918" s="421" t="s">
        <v>68</v>
      </c>
      <c r="AM918" s="403" t="s">
        <v>197</v>
      </c>
      <c r="AN918" s="403" t="s">
        <v>198</v>
      </c>
      <c r="AO918" s="314">
        <f t="shared" si="1723"/>
        <v>0.572233796296296</v>
      </c>
      <c r="AP918" s="315">
        <f t="shared" si="1724"/>
        <v>579</v>
      </c>
      <c r="AQ918" s="316" t="str">
        <f t="shared" si="1725"/>
        <v>LOW</v>
      </c>
    </row>
    <row r="919" ht="29.25" customHeight="1" outlineLevel="1" spans="1:43">
      <c r="B919" s="317">
        <v>0.583344907407407</v>
      </c>
      <c r="C919" s="293" t="str">
        <f t="shared" ref="C919:G919" si="1916">TEXT(IF($B919=0," ",$B919-C$6),"hh:mm am/pm")</f>
        <v>12:00 001/p1</v>
      </c>
      <c r="D919" s="293" t="str">
        <f t="shared" si="1916"/>
        <v>10:00 001/p1</v>
      </c>
      <c r="E919" s="293" t="str">
        <f t="shared" si="1916"/>
        <v>11:00 001/p1</v>
      </c>
      <c r="F919" s="293" t="str">
        <f t="shared" si="1916"/>
        <v>12:00 001/p1</v>
      </c>
      <c r="G919" s="293" t="str">
        <f t="shared" si="1916"/>
        <v>13:00 001/p1</v>
      </c>
      <c r="H919" s="293" t="str">
        <f t="shared" ref="H919:I919" si="1917">TEXT(IF($B919=0," ",$B919+H$6),"hh:mm am/pm")</f>
        <v>20:00 001/p1</v>
      </c>
      <c r="I919" s="293" t="str">
        <f t="shared" si="1917"/>
        <v>01:00 001/p1</v>
      </c>
      <c r="J919" s="29"/>
      <c r="K919" s="431"/>
      <c r="L919" s="432" t="s">
        <v>477</v>
      </c>
      <c r="M919" s="408" t="s">
        <v>196</v>
      </c>
      <c r="N919" s="409" t="s">
        <v>57</v>
      </c>
      <c r="O919" s="410" t="s">
        <v>74</v>
      </c>
      <c r="P919" s="411" t="s">
        <v>59</v>
      </c>
      <c r="Q919" s="412">
        <f>110*20</f>
        <v>2200</v>
      </c>
      <c r="R919" s="414" t="s">
        <v>60</v>
      </c>
      <c r="S919" s="413"/>
      <c r="T919" s="414">
        <v>0.1</v>
      </c>
      <c r="U919" s="409" t="s">
        <v>62</v>
      </c>
      <c r="V919" s="409">
        <v>6</v>
      </c>
      <c r="W919" s="409">
        <v>6</v>
      </c>
      <c r="X919" s="426"/>
      <c r="Y919" s="416" t="s">
        <v>79</v>
      </c>
      <c r="Z919" s="409">
        <v>7</v>
      </c>
      <c r="AA919" s="417">
        <v>20000</v>
      </c>
      <c r="AB919" s="417" t="s">
        <v>65</v>
      </c>
      <c r="AC919" s="414">
        <v>0.05</v>
      </c>
      <c r="AD919" s="414">
        <v>0</v>
      </c>
      <c r="AE919" s="418" t="s">
        <v>66</v>
      </c>
      <c r="AF919" s="419">
        <v>10000</v>
      </c>
      <c r="AG919" s="420">
        <v>4</v>
      </c>
      <c r="AH919" s="420">
        <v>3</v>
      </c>
      <c r="AI919" s="420">
        <v>3</v>
      </c>
      <c r="AJ919" s="418">
        <v>11</v>
      </c>
      <c r="AK919" s="428" t="s">
        <v>67</v>
      </c>
      <c r="AL919" s="421" t="s">
        <v>68</v>
      </c>
      <c r="AM919" s="403" t="s">
        <v>197</v>
      </c>
      <c r="AN919" s="403" t="s">
        <v>198</v>
      </c>
      <c r="AO919" s="314">
        <f t="shared" si="1723"/>
        <v>0.613900462962963</v>
      </c>
      <c r="AP919" s="315">
        <f t="shared" si="1724"/>
        <v>386</v>
      </c>
      <c r="AQ919" s="316" t="str">
        <f t="shared" si="1725"/>
        <v>LOW</v>
      </c>
    </row>
    <row r="920" ht="29.25" customHeight="1" outlineLevel="1" spans="1:43">
      <c r="A920" s="363" t="s">
        <v>438</v>
      </c>
      <c r="B920" s="317">
        <v>0.621539351851852</v>
      </c>
      <c r="C920" s="293" t="str">
        <f t="shared" ref="C920:G920" si="1918">TEXT(IF($B920=0," ",$B920-C$6),"hh:mm am/pm")</f>
        <v>12:55 001/p1</v>
      </c>
      <c r="D920" s="293" t="str">
        <f t="shared" si="1918"/>
        <v>10:55 001/p1</v>
      </c>
      <c r="E920" s="293" t="str">
        <f t="shared" si="1918"/>
        <v>11:55 001/p1</v>
      </c>
      <c r="F920" s="293" t="str">
        <f t="shared" si="1918"/>
        <v>12:55 001/p1</v>
      </c>
      <c r="G920" s="293" t="str">
        <f t="shared" si="1918"/>
        <v>13:55 001/p1</v>
      </c>
      <c r="H920" s="293" t="str">
        <f t="shared" ref="H920:I920" si="1919">TEXT(IF($B920=0," ",$B920+H$6),"hh:mm am/pm")</f>
        <v>20:55 001/p1</v>
      </c>
      <c r="I920" s="293" t="str">
        <f t="shared" si="1919"/>
        <v>01:55 001/p1</v>
      </c>
      <c r="J920" s="124"/>
      <c r="K920" s="406"/>
      <c r="L920" s="407" t="s">
        <v>478</v>
      </c>
      <c r="M920" s="408" t="s">
        <v>196</v>
      </c>
      <c r="N920" s="409" t="s">
        <v>57</v>
      </c>
      <c r="O920" s="410" t="s">
        <v>74</v>
      </c>
      <c r="P920" s="411" t="s">
        <v>59</v>
      </c>
      <c r="Q920" s="412">
        <f>110*2</f>
        <v>220</v>
      </c>
      <c r="R920" s="409" t="s">
        <v>60</v>
      </c>
      <c r="S920" s="413"/>
      <c r="T920" s="414">
        <v>0.1</v>
      </c>
      <c r="U920" s="409" t="s">
        <v>62</v>
      </c>
      <c r="V920" s="409">
        <v>0</v>
      </c>
      <c r="W920" s="409">
        <v>1</v>
      </c>
      <c r="X920" s="426"/>
      <c r="Y920" s="416" t="s">
        <v>79</v>
      </c>
      <c r="Z920" s="409">
        <v>2</v>
      </c>
      <c r="AA920" s="417">
        <v>20000</v>
      </c>
      <c r="AB920" s="417" t="s">
        <v>65</v>
      </c>
      <c r="AC920" s="414">
        <v>0.05</v>
      </c>
      <c r="AD920" s="414">
        <v>0</v>
      </c>
      <c r="AE920" s="418" t="s">
        <v>88</v>
      </c>
      <c r="AF920" s="419">
        <v>10000</v>
      </c>
      <c r="AG920" s="420">
        <v>3</v>
      </c>
      <c r="AH920" s="420">
        <v>3</v>
      </c>
      <c r="AI920" s="420">
        <v>3</v>
      </c>
      <c r="AJ920" s="418">
        <v>9</v>
      </c>
      <c r="AK920" s="428" t="s">
        <v>67</v>
      </c>
      <c r="AL920" s="421" t="s">
        <v>68</v>
      </c>
      <c r="AM920" s="403" t="s">
        <v>197</v>
      </c>
      <c r="AN920" s="403" t="s">
        <v>198</v>
      </c>
      <c r="AO920" s="314">
        <f t="shared" si="1723"/>
        <v>0.640289351851852</v>
      </c>
      <c r="AP920" s="315" t="e">
        <f t="shared" si="1724"/>
        <v>#DIV/0!</v>
      </c>
      <c r="AQ920" s="316" t="str">
        <f t="shared" si="1725"/>
        <v> </v>
      </c>
    </row>
    <row r="921" ht="29.25" customHeight="1" outlineLevel="1" spans="1:43">
      <c r="B921" s="365"/>
      <c r="C921" s="293" t="str">
        <f t="shared" ref="C921:G921" si="1920">TEXT(IF($B921=0," ",$B921-C$6),"hh:mm am/pm")</f>
        <v> </v>
      </c>
      <c r="D921" s="293" t="str">
        <f t="shared" si="1920"/>
        <v> </v>
      </c>
      <c r="E921" s="293" t="str">
        <f t="shared" si="1920"/>
        <v> </v>
      </c>
      <c r="F921" s="293" t="str">
        <f t="shared" si="1920"/>
        <v> </v>
      </c>
      <c r="G921" s="293" t="str">
        <f t="shared" si="1920"/>
        <v> </v>
      </c>
      <c r="H921" s="293" t="str">
        <f t="shared" ref="H921:I921" si="1921">TEXT(IF($B921=0," ",$B921+H$6),"hh:mm am/pm")</f>
        <v> </v>
      </c>
      <c r="I921" s="293" t="str">
        <f t="shared" si="1921"/>
        <v> </v>
      </c>
      <c r="J921" s="344"/>
      <c r="K921" s="367"/>
      <c r="L921" s="367"/>
      <c r="M921" s="368"/>
      <c r="N921" s="369"/>
      <c r="O921" s="370"/>
      <c r="P921" s="370"/>
      <c r="Q921" s="369"/>
      <c r="R921" s="369"/>
      <c r="S921" s="369"/>
      <c r="T921" s="371"/>
      <c r="U921" s="369"/>
      <c r="V921" s="369"/>
      <c r="W921" s="369"/>
      <c r="X921" s="372"/>
      <c r="Y921" s="367"/>
      <c r="Z921" s="369"/>
      <c r="AA921" s="372"/>
      <c r="AB921" s="372"/>
      <c r="AC921" s="371"/>
      <c r="AD921" s="371"/>
      <c r="AE921" s="367"/>
      <c r="AF921" s="372"/>
      <c r="AG921" s="367"/>
      <c r="AH921" s="367"/>
      <c r="AI921" s="367"/>
      <c r="AJ921" s="367"/>
      <c r="AK921" s="373"/>
      <c r="AL921" s="373"/>
      <c r="AM921" s="373"/>
      <c r="AN921" s="373"/>
      <c r="AO921" s="314" t="str">
        <f t="shared" si="1723"/>
        <v> </v>
      </c>
      <c r="AP921" s="374">
        <f t="shared" si="1724"/>
        <v>0</v>
      </c>
      <c r="AQ921" s="316" t="str">
        <f t="shared" si="1725"/>
        <v> </v>
      </c>
    </row>
    <row r="922" ht="29.25" customHeight="1" outlineLevel="1" spans="1:43">
      <c r="B922" s="317">
        <v>0.395844907407407</v>
      </c>
      <c r="C922" s="293" t="str">
        <f t="shared" ref="C922:G922" si="1922">TEXT(IF($B922=0," ",$B922-C$6),"hh:mm am/pm")</f>
        <v>07:30 001/p1</v>
      </c>
      <c r="D922" s="293" t="str">
        <f t="shared" si="1922"/>
        <v>05:30 001/p1</v>
      </c>
      <c r="E922" s="293" t="str">
        <f t="shared" si="1922"/>
        <v>06:30 001/p1</v>
      </c>
      <c r="F922" s="293" t="str">
        <f t="shared" si="1922"/>
        <v>07:30 001/p1</v>
      </c>
      <c r="G922" s="293" t="str">
        <f t="shared" si="1922"/>
        <v>08:30 001/p1</v>
      </c>
      <c r="H922" s="293" t="str">
        <f t="shared" ref="H922:I922" si="1923">TEXT(IF($B922=0," ",$B922+H$6),"hh:mm am/pm")</f>
        <v>15:30 001/p1</v>
      </c>
      <c r="I922" s="293" t="str">
        <f t="shared" si="1923"/>
        <v>20:30 001/p1</v>
      </c>
      <c r="J922" s="423" t="str">
        <f>L823</f>
        <v>#AS Sunday MB+SPS</v>
      </c>
      <c r="K922" s="424"/>
      <c r="L922" s="576"/>
      <c r="M922" s="532"/>
      <c r="N922" s="409" t="s">
        <v>57</v>
      </c>
      <c r="O922" s="410" t="s">
        <v>74</v>
      </c>
      <c r="P922" s="411" t="s">
        <v>59</v>
      </c>
      <c r="Q922" s="426"/>
      <c r="R922" s="414" t="s">
        <v>60</v>
      </c>
      <c r="S922" s="413"/>
      <c r="T922" s="414">
        <v>0.1</v>
      </c>
      <c r="U922" s="409" t="s">
        <v>62</v>
      </c>
      <c r="V922" s="409">
        <v>1</v>
      </c>
      <c r="W922" s="409">
        <v>1</v>
      </c>
      <c r="X922" s="415"/>
      <c r="Y922" s="416" t="s">
        <v>79</v>
      </c>
      <c r="Z922" s="409">
        <v>1</v>
      </c>
      <c r="AA922" s="417">
        <v>20000</v>
      </c>
      <c r="AB922" s="417" t="s">
        <v>65</v>
      </c>
      <c r="AC922" s="414">
        <v>0.05</v>
      </c>
      <c r="AD922" s="414">
        <v>0</v>
      </c>
      <c r="AE922" s="418" t="s">
        <v>88</v>
      </c>
      <c r="AF922" s="419">
        <v>10000</v>
      </c>
      <c r="AG922" s="420">
        <v>5</v>
      </c>
      <c r="AH922" s="420">
        <v>4</v>
      </c>
      <c r="AI922" s="420">
        <v>4</v>
      </c>
      <c r="AJ922" s="418">
        <v>9</v>
      </c>
      <c r="AK922" s="428" t="s">
        <v>67</v>
      </c>
      <c r="AL922" s="428" t="s">
        <v>68</v>
      </c>
      <c r="AM922" s="422" t="s">
        <v>197</v>
      </c>
      <c r="AN922" s="403" t="s">
        <v>198</v>
      </c>
      <c r="AO922" s="314">
        <f t="shared" si="1723"/>
        <v>0.427094907407407</v>
      </c>
      <c r="AP922" s="374">
        <f t="shared" si="1724"/>
        <v>0</v>
      </c>
      <c r="AQ922" s="316" t="str">
        <f t="shared" si="1725"/>
        <v>MICRO</v>
      </c>
    </row>
    <row r="923" ht="29.25" customHeight="1" outlineLevel="1" spans="1:43">
      <c r="A923" s="363" t="s">
        <v>438</v>
      </c>
      <c r="B923" s="317">
        <v>0.458344907407407</v>
      </c>
      <c r="C923" s="293" t="str">
        <f t="shared" ref="C923:G923" si="1924">TEXT(IF($B923=0," ",$B923-C$6),"hh:mm am/pm")</f>
        <v>09:00 001/p1</v>
      </c>
      <c r="D923" s="293" t="str">
        <f t="shared" si="1924"/>
        <v>07:00 001/p1</v>
      </c>
      <c r="E923" s="293" t="str">
        <f t="shared" si="1924"/>
        <v>08:00 001/p1</v>
      </c>
      <c r="F923" s="293" t="str">
        <f t="shared" si="1924"/>
        <v>09:00 001/p1</v>
      </c>
      <c r="G923" s="293" t="str">
        <f t="shared" si="1924"/>
        <v>10:00 001/p1</v>
      </c>
      <c r="H923" s="293" t="str">
        <f t="shared" ref="H923:I923" si="1925">TEXT(IF($B923=0," ",$B923+H$6),"hh:mm am/pm")</f>
        <v>17:00 001/p1</v>
      </c>
      <c r="I923" s="293" t="str">
        <f t="shared" si="1925"/>
        <v>22:00 001/p1</v>
      </c>
      <c r="J923" s="29"/>
      <c r="K923" s="431"/>
      <c r="L923" s="432" t="s">
        <v>479</v>
      </c>
      <c r="M923" s="408" t="s">
        <v>196</v>
      </c>
      <c r="N923" s="409" t="s">
        <v>57</v>
      </c>
      <c r="O923" s="410" t="s">
        <v>74</v>
      </c>
      <c r="P923" s="411" t="s">
        <v>59</v>
      </c>
      <c r="Q923" s="412">
        <f t="shared" ref="Q923:Q924" si="1926">15*6</f>
        <v>90</v>
      </c>
      <c r="R923" s="414" t="s">
        <v>60</v>
      </c>
      <c r="S923" s="413"/>
      <c r="T923" s="414">
        <v>0.1</v>
      </c>
      <c r="U923" s="409" t="s">
        <v>62</v>
      </c>
      <c r="V923" s="409">
        <v>1</v>
      </c>
      <c r="W923" s="409">
        <v>1</v>
      </c>
      <c r="X923" s="415"/>
      <c r="Y923" s="416" t="s">
        <v>79</v>
      </c>
      <c r="Z923" s="409">
        <v>1</v>
      </c>
      <c r="AA923" s="417">
        <v>20000</v>
      </c>
      <c r="AB923" s="417" t="s">
        <v>65</v>
      </c>
      <c r="AC923" s="414">
        <v>0.05</v>
      </c>
      <c r="AD923" s="414">
        <v>0</v>
      </c>
      <c r="AE923" s="418" t="s">
        <v>88</v>
      </c>
      <c r="AF923" s="419">
        <v>10000</v>
      </c>
      <c r="AG923" s="420">
        <v>4</v>
      </c>
      <c r="AH923" s="420">
        <v>4</v>
      </c>
      <c r="AI923" s="420">
        <v>4</v>
      </c>
      <c r="AJ923" s="418">
        <v>9</v>
      </c>
      <c r="AK923" s="428" t="s">
        <v>67</v>
      </c>
      <c r="AL923" s="428" t="s">
        <v>68</v>
      </c>
      <c r="AM923" s="422" t="s">
        <v>197</v>
      </c>
      <c r="AN923" s="403" t="s">
        <v>198</v>
      </c>
      <c r="AO923" s="314">
        <f t="shared" si="1723"/>
        <v>0.483344907407407</v>
      </c>
      <c r="AP923" s="315">
        <f t="shared" si="1724"/>
        <v>95</v>
      </c>
      <c r="AQ923" s="316" t="str">
        <f t="shared" si="1725"/>
        <v>MICRO</v>
      </c>
    </row>
    <row r="924" ht="29.25" customHeight="1" outlineLevel="1" spans="1:43">
      <c r="B924" s="317">
        <v>0.500011574074074</v>
      </c>
      <c r="C924" s="293" t="str">
        <f t="shared" ref="C924:G924" si="1927">TEXT(IF($B924=0," ",$B924-C$6),"hh:mm am/pm")</f>
        <v>10:00 001/p1</v>
      </c>
      <c r="D924" s="293" t="str">
        <f t="shared" si="1927"/>
        <v>08:00 001/p1</v>
      </c>
      <c r="E924" s="293" t="str">
        <f t="shared" si="1927"/>
        <v>09:00 001/p1</v>
      </c>
      <c r="F924" s="293" t="str">
        <f t="shared" si="1927"/>
        <v>10:00 001/p1</v>
      </c>
      <c r="G924" s="293" t="str">
        <f t="shared" si="1927"/>
        <v>11:00 001/p1</v>
      </c>
      <c r="H924" s="293" t="str">
        <f t="shared" ref="H924:I924" si="1928">TEXT(IF($B924=0," ",$B924+H$6),"hh:mm am/pm")</f>
        <v>18:00 001/p1</v>
      </c>
      <c r="I924" s="293" t="str">
        <f t="shared" si="1928"/>
        <v>23:00 001/p1</v>
      </c>
      <c r="J924" s="124"/>
      <c r="K924" s="406"/>
      <c r="L924" s="407" t="s">
        <v>479</v>
      </c>
      <c r="M924" s="408" t="s">
        <v>196</v>
      </c>
      <c r="N924" s="409" t="s">
        <v>57</v>
      </c>
      <c r="O924" s="410" t="s">
        <v>74</v>
      </c>
      <c r="P924" s="411" t="s">
        <v>59</v>
      </c>
      <c r="Q924" s="412">
        <f t="shared" si="1926"/>
        <v>90</v>
      </c>
      <c r="R924" s="414" t="s">
        <v>60</v>
      </c>
      <c r="S924" s="413"/>
      <c r="T924" s="414">
        <v>0.1</v>
      </c>
      <c r="U924" s="409" t="s">
        <v>62</v>
      </c>
      <c r="V924" s="409">
        <v>1</v>
      </c>
      <c r="W924" s="409">
        <v>1</v>
      </c>
      <c r="X924" s="415"/>
      <c r="Y924" s="416" t="s">
        <v>79</v>
      </c>
      <c r="Z924" s="409">
        <v>1</v>
      </c>
      <c r="AA924" s="417">
        <v>20000</v>
      </c>
      <c r="AB924" s="417" t="s">
        <v>65</v>
      </c>
      <c r="AC924" s="414">
        <v>0.05</v>
      </c>
      <c r="AD924" s="414">
        <v>0</v>
      </c>
      <c r="AE924" s="418" t="s">
        <v>88</v>
      </c>
      <c r="AF924" s="419">
        <v>10000</v>
      </c>
      <c r="AG924" s="420">
        <v>4</v>
      </c>
      <c r="AH924" s="420">
        <v>3</v>
      </c>
      <c r="AI924" s="420">
        <v>3</v>
      </c>
      <c r="AJ924" s="418">
        <v>9</v>
      </c>
      <c r="AK924" s="428" t="s">
        <v>67</v>
      </c>
      <c r="AL924" s="428" t="s">
        <v>68</v>
      </c>
      <c r="AM924" s="422" t="s">
        <v>197</v>
      </c>
      <c r="AN924" s="403" t="s">
        <v>198</v>
      </c>
      <c r="AO924" s="314">
        <f t="shared" si="1723"/>
        <v>0.525011574074074</v>
      </c>
      <c r="AP924" s="315">
        <f t="shared" si="1724"/>
        <v>95</v>
      </c>
      <c r="AQ924" s="316" t="str">
        <f t="shared" si="1725"/>
        <v>MICRO</v>
      </c>
    </row>
    <row r="925" ht="29.25" customHeight="1" outlineLevel="1" spans="1:43">
      <c r="B925" s="365"/>
      <c r="C925" s="293" t="str">
        <f t="shared" ref="C925:G925" si="1929">TEXT(IF($B925=0," ",$B925-C$6),"hh:mm am/pm")</f>
        <v> </v>
      </c>
      <c r="D925" s="293" t="str">
        <f t="shared" si="1929"/>
        <v> </v>
      </c>
      <c r="E925" s="293" t="str">
        <f t="shared" si="1929"/>
        <v> </v>
      </c>
      <c r="F925" s="293" t="str">
        <f t="shared" si="1929"/>
        <v> </v>
      </c>
      <c r="G925" s="293" t="str">
        <f t="shared" si="1929"/>
        <v> </v>
      </c>
      <c r="H925" s="293" t="str">
        <f t="shared" ref="H925:I925" si="1930">TEXT(IF($B925=0," ",$B925+H$6),"hh:mm am/pm")</f>
        <v> </v>
      </c>
      <c r="I925" s="293" t="str">
        <f t="shared" si="1930"/>
        <v> </v>
      </c>
      <c r="J925" s="344"/>
      <c r="K925" s="367"/>
      <c r="L925" s="367"/>
      <c r="M925" s="368"/>
      <c r="N925" s="369"/>
      <c r="O925" s="370"/>
      <c r="P925" s="370"/>
      <c r="Q925" s="369"/>
      <c r="R925" s="369"/>
      <c r="S925" s="369"/>
      <c r="T925" s="371"/>
      <c r="U925" s="369"/>
      <c r="V925" s="369"/>
      <c r="W925" s="369"/>
      <c r="X925" s="372"/>
      <c r="Y925" s="367"/>
      <c r="Z925" s="369"/>
      <c r="AA925" s="372"/>
      <c r="AB925" s="372"/>
      <c r="AC925" s="371"/>
      <c r="AD925" s="371"/>
      <c r="AE925" s="367"/>
      <c r="AF925" s="372"/>
      <c r="AG925" s="367"/>
      <c r="AH925" s="367"/>
      <c r="AI925" s="367"/>
      <c r="AJ925" s="367"/>
      <c r="AK925" s="373"/>
      <c r="AL925" s="373"/>
      <c r="AM925" s="373"/>
      <c r="AN925" s="373"/>
      <c r="AO925" s="314" t="str">
        <f t="shared" si="1723"/>
        <v> </v>
      </c>
      <c r="AP925" s="374">
        <f t="shared" si="1724"/>
        <v>0</v>
      </c>
      <c r="AQ925" s="316" t="str">
        <f t="shared" si="1725"/>
        <v> </v>
      </c>
    </row>
    <row r="926" ht="29.25" customHeight="1" outlineLevel="1" spans="1:43">
      <c r="A926" s="363" t="s">
        <v>438</v>
      </c>
      <c r="B926" s="317">
        <v>0.437511574074074</v>
      </c>
      <c r="C926" s="293" t="str">
        <f t="shared" ref="C926:G926" si="1931">TEXT(IF($B926=0," ",$B926-C$6),"hh:mm am/pm")</f>
        <v>08:30 001/p1</v>
      </c>
      <c r="D926" s="293" t="str">
        <f t="shared" si="1931"/>
        <v>06:30 001/p1</v>
      </c>
      <c r="E926" s="293" t="str">
        <f t="shared" si="1931"/>
        <v>07:30 001/p1</v>
      </c>
      <c r="F926" s="293" t="str">
        <f t="shared" si="1931"/>
        <v>08:30 001/p1</v>
      </c>
      <c r="G926" s="293" t="str">
        <f t="shared" si="1931"/>
        <v>09:30 001/p1</v>
      </c>
      <c r="H926" s="293" t="str">
        <f t="shared" ref="H926:I926" si="1932">TEXT(IF($B926=0," ",$B926+H$6),"hh:mm am/pm")</f>
        <v>16:30 001/p1</v>
      </c>
      <c r="I926" s="293" t="str">
        <f t="shared" si="1932"/>
        <v>21:30 001/p1</v>
      </c>
      <c r="J926" s="430" t="str">
        <f>L824</f>
        <v>#AS WarmUp+SPS</v>
      </c>
      <c r="K926" s="431"/>
      <c r="L926" s="432" t="s">
        <v>480</v>
      </c>
      <c r="M926" s="408" t="s">
        <v>196</v>
      </c>
      <c r="N926" s="409" t="s">
        <v>57</v>
      </c>
      <c r="O926" s="410" t="s">
        <v>74</v>
      </c>
      <c r="P926" s="411" t="s">
        <v>75</v>
      </c>
      <c r="Q926" s="412">
        <f t="shared" ref="Q926:Q927" si="1933">22*6</f>
        <v>132</v>
      </c>
      <c r="R926" s="409" t="s">
        <v>60</v>
      </c>
      <c r="S926" s="426"/>
      <c r="T926" s="414">
        <v>0.1</v>
      </c>
      <c r="U926" s="409" t="s">
        <v>62</v>
      </c>
      <c r="V926" s="409">
        <v>1.2</v>
      </c>
      <c r="W926" s="409">
        <v>1.2</v>
      </c>
      <c r="X926" s="415"/>
      <c r="Y926" s="416" t="s">
        <v>79</v>
      </c>
      <c r="Z926" s="409">
        <v>1.2</v>
      </c>
      <c r="AA926" s="417">
        <v>20000</v>
      </c>
      <c r="AB926" s="417" t="s">
        <v>65</v>
      </c>
      <c r="AC926" s="414">
        <v>0.05</v>
      </c>
      <c r="AD926" s="414">
        <v>0</v>
      </c>
      <c r="AE926" s="418" t="s">
        <v>88</v>
      </c>
      <c r="AF926" s="419">
        <v>10000</v>
      </c>
      <c r="AG926" s="420">
        <v>5</v>
      </c>
      <c r="AH926" s="420">
        <v>4</v>
      </c>
      <c r="AI926" s="420">
        <v>4</v>
      </c>
      <c r="AJ926" s="418">
        <v>9</v>
      </c>
      <c r="AK926" s="428" t="s">
        <v>67</v>
      </c>
      <c r="AL926" s="428" t="s">
        <v>68</v>
      </c>
      <c r="AM926" s="422" t="s">
        <v>197</v>
      </c>
      <c r="AN926" s="403" t="s">
        <v>198</v>
      </c>
      <c r="AO926" s="314">
        <f t="shared" si="1723"/>
        <v>0.468761574074074</v>
      </c>
      <c r="AP926" s="315">
        <f t="shared" si="1724"/>
        <v>116</v>
      </c>
      <c r="AQ926" s="316" t="str">
        <f t="shared" si="1725"/>
        <v>MICRO</v>
      </c>
    </row>
    <row r="927" ht="29.25" customHeight="1" outlineLevel="1" spans="1:43">
      <c r="B927" s="317">
        <v>0.479178240740741</v>
      </c>
      <c r="C927" s="293" t="str">
        <f t="shared" ref="C927:G927" si="1934">TEXT(IF($B927=0," ",$B927-C$6),"hh:mm am/pm")</f>
        <v>09:30 001/p1</v>
      </c>
      <c r="D927" s="293" t="str">
        <f t="shared" si="1934"/>
        <v>07:30 001/p1</v>
      </c>
      <c r="E927" s="293" t="str">
        <f t="shared" si="1934"/>
        <v>08:30 001/p1</v>
      </c>
      <c r="F927" s="293" t="str">
        <f t="shared" si="1934"/>
        <v>09:30 001/p1</v>
      </c>
      <c r="G927" s="293" t="str">
        <f t="shared" si="1934"/>
        <v>10:30 001/p1</v>
      </c>
      <c r="H927" s="293" t="str">
        <f t="shared" ref="H927:I927" si="1935">TEXT(IF($B927=0," ",$B927+H$6),"hh:mm am/pm")</f>
        <v>17:30 001/p1</v>
      </c>
      <c r="I927" s="293" t="str">
        <f t="shared" si="1935"/>
        <v>22:30 001/p1</v>
      </c>
      <c r="J927" s="29"/>
      <c r="K927" s="431"/>
      <c r="L927" s="432" t="s">
        <v>480</v>
      </c>
      <c r="M927" s="408" t="s">
        <v>196</v>
      </c>
      <c r="N927" s="409" t="s">
        <v>57</v>
      </c>
      <c r="O927" s="410" t="s">
        <v>74</v>
      </c>
      <c r="P927" s="411" t="s">
        <v>75</v>
      </c>
      <c r="Q927" s="412">
        <f t="shared" si="1933"/>
        <v>132</v>
      </c>
      <c r="R927" s="409" t="s">
        <v>60</v>
      </c>
      <c r="S927" s="426"/>
      <c r="T927" s="414">
        <v>0.1</v>
      </c>
      <c r="U927" s="409" t="s">
        <v>62</v>
      </c>
      <c r="V927" s="409">
        <v>1.2</v>
      </c>
      <c r="W927" s="409">
        <v>1.2</v>
      </c>
      <c r="X927" s="415"/>
      <c r="Y927" s="416" t="s">
        <v>79</v>
      </c>
      <c r="Z927" s="409">
        <v>1.2</v>
      </c>
      <c r="AA927" s="417">
        <v>20000</v>
      </c>
      <c r="AB927" s="417" t="s">
        <v>65</v>
      </c>
      <c r="AC927" s="414">
        <v>0.05</v>
      </c>
      <c r="AD927" s="414">
        <v>0</v>
      </c>
      <c r="AE927" s="418" t="s">
        <v>88</v>
      </c>
      <c r="AF927" s="419">
        <v>10000</v>
      </c>
      <c r="AG927" s="420">
        <v>4</v>
      </c>
      <c r="AH927" s="420">
        <v>4</v>
      </c>
      <c r="AI927" s="420">
        <v>4</v>
      </c>
      <c r="AJ927" s="418">
        <v>9</v>
      </c>
      <c r="AK927" s="428" t="s">
        <v>67</v>
      </c>
      <c r="AL927" s="428" t="s">
        <v>68</v>
      </c>
      <c r="AM927" s="422" t="s">
        <v>197</v>
      </c>
      <c r="AN927" s="403" t="s">
        <v>198</v>
      </c>
      <c r="AO927" s="314">
        <f t="shared" si="1723"/>
        <v>0.504178240740741</v>
      </c>
      <c r="AP927" s="315">
        <f t="shared" si="1724"/>
        <v>116</v>
      </c>
      <c r="AQ927" s="316" t="str">
        <f t="shared" si="1725"/>
        <v>MICRO</v>
      </c>
    </row>
    <row r="928" ht="29.25" customHeight="1" outlineLevel="1" spans="1:43">
      <c r="B928" s="577"/>
      <c r="C928" s="293" t="str">
        <f t="shared" ref="C928:G928" si="1936">TEXT(IF($B928=0," ",$B928-C$6),"hh:mm am/pm")</f>
        <v> </v>
      </c>
      <c r="D928" s="293" t="str">
        <f t="shared" si="1936"/>
        <v> </v>
      </c>
      <c r="E928" s="293" t="str">
        <f t="shared" si="1936"/>
        <v> </v>
      </c>
      <c r="F928" s="293" t="str">
        <f t="shared" si="1936"/>
        <v> </v>
      </c>
      <c r="G928" s="293" t="str">
        <f t="shared" si="1936"/>
        <v> </v>
      </c>
      <c r="H928" s="293" t="str">
        <f t="shared" ref="H928:I928" si="1937">TEXT(IF($B928=0," ",$B928+H$6),"hh:mm am/pm")</f>
        <v> </v>
      </c>
      <c r="I928" s="293" t="str">
        <f t="shared" si="1937"/>
        <v> </v>
      </c>
      <c r="J928" s="124"/>
      <c r="K928" s="406"/>
      <c r="L928" s="531"/>
      <c r="M928" s="532"/>
      <c r="N928" s="409" t="s">
        <v>57</v>
      </c>
      <c r="O928" s="410" t="s">
        <v>74</v>
      </c>
      <c r="P928" s="411" t="s">
        <v>75</v>
      </c>
      <c r="Q928" s="426"/>
      <c r="R928" s="414" t="s">
        <v>60</v>
      </c>
      <c r="S928" s="413"/>
      <c r="T928" s="414">
        <v>0.1</v>
      </c>
      <c r="U928" s="409" t="s">
        <v>62</v>
      </c>
      <c r="V928" s="409">
        <v>1.2</v>
      </c>
      <c r="W928" s="409">
        <v>1.2</v>
      </c>
      <c r="X928" s="415"/>
      <c r="Y928" s="416" t="s">
        <v>79</v>
      </c>
      <c r="Z928" s="409">
        <v>1.2</v>
      </c>
      <c r="AA928" s="417">
        <v>20000</v>
      </c>
      <c r="AB928" s="417" t="s">
        <v>65</v>
      </c>
      <c r="AC928" s="414">
        <v>0.05</v>
      </c>
      <c r="AD928" s="414">
        <v>0</v>
      </c>
      <c r="AE928" s="418" t="s">
        <v>88</v>
      </c>
      <c r="AF928" s="419">
        <v>10000</v>
      </c>
      <c r="AG928" s="420">
        <v>4</v>
      </c>
      <c r="AH928" s="420">
        <v>3</v>
      </c>
      <c r="AI928" s="420">
        <v>3</v>
      </c>
      <c r="AJ928" s="418">
        <v>9</v>
      </c>
      <c r="AK928" s="428" t="s">
        <v>67</v>
      </c>
      <c r="AL928" s="428" t="s">
        <v>68</v>
      </c>
      <c r="AM928" s="422" t="s">
        <v>197</v>
      </c>
      <c r="AN928" s="403" t="s">
        <v>198</v>
      </c>
      <c r="AO928" s="314" t="str">
        <f t="shared" si="1723"/>
        <v> </v>
      </c>
      <c r="AP928" s="374">
        <f t="shared" si="1724"/>
        <v>0</v>
      </c>
      <c r="AQ928" s="316" t="str">
        <f t="shared" si="1725"/>
        <v>MICRO</v>
      </c>
    </row>
    <row r="929" ht="29.25" customHeight="1" outlineLevel="1" spans="1:43">
      <c r="A929" s="363" t="s">
        <v>438</v>
      </c>
      <c r="B929" s="365"/>
      <c r="C929" s="293" t="str">
        <f t="shared" ref="C929:G929" si="1938">TEXT(IF($B929=0," ",$B929-C$6),"hh:mm am/pm")</f>
        <v> </v>
      </c>
      <c r="D929" s="293" t="str">
        <f t="shared" si="1938"/>
        <v> </v>
      </c>
      <c r="E929" s="293" t="str">
        <f t="shared" si="1938"/>
        <v> </v>
      </c>
      <c r="F929" s="293" t="str">
        <f t="shared" si="1938"/>
        <v> </v>
      </c>
      <c r="G929" s="293" t="str">
        <f t="shared" si="1938"/>
        <v> </v>
      </c>
      <c r="H929" s="293" t="str">
        <f t="shared" ref="H929:I929" si="1939">TEXT(IF($B929=0," ",$B929+H$6),"hh:mm am/pm")</f>
        <v> </v>
      </c>
      <c r="I929" s="293" t="str">
        <f t="shared" si="1939"/>
        <v> </v>
      </c>
      <c r="J929" s="344"/>
      <c r="K929" s="367"/>
      <c r="L929" s="367"/>
      <c r="M929" s="368"/>
      <c r="N929" s="369"/>
      <c r="O929" s="370"/>
      <c r="P929" s="370"/>
      <c r="Q929" s="369"/>
      <c r="R929" s="369"/>
      <c r="S929" s="369"/>
      <c r="T929" s="371"/>
      <c r="U929" s="369"/>
      <c r="V929" s="369"/>
      <c r="W929" s="369"/>
      <c r="X929" s="372"/>
      <c r="Y929" s="367"/>
      <c r="Z929" s="369"/>
      <c r="AA929" s="372"/>
      <c r="AB929" s="372"/>
      <c r="AC929" s="371"/>
      <c r="AD929" s="371"/>
      <c r="AE929" s="367"/>
      <c r="AF929" s="372"/>
      <c r="AG929" s="367"/>
      <c r="AH929" s="367"/>
      <c r="AI929" s="367"/>
      <c r="AJ929" s="367"/>
      <c r="AK929" s="373"/>
      <c r="AL929" s="373"/>
      <c r="AM929" s="373"/>
      <c r="AN929" s="373"/>
      <c r="AO929" s="314" t="str">
        <f t="shared" si="1723"/>
        <v> </v>
      </c>
      <c r="AP929" s="374">
        <f t="shared" si="1724"/>
        <v>0</v>
      </c>
      <c r="AQ929" s="316" t="str">
        <f t="shared" si="1725"/>
        <v> </v>
      </c>
    </row>
    <row r="930" ht="29.25" customHeight="1" outlineLevel="1" spans="1:43">
      <c r="B930" s="317">
        <v>0.583344907407407</v>
      </c>
      <c r="C930" s="293" t="str">
        <f t="shared" ref="C930:G930" si="1940">TEXT(IF($B930=0," ",$B930-C$6),"hh:mm am/pm")</f>
        <v>12:00 001/p1</v>
      </c>
      <c r="D930" s="293" t="str">
        <f t="shared" si="1940"/>
        <v>10:00 001/p1</v>
      </c>
      <c r="E930" s="293" t="str">
        <f t="shared" si="1940"/>
        <v>11:00 001/p1</v>
      </c>
      <c r="F930" s="293" t="str">
        <f t="shared" si="1940"/>
        <v>12:00 001/p1</v>
      </c>
      <c r="G930" s="293" t="str">
        <f t="shared" si="1940"/>
        <v>13:00 001/p1</v>
      </c>
      <c r="H930" s="293" t="str">
        <f t="shared" ref="H930:I930" si="1941">TEXT(IF($B930=0," ",$B930+H$6),"hh:mm am/pm")</f>
        <v>20:00 001/p1</v>
      </c>
      <c r="I930" s="293" t="str">
        <f t="shared" si="1941"/>
        <v>01:00 001/p1</v>
      </c>
      <c r="J930" s="433" t="str">
        <f>L826</f>
        <v>#AS Sunday PLO</v>
      </c>
      <c r="K930" s="385"/>
      <c r="L930" s="386" t="s">
        <v>481</v>
      </c>
      <c r="M930" s="408" t="s">
        <v>196</v>
      </c>
      <c r="N930" s="409" t="s">
        <v>100</v>
      </c>
      <c r="O930" s="410" t="s">
        <v>74</v>
      </c>
      <c r="P930" s="411" t="s">
        <v>101</v>
      </c>
      <c r="Q930" s="412">
        <f>60*10</f>
        <v>600</v>
      </c>
      <c r="R930" s="414" t="s">
        <v>60</v>
      </c>
      <c r="S930" s="413"/>
      <c r="T930" s="414">
        <v>0.1</v>
      </c>
      <c r="U930" s="409" t="s">
        <v>62</v>
      </c>
      <c r="V930" s="409">
        <v>4</v>
      </c>
      <c r="W930" s="409">
        <v>4</v>
      </c>
      <c r="X930" s="415"/>
      <c r="Y930" s="416" t="s">
        <v>79</v>
      </c>
      <c r="Z930" s="409">
        <v>6</v>
      </c>
      <c r="AA930" s="417">
        <v>20000</v>
      </c>
      <c r="AB930" s="417" t="s">
        <v>65</v>
      </c>
      <c r="AC930" s="414">
        <v>0.05</v>
      </c>
      <c r="AD930" s="414">
        <v>0</v>
      </c>
      <c r="AE930" s="418" t="s">
        <v>88</v>
      </c>
      <c r="AF930" s="419">
        <v>10000</v>
      </c>
      <c r="AG930" s="420">
        <v>5</v>
      </c>
      <c r="AH930" s="420">
        <v>4</v>
      </c>
      <c r="AI930" s="420">
        <v>4</v>
      </c>
      <c r="AJ930" s="418">
        <v>9</v>
      </c>
      <c r="AK930" s="428" t="s">
        <v>67</v>
      </c>
      <c r="AL930" s="428" t="s">
        <v>68</v>
      </c>
      <c r="AM930" s="422" t="s">
        <v>197</v>
      </c>
      <c r="AN930" s="403" t="s">
        <v>198</v>
      </c>
      <c r="AO930" s="314">
        <f t="shared" si="1723"/>
        <v>0.614594907407407</v>
      </c>
      <c r="AP930" s="315">
        <f t="shared" si="1724"/>
        <v>158</v>
      </c>
      <c r="AQ930" s="316" t="str">
        <f t="shared" si="1725"/>
        <v>MICRO</v>
      </c>
    </row>
    <row r="931" ht="29.25" customHeight="1" outlineLevel="1" spans="1:43">
      <c r="B931" s="365"/>
      <c r="C931" s="293" t="str">
        <f t="shared" ref="C931:G931" si="1942">TEXT(IF($B931=0," ",$B931-C$6),"hh:mm am/pm")</f>
        <v> </v>
      </c>
      <c r="D931" s="293" t="str">
        <f t="shared" si="1942"/>
        <v> </v>
      </c>
      <c r="E931" s="293" t="str">
        <f t="shared" si="1942"/>
        <v> </v>
      </c>
      <c r="F931" s="293" t="str">
        <f t="shared" si="1942"/>
        <v> </v>
      </c>
      <c r="G931" s="293" t="str">
        <f t="shared" si="1942"/>
        <v> </v>
      </c>
      <c r="H931" s="293" t="str">
        <f t="shared" ref="H931:I931" si="1943">TEXT(IF($B931=0," ",$B931+H$6),"hh:mm am/pm")</f>
        <v> </v>
      </c>
      <c r="I931" s="293" t="str">
        <f t="shared" si="1943"/>
        <v> </v>
      </c>
      <c r="J931" s="344"/>
      <c r="K931" s="367"/>
      <c r="L931" s="367"/>
      <c r="M931" s="368"/>
      <c r="N931" s="369"/>
      <c r="O931" s="370"/>
      <c r="P931" s="370"/>
      <c r="Q931" s="369"/>
      <c r="R931" s="369"/>
      <c r="S931" s="369"/>
      <c r="T931" s="371"/>
      <c r="U931" s="369"/>
      <c r="V931" s="369"/>
      <c r="W931" s="369"/>
      <c r="X931" s="372"/>
      <c r="Y931" s="367"/>
      <c r="Z931" s="369"/>
      <c r="AA931" s="372"/>
      <c r="AB931" s="372"/>
      <c r="AC931" s="371"/>
      <c r="AD931" s="371"/>
      <c r="AE931" s="367"/>
      <c r="AF931" s="372"/>
      <c r="AG931" s="367"/>
      <c r="AH931" s="367"/>
      <c r="AI931" s="367"/>
      <c r="AJ931" s="367"/>
      <c r="AK931" s="373"/>
      <c r="AL931" s="373"/>
      <c r="AM931" s="373"/>
      <c r="AN931" s="373"/>
      <c r="AO931" s="314" t="str">
        <f t="shared" si="1723"/>
        <v> </v>
      </c>
      <c r="AP931" s="374">
        <f t="shared" si="1724"/>
        <v>0</v>
      </c>
      <c r="AQ931" s="316" t="str">
        <f t="shared" si="1725"/>
        <v> </v>
      </c>
    </row>
    <row r="932" ht="29.25" customHeight="1" outlineLevel="1" spans="1:43">
      <c r="A932" s="363" t="s">
        <v>438</v>
      </c>
      <c r="B932" s="577"/>
      <c r="C932" s="293" t="str">
        <f t="shared" ref="C932:G932" si="1944">TEXT(IF($B932=0," ",$B932-C$6),"hh:mm am/pm")</f>
        <v> </v>
      </c>
      <c r="D932" s="293" t="str">
        <f t="shared" si="1944"/>
        <v> </v>
      </c>
      <c r="E932" s="293" t="str">
        <f t="shared" si="1944"/>
        <v> </v>
      </c>
      <c r="F932" s="293" t="str">
        <f t="shared" si="1944"/>
        <v> </v>
      </c>
      <c r="G932" s="293" t="str">
        <f t="shared" si="1944"/>
        <v> </v>
      </c>
      <c r="H932" s="293" t="str">
        <f t="shared" ref="H932:I932" si="1945">TEXT(IF($B932=0," ",$B932+H$6),"hh:mm am/pm")</f>
        <v> </v>
      </c>
      <c r="I932" s="293" t="str">
        <f t="shared" si="1945"/>
        <v> </v>
      </c>
      <c r="J932" s="423" t="str">
        <f>L827</f>
        <v>#AS Supreminho+SPS</v>
      </c>
      <c r="K932" s="424"/>
      <c r="L932" s="576"/>
      <c r="M932" s="532"/>
      <c r="N932" s="409" t="s">
        <v>57</v>
      </c>
      <c r="O932" s="410" t="s">
        <v>74</v>
      </c>
      <c r="P932" s="411" t="s">
        <v>59</v>
      </c>
      <c r="Q932" s="426"/>
      <c r="R932" s="414" t="s">
        <v>60</v>
      </c>
      <c r="S932" s="413"/>
      <c r="T932" s="414">
        <v>0.1</v>
      </c>
      <c r="U932" s="409" t="s">
        <v>62</v>
      </c>
      <c r="V932" s="409">
        <v>0.8</v>
      </c>
      <c r="W932" s="409">
        <v>0.8</v>
      </c>
      <c r="X932" s="415"/>
      <c r="Y932" s="416" t="s">
        <v>79</v>
      </c>
      <c r="Z932" s="409">
        <v>0.8</v>
      </c>
      <c r="AA932" s="417">
        <v>20000</v>
      </c>
      <c r="AB932" s="417" t="s">
        <v>65</v>
      </c>
      <c r="AC932" s="414">
        <v>0.05</v>
      </c>
      <c r="AD932" s="414">
        <v>0</v>
      </c>
      <c r="AE932" s="418" t="s">
        <v>88</v>
      </c>
      <c r="AF932" s="419">
        <v>10000</v>
      </c>
      <c r="AG932" s="420">
        <v>5</v>
      </c>
      <c r="AH932" s="420">
        <v>4</v>
      </c>
      <c r="AI932" s="420">
        <v>4</v>
      </c>
      <c r="AJ932" s="418">
        <v>9</v>
      </c>
      <c r="AK932" s="428" t="s">
        <v>67</v>
      </c>
      <c r="AL932" s="428" t="s">
        <v>68</v>
      </c>
      <c r="AM932" s="422" t="s">
        <v>197</v>
      </c>
      <c r="AN932" s="403" t="s">
        <v>198</v>
      </c>
      <c r="AO932" s="314" t="str">
        <f t="shared" si="1723"/>
        <v> </v>
      </c>
      <c r="AP932" s="374">
        <f t="shared" si="1724"/>
        <v>0</v>
      </c>
      <c r="AQ932" s="316" t="str">
        <f t="shared" si="1725"/>
        <v>MICRO</v>
      </c>
    </row>
    <row r="933" ht="29.25" customHeight="1" outlineLevel="1" spans="1:43">
      <c r="B933" s="317">
        <v>0.604178240740741</v>
      </c>
      <c r="C933" s="293" t="str">
        <f t="shared" ref="C933:G933" si="1946">TEXT(IF($B933=0," ",$B933-C$6),"hh:mm am/pm")</f>
        <v>12:30 001/p1</v>
      </c>
      <c r="D933" s="293" t="str">
        <f t="shared" si="1946"/>
        <v>10:30 001/p1</v>
      </c>
      <c r="E933" s="293" t="str">
        <f t="shared" si="1946"/>
        <v>11:30 001/p1</v>
      </c>
      <c r="F933" s="293" t="str">
        <f t="shared" si="1946"/>
        <v>12:30 001/p1</v>
      </c>
      <c r="G933" s="293" t="str">
        <f t="shared" si="1946"/>
        <v>13:30 001/p1</v>
      </c>
      <c r="H933" s="293" t="str">
        <f t="shared" ref="H933:I933" si="1947">TEXT(IF($B933=0," ",$B933+H$6),"hh:mm am/pm")</f>
        <v>20:30 001/p1</v>
      </c>
      <c r="I933" s="293" t="str">
        <f t="shared" si="1947"/>
        <v>01:30 001/p1</v>
      </c>
      <c r="J933" s="29"/>
      <c r="K933" s="431"/>
      <c r="L933" s="432" t="s">
        <v>482</v>
      </c>
      <c r="M933" s="408" t="s">
        <v>196</v>
      </c>
      <c r="N933" s="409" t="s">
        <v>57</v>
      </c>
      <c r="O933" s="410" t="s">
        <v>74</v>
      </c>
      <c r="P933" s="411" t="s">
        <v>59</v>
      </c>
      <c r="Q933" s="412">
        <f t="shared" ref="Q933:Q934" si="1948">11*10</f>
        <v>110</v>
      </c>
      <c r="R933" s="414" t="s">
        <v>60</v>
      </c>
      <c r="S933" s="413"/>
      <c r="T933" s="414">
        <v>0.1</v>
      </c>
      <c r="U933" s="409" t="s">
        <v>62</v>
      </c>
      <c r="V933" s="409">
        <v>0.8</v>
      </c>
      <c r="W933" s="409">
        <v>0.8</v>
      </c>
      <c r="X933" s="415"/>
      <c r="Y933" s="416" t="s">
        <v>79</v>
      </c>
      <c r="Z933" s="409">
        <v>0.8</v>
      </c>
      <c r="AA933" s="417">
        <v>20000</v>
      </c>
      <c r="AB933" s="417" t="s">
        <v>65</v>
      </c>
      <c r="AC933" s="414">
        <v>0.05</v>
      </c>
      <c r="AD933" s="414">
        <v>0</v>
      </c>
      <c r="AE933" s="418" t="s">
        <v>88</v>
      </c>
      <c r="AF933" s="419">
        <v>10000</v>
      </c>
      <c r="AG933" s="420">
        <v>5</v>
      </c>
      <c r="AH933" s="420">
        <v>4</v>
      </c>
      <c r="AI933" s="420">
        <v>4</v>
      </c>
      <c r="AJ933" s="418">
        <v>9</v>
      </c>
      <c r="AK933" s="428" t="s">
        <v>67</v>
      </c>
      <c r="AL933" s="428" t="s">
        <v>68</v>
      </c>
      <c r="AM933" s="422" t="s">
        <v>197</v>
      </c>
      <c r="AN933" s="403" t="s">
        <v>198</v>
      </c>
      <c r="AO933" s="314">
        <f t="shared" si="1723"/>
        <v>0.635428240740741</v>
      </c>
      <c r="AP933" s="315">
        <f t="shared" si="1724"/>
        <v>145</v>
      </c>
      <c r="AQ933" s="316" t="str">
        <f t="shared" si="1725"/>
        <v>MICRO</v>
      </c>
    </row>
    <row r="934" ht="29.25" customHeight="1" outlineLevel="1" spans="1:43">
      <c r="B934" s="317">
        <v>0.645844907407407</v>
      </c>
      <c r="C934" s="293" t="str">
        <f t="shared" ref="C934:G934" si="1949">TEXT(IF($B934=0," ",$B934-C$6),"hh:mm am/pm")</f>
        <v>13:30 001/p1</v>
      </c>
      <c r="D934" s="293" t="str">
        <f t="shared" si="1949"/>
        <v>11:30 001/p1</v>
      </c>
      <c r="E934" s="293" t="str">
        <f t="shared" si="1949"/>
        <v>12:30 001/p1</v>
      </c>
      <c r="F934" s="293" t="str">
        <f t="shared" si="1949"/>
        <v>13:30 001/p1</v>
      </c>
      <c r="G934" s="293" t="str">
        <f t="shared" si="1949"/>
        <v>14:30 001/p1</v>
      </c>
      <c r="H934" s="293" t="str">
        <f t="shared" ref="H934:I934" si="1950">TEXT(IF($B934=0," ",$B934+H$6),"hh:mm am/pm")</f>
        <v>21:30 001/p1</v>
      </c>
      <c r="I934" s="293" t="str">
        <f t="shared" si="1950"/>
        <v>02:30 001/p1</v>
      </c>
      <c r="J934" s="124"/>
      <c r="K934" s="406"/>
      <c r="L934" s="407" t="s">
        <v>482</v>
      </c>
      <c r="M934" s="408" t="s">
        <v>196</v>
      </c>
      <c r="N934" s="409" t="s">
        <v>57</v>
      </c>
      <c r="O934" s="410" t="s">
        <v>74</v>
      </c>
      <c r="P934" s="411" t="s">
        <v>59</v>
      </c>
      <c r="Q934" s="412">
        <f t="shared" si="1948"/>
        <v>110</v>
      </c>
      <c r="R934" s="414" t="s">
        <v>60</v>
      </c>
      <c r="S934" s="413"/>
      <c r="T934" s="414">
        <v>0.1</v>
      </c>
      <c r="U934" s="409" t="s">
        <v>62</v>
      </c>
      <c r="V934" s="409">
        <v>0.8</v>
      </c>
      <c r="W934" s="409">
        <v>0.8</v>
      </c>
      <c r="X934" s="415"/>
      <c r="Y934" s="416" t="s">
        <v>79</v>
      </c>
      <c r="Z934" s="409">
        <v>0.8</v>
      </c>
      <c r="AA934" s="417">
        <v>20000</v>
      </c>
      <c r="AB934" s="417" t="s">
        <v>65</v>
      </c>
      <c r="AC934" s="414">
        <v>0.05</v>
      </c>
      <c r="AD934" s="414">
        <v>0</v>
      </c>
      <c r="AE934" s="418" t="s">
        <v>88</v>
      </c>
      <c r="AF934" s="419">
        <v>10000</v>
      </c>
      <c r="AG934" s="420">
        <v>4</v>
      </c>
      <c r="AH934" s="420">
        <v>3</v>
      </c>
      <c r="AI934" s="420">
        <v>3</v>
      </c>
      <c r="AJ934" s="418">
        <v>9</v>
      </c>
      <c r="AK934" s="428" t="s">
        <v>67</v>
      </c>
      <c r="AL934" s="428" t="s">
        <v>68</v>
      </c>
      <c r="AM934" s="422" t="s">
        <v>197</v>
      </c>
      <c r="AN934" s="403" t="s">
        <v>198</v>
      </c>
      <c r="AO934" s="314">
        <f t="shared" si="1723"/>
        <v>0.670844907407407</v>
      </c>
      <c r="AP934" s="315">
        <f t="shared" si="1724"/>
        <v>145</v>
      </c>
      <c r="AQ934" s="316" t="str">
        <f t="shared" si="1725"/>
        <v>MICRO</v>
      </c>
    </row>
    <row r="935" ht="29.25" customHeight="1" outlineLevel="1" spans="1:43">
      <c r="A935" s="363" t="s">
        <v>438</v>
      </c>
      <c r="B935" s="365"/>
      <c r="C935" s="293" t="str">
        <f t="shared" ref="C935:G935" si="1951">TEXT(IF($B935=0," ",$B935-C$6),"hh:mm am/pm")</f>
        <v> </v>
      </c>
      <c r="D935" s="293" t="str">
        <f t="shared" si="1951"/>
        <v> </v>
      </c>
      <c r="E935" s="293" t="str">
        <f t="shared" si="1951"/>
        <v> </v>
      </c>
      <c r="F935" s="293" t="str">
        <f t="shared" si="1951"/>
        <v> </v>
      </c>
      <c r="G935" s="293" t="str">
        <f t="shared" si="1951"/>
        <v> </v>
      </c>
      <c r="H935" s="293" t="str">
        <f t="shared" ref="H935:I935" si="1952">TEXT(IF($B935=0," ",$B935+H$6),"hh:mm am/pm")</f>
        <v> </v>
      </c>
      <c r="I935" s="293" t="str">
        <f t="shared" si="1952"/>
        <v> </v>
      </c>
      <c r="J935" s="344"/>
      <c r="K935" s="367"/>
      <c r="L935" s="367"/>
      <c r="M935" s="368"/>
      <c r="N935" s="369"/>
      <c r="O935" s="370"/>
      <c r="P935" s="370"/>
      <c r="Q935" s="369"/>
      <c r="R935" s="369"/>
      <c r="S935" s="369"/>
      <c r="T935" s="371"/>
      <c r="U935" s="369"/>
      <c r="V935" s="369"/>
      <c r="W935" s="369"/>
      <c r="X935" s="372"/>
      <c r="Y935" s="367"/>
      <c r="Z935" s="369"/>
      <c r="AA935" s="372"/>
      <c r="AB935" s="372"/>
      <c r="AC935" s="371"/>
      <c r="AD935" s="371"/>
      <c r="AE935" s="367"/>
      <c r="AF935" s="372"/>
      <c r="AG935" s="367"/>
      <c r="AH935" s="367"/>
      <c r="AI935" s="367"/>
      <c r="AJ935" s="367"/>
      <c r="AK935" s="373"/>
      <c r="AL935" s="373"/>
      <c r="AM935" s="373"/>
      <c r="AN935" s="373"/>
      <c r="AO935" s="383"/>
      <c r="AP935" s="374"/>
      <c r="AQ935" s="383"/>
    </row>
    <row r="936" ht="29.25" customHeight="1" outlineLevel="1" spans="1:43">
      <c r="B936" s="317">
        <v>0.583344907407407</v>
      </c>
      <c r="C936" s="293" t="str">
        <f t="shared" ref="C936:G936" si="1953">TEXT(IF($B936=0," ",$B936-C$6),"hh:mm am/pm")</f>
        <v>12:00 001/p1</v>
      </c>
      <c r="D936" s="293" t="str">
        <f t="shared" si="1953"/>
        <v>10:00 001/p1</v>
      </c>
      <c r="E936" s="293" t="str">
        <f t="shared" si="1953"/>
        <v>11:00 001/p1</v>
      </c>
      <c r="F936" s="293" t="str">
        <f t="shared" si="1953"/>
        <v>12:00 001/p1</v>
      </c>
      <c r="G936" s="293" t="str">
        <f t="shared" si="1953"/>
        <v>13:00 001/p1</v>
      </c>
      <c r="H936" s="293" t="str">
        <f t="shared" ref="H936:I936" si="1954">TEXT(IF($B936=0," ",$B936+H$6),"hh:mm am/pm")</f>
        <v>20:00 001/p1</v>
      </c>
      <c r="I936" s="293" t="str">
        <f t="shared" si="1954"/>
        <v>01:00 001/p1</v>
      </c>
      <c r="J936" s="423" t="str">
        <f>L828</f>
        <v>#AS Freeze HR</v>
      </c>
      <c r="K936" s="424"/>
      <c r="L936" s="425" t="s">
        <v>483</v>
      </c>
      <c r="M936" s="408" t="s">
        <v>196</v>
      </c>
      <c r="N936" s="409" t="s">
        <v>57</v>
      </c>
      <c r="O936" s="410" t="s">
        <v>74</v>
      </c>
      <c r="P936" s="411" t="s">
        <v>59</v>
      </c>
      <c r="Q936" s="412">
        <f t="shared" ref="Q936:Q937" si="1955">50*4</f>
        <v>200</v>
      </c>
      <c r="R936" s="414" t="s">
        <v>60</v>
      </c>
      <c r="S936" s="413"/>
      <c r="T936" s="414">
        <v>0.1</v>
      </c>
      <c r="U936" s="409" t="s">
        <v>62</v>
      </c>
      <c r="V936" s="409">
        <v>3</v>
      </c>
      <c r="W936" s="409">
        <v>3</v>
      </c>
      <c r="X936" s="415"/>
      <c r="Y936" s="416" t="s">
        <v>79</v>
      </c>
      <c r="Z936" s="409">
        <v>3</v>
      </c>
      <c r="AA936" s="417">
        <v>20000</v>
      </c>
      <c r="AB936" s="417" t="s">
        <v>65</v>
      </c>
      <c r="AC936" s="414">
        <v>0.05</v>
      </c>
      <c r="AD936" s="414">
        <v>0</v>
      </c>
      <c r="AE936" s="418" t="s">
        <v>88</v>
      </c>
      <c r="AF936" s="419">
        <v>10000</v>
      </c>
      <c r="AG936" s="420">
        <v>5</v>
      </c>
      <c r="AH936" s="420">
        <v>4</v>
      </c>
      <c r="AI936" s="420">
        <v>4</v>
      </c>
      <c r="AJ936" s="418">
        <v>9</v>
      </c>
      <c r="AK936" s="428" t="s">
        <v>67</v>
      </c>
      <c r="AL936" s="428" t="s">
        <v>68</v>
      </c>
      <c r="AM936" s="422" t="s">
        <v>197</v>
      </c>
      <c r="AN936" s="403" t="s">
        <v>198</v>
      </c>
      <c r="AO936" s="314">
        <f t="shared" ref="AO936:AO947" si="1956">IF(B936=0," ",TIME(,ROUNDDOWN(AG936*AJ936/60,0)*5+(AG936*AJ936),)+B936)</f>
        <v>0.614594907407407</v>
      </c>
      <c r="AP936" s="315">
        <f t="shared" ref="AP936:AP947" si="1957">IF(Q936=0,,ROUNDUP(Q936/(V936*(1-AC936-AD936)),0))</f>
        <v>71</v>
      </c>
      <c r="AQ936" s="316" t="str">
        <f t="shared" ref="AQ936:AQ947" si="1958">IFERROR(IF(V936=0," ",IF(V936&lt;=5,"MICRO",IF(V936&lt;=19.8,"LOW",IF(V936&lt;=99.8,"MEDIUM",IF(V936&lt;=500,"HIGH",IF(V936&gt;500,"SUPER HIGH",)))))),"")</f>
        <v>MICRO</v>
      </c>
    </row>
    <row r="937" ht="29.25" customHeight="1" outlineLevel="1" spans="1:43">
      <c r="B937" s="317">
        <v>0.625011574074074</v>
      </c>
      <c r="C937" s="293" t="str">
        <f t="shared" ref="C937:G937" si="1959">TEXT(IF($B937=0," ",$B937-C$6),"hh:mm am/pm")</f>
        <v>13:00 001/p1</v>
      </c>
      <c r="D937" s="293" t="str">
        <f t="shared" si="1959"/>
        <v>11:00 001/p1</v>
      </c>
      <c r="E937" s="293" t="str">
        <f t="shared" si="1959"/>
        <v>12:00 001/p1</v>
      </c>
      <c r="F937" s="293" t="str">
        <f t="shared" si="1959"/>
        <v>13:00 001/p1</v>
      </c>
      <c r="G937" s="293" t="str">
        <f t="shared" si="1959"/>
        <v>14:00 001/p1</v>
      </c>
      <c r="H937" s="293" t="str">
        <f t="shared" ref="H937:I937" si="1960">TEXT(IF($B937=0," ",$B937+H$6),"hh:mm am/pm")</f>
        <v>21:00 001/p1</v>
      </c>
      <c r="I937" s="293" t="str">
        <f t="shared" si="1960"/>
        <v>02:00 001/p1</v>
      </c>
      <c r="J937" s="124"/>
      <c r="K937" s="406"/>
      <c r="L937" s="407" t="s">
        <v>483</v>
      </c>
      <c r="M937" s="408" t="s">
        <v>196</v>
      </c>
      <c r="N937" s="409" t="s">
        <v>57</v>
      </c>
      <c r="O937" s="410" t="s">
        <v>74</v>
      </c>
      <c r="P937" s="411" t="s">
        <v>59</v>
      </c>
      <c r="Q937" s="412">
        <f t="shared" si="1955"/>
        <v>200</v>
      </c>
      <c r="R937" s="414" t="s">
        <v>60</v>
      </c>
      <c r="S937" s="413"/>
      <c r="T937" s="414">
        <v>0.1</v>
      </c>
      <c r="U937" s="409" t="s">
        <v>62</v>
      </c>
      <c r="V937" s="409">
        <v>3</v>
      </c>
      <c r="W937" s="409">
        <v>3</v>
      </c>
      <c r="X937" s="415"/>
      <c r="Y937" s="416" t="s">
        <v>79</v>
      </c>
      <c r="Z937" s="409">
        <v>3</v>
      </c>
      <c r="AA937" s="417">
        <v>20000</v>
      </c>
      <c r="AB937" s="417" t="s">
        <v>65</v>
      </c>
      <c r="AC937" s="414">
        <v>0.05</v>
      </c>
      <c r="AD937" s="414">
        <v>0</v>
      </c>
      <c r="AE937" s="418" t="s">
        <v>88</v>
      </c>
      <c r="AF937" s="419">
        <v>10000</v>
      </c>
      <c r="AG937" s="420">
        <v>4</v>
      </c>
      <c r="AH937" s="420">
        <v>3</v>
      </c>
      <c r="AI937" s="420">
        <v>3</v>
      </c>
      <c r="AJ937" s="418">
        <v>9</v>
      </c>
      <c r="AK937" s="428" t="s">
        <v>67</v>
      </c>
      <c r="AL937" s="428" t="s">
        <v>68</v>
      </c>
      <c r="AM937" s="422" t="s">
        <v>197</v>
      </c>
      <c r="AN937" s="403" t="s">
        <v>198</v>
      </c>
      <c r="AO937" s="314">
        <f t="shared" si="1956"/>
        <v>0.650011574074074</v>
      </c>
      <c r="AP937" s="315">
        <f t="shared" si="1957"/>
        <v>71</v>
      </c>
      <c r="AQ937" s="316" t="str">
        <f t="shared" si="1958"/>
        <v>MICRO</v>
      </c>
    </row>
    <row r="938" ht="29.25" customHeight="1" outlineLevel="1" spans="1:43">
      <c r="A938" s="363"/>
      <c r="B938" s="365"/>
      <c r="C938" s="293" t="str">
        <f t="shared" ref="C938:G938" si="1961">TEXT(IF($B938=0," ",$B938-C$6),"hh:mm am/pm")</f>
        <v> </v>
      </c>
      <c r="D938" s="293" t="str">
        <f t="shared" si="1961"/>
        <v> </v>
      </c>
      <c r="E938" s="293" t="str">
        <f t="shared" si="1961"/>
        <v> </v>
      </c>
      <c r="F938" s="293" t="str">
        <f t="shared" si="1961"/>
        <v> </v>
      </c>
      <c r="G938" s="293" t="str">
        <f t="shared" si="1961"/>
        <v> </v>
      </c>
      <c r="H938" s="293" t="str">
        <f t="shared" ref="H938:I938" si="1962">TEXT(IF($B938=0," ",$B938+H$6),"hh:mm am/pm")</f>
        <v> </v>
      </c>
      <c r="I938" s="293" t="str">
        <f t="shared" si="1962"/>
        <v> </v>
      </c>
      <c r="J938" s="344"/>
      <c r="K938" s="367"/>
      <c r="L938" s="367"/>
      <c r="M938" s="368"/>
      <c r="N938" s="369"/>
      <c r="O938" s="370"/>
      <c r="P938" s="370"/>
      <c r="Q938" s="369"/>
      <c r="R938" s="369"/>
      <c r="S938" s="369"/>
      <c r="T938" s="371"/>
      <c r="U938" s="369"/>
      <c r="V938" s="369"/>
      <c r="W938" s="369"/>
      <c r="X938" s="372"/>
      <c r="Y938" s="367"/>
      <c r="Z938" s="369"/>
      <c r="AA938" s="372"/>
      <c r="AB938" s="372"/>
      <c r="AC938" s="371"/>
      <c r="AD938" s="371"/>
      <c r="AE938" s="367"/>
      <c r="AF938" s="372"/>
      <c r="AG938" s="367"/>
      <c r="AH938" s="367"/>
      <c r="AI938" s="367"/>
      <c r="AJ938" s="367"/>
      <c r="AK938" s="373"/>
      <c r="AL938" s="373"/>
      <c r="AM938" s="373"/>
      <c r="AN938" s="373"/>
      <c r="AO938" s="314" t="str">
        <f t="shared" si="1956"/>
        <v> </v>
      </c>
      <c r="AP938" s="374">
        <f t="shared" si="1957"/>
        <v>0</v>
      </c>
      <c r="AQ938" s="316" t="str">
        <f t="shared" si="1958"/>
        <v> </v>
      </c>
    </row>
    <row r="939" ht="29.25" customHeight="1" outlineLevel="1" spans="1:43">
      <c r="A939" s="363"/>
      <c r="B939" s="292">
        <v>0.666678240740741</v>
      </c>
      <c r="C939" s="293" t="str">
        <f t="shared" ref="C939:G939" si="1963">TEXT(IF($B939=0," ",$B939-C$6),"hh:mm am/pm")</f>
        <v>14:00 001/p1</v>
      </c>
      <c r="D939" s="293" t="str">
        <f t="shared" si="1963"/>
        <v>12:00 001/p1</v>
      </c>
      <c r="E939" s="293" t="str">
        <f t="shared" si="1963"/>
        <v>13:00 001/p1</v>
      </c>
      <c r="F939" s="293" t="str">
        <f t="shared" si="1963"/>
        <v>14:00 001/p1</v>
      </c>
      <c r="G939" s="293" t="str">
        <f t="shared" si="1963"/>
        <v>15:00 001/p1</v>
      </c>
      <c r="H939" s="293" t="str">
        <f t="shared" ref="H939:I939" si="1964">TEXT(IF($B939=0," ",$B939+H$6),"hh:mm am/pm")</f>
        <v>22:00 001/p1</v>
      </c>
      <c r="I939" s="293" t="str">
        <f t="shared" si="1964"/>
        <v>03:00 001/p1</v>
      </c>
      <c r="J939" s="578" t="str">
        <f>L829</f>
        <v>#AS Sunday Plus+SPT</v>
      </c>
      <c r="K939" s="579"/>
      <c r="L939" s="580" t="s">
        <v>484</v>
      </c>
      <c r="M939" s="387" t="s">
        <v>196</v>
      </c>
      <c r="N939" s="388" t="s">
        <v>57</v>
      </c>
      <c r="O939" s="389" t="s">
        <v>74</v>
      </c>
      <c r="P939" s="390" t="s">
        <v>59</v>
      </c>
      <c r="Q939" s="391">
        <f>10*5</f>
        <v>50</v>
      </c>
      <c r="R939" s="394" t="s">
        <v>60</v>
      </c>
      <c r="S939" s="456"/>
      <c r="T939" s="394">
        <v>0.1</v>
      </c>
      <c r="U939" s="388" t="s">
        <v>62</v>
      </c>
      <c r="V939" s="388">
        <v>0.4</v>
      </c>
      <c r="W939" s="388">
        <v>0.6</v>
      </c>
      <c r="X939" s="399">
        <v>10000</v>
      </c>
      <c r="Y939" s="396" t="s">
        <v>79</v>
      </c>
      <c r="Z939" s="388">
        <v>0.6</v>
      </c>
      <c r="AA939" s="397">
        <v>15000</v>
      </c>
      <c r="AB939" s="397" t="s">
        <v>65</v>
      </c>
      <c r="AC939" s="394">
        <v>0.05</v>
      </c>
      <c r="AD939" s="394">
        <v>0</v>
      </c>
      <c r="AE939" s="392" t="s">
        <v>88</v>
      </c>
      <c r="AF939" s="399">
        <v>7500</v>
      </c>
      <c r="AG939" s="400">
        <v>4</v>
      </c>
      <c r="AH939" s="400">
        <v>3</v>
      </c>
      <c r="AI939" s="400">
        <v>3</v>
      </c>
      <c r="AJ939" s="392">
        <v>9</v>
      </c>
      <c r="AK939" s="402" t="s">
        <v>67</v>
      </c>
      <c r="AL939" s="402" t="s">
        <v>68</v>
      </c>
      <c r="AM939" s="403" t="s">
        <v>197</v>
      </c>
      <c r="AN939" s="403" t="s">
        <v>198</v>
      </c>
      <c r="AO939" s="314">
        <f t="shared" si="1956"/>
        <v>0.691678240740741</v>
      </c>
      <c r="AP939" s="315">
        <f t="shared" si="1957"/>
        <v>132</v>
      </c>
      <c r="AQ939" s="316" t="str">
        <f t="shared" si="1958"/>
        <v>MICRO</v>
      </c>
    </row>
    <row r="940" ht="29.25" customHeight="1" outlineLevel="1" spans="1:43">
      <c r="A940" s="363"/>
      <c r="B940" s="365"/>
      <c r="C940" s="293" t="str">
        <f t="shared" ref="C940:G940" si="1965">TEXT(IF($B940=0," ",$B940-C$6),"hh:mm am/pm")</f>
        <v> </v>
      </c>
      <c r="D940" s="293" t="str">
        <f t="shared" si="1965"/>
        <v> </v>
      </c>
      <c r="E940" s="293" t="str">
        <f t="shared" si="1965"/>
        <v> </v>
      </c>
      <c r="F940" s="293" t="str">
        <f t="shared" si="1965"/>
        <v> </v>
      </c>
      <c r="G940" s="293" t="str">
        <f t="shared" si="1965"/>
        <v> </v>
      </c>
      <c r="H940" s="293" t="str">
        <f t="shared" ref="H940:I940" si="1966">TEXT(IF($B940=0," ",$B940+H$6),"hh:mm am/pm")</f>
        <v> </v>
      </c>
      <c r="I940" s="293" t="str">
        <f t="shared" si="1966"/>
        <v> </v>
      </c>
      <c r="J940" s="344"/>
      <c r="K940" s="367"/>
      <c r="L940" s="367"/>
      <c r="M940" s="368"/>
      <c r="N940" s="369"/>
      <c r="O940" s="370"/>
      <c r="P940" s="370"/>
      <c r="Q940" s="369"/>
      <c r="R940" s="369"/>
      <c r="S940" s="369"/>
      <c r="T940" s="371"/>
      <c r="U940" s="369"/>
      <c r="V940" s="369"/>
      <c r="W940" s="369"/>
      <c r="X940" s="372"/>
      <c r="Y940" s="367"/>
      <c r="Z940" s="369"/>
      <c r="AA940" s="372"/>
      <c r="AB940" s="372"/>
      <c r="AC940" s="371"/>
      <c r="AD940" s="371"/>
      <c r="AE940" s="367"/>
      <c r="AF940" s="372"/>
      <c r="AG940" s="367"/>
      <c r="AH940" s="367"/>
      <c r="AI940" s="367"/>
      <c r="AJ940" s="367"/>
      <c r="AK940" s="373"/>
      <c r="AL940" s="373"/>
      <c r="AM940" s="373"/>
      <c r="AN940" s="373"/>
      <c r="AO940" s="314" t="str">
        <f t="shared" si="1956"/>
        <v> </v>
      </c>
      <c r="AP940" s="374">
        <f t="shared" si="1957"/>
        <v>0</v>
      </c>
      <c r="AQ940" s="316" t="str">
        <f t="shared" si="1958"/>
        <v> </v>
      </c>
    </row>
    <row r="941" ht="29.25" customHeight="1" outlineLevel="1" spans="1:43">
      <c r="A941" s="363" t="s">
        <v>438</v>
      </c>
      <c r="B941" s="577"/>
      <c r="C941" s="293" t="str">
        <f t="shared" ref="C941:G941" si="1967">TEXT(IF($B941=0," ",$B941-C$6),"hh:mm am/pm")</f>
        <v> </v>
      </c>
      <c r="D941" s="293" t="str">
        <f t="shared" si="1967"/>
        <v> </v>
      </c>
      <c r="E941" s="293" t="str">
        <f t="shared" si="1967"/>
        <v> </v>
      </c>
      <c r="F941" s="293" t="str">
        <f t="shared" si="1967"/>
        <v> </v>
      </c>
      <c r="G941" s="293" t="str">
        <f t="shared" si="1967"/>
        <v> </v>
      </c>
      <c r="H941" s="293" t="str">
        <f t="shared" ref="H941:I941" si="1968">TEXT(IF($B941=0," ",$B941+H$6),"hh:mm am/pm")</f>
        <v> </v>
      </c>
      <c r="I941" s="293" t="str">
        <f t="shared" si="1968"/>
        <v> </v>
      </c>
      <c r="J941" s="423" t="str">
        <f>L830</f>
        <v>#AS Battle HR+SPS</v>
      </c>
      <c r="K941" s="424"/>
      <c r="L941" s="576"/>
      <c r="M941" s="532"/>
      <c r="N941" s="409" t="s">
        <v>57</v>
      </c>
      <c r="O941" s="410" t="s">
        <v>74</v>
      </c>
      <c r="P941" s="411" t="s">
        <v>59</v>
      </c>
      <c r="Q941" s="426"/>
      <c r="R941" s="414" t="s">
        <v>60</v>
      </c>
      <c r="S941" s="413"/>
      <c r="T941" s="414">
        <v>0.1</v>
      </c>
      <c r="U941" s="409" t="s">
        <v>62</v>
      </c>
      <c r="V941" s="409">
        <v>2</v>
      </c>
      <c r="W941" s="409">
        <v>2</v>
      </c>
      <c r="X941" s="415"/>
      <c r="Y941" s="416" t="s">
        <v>79</v>
      </c>
      <c r="Z941" s="409">
        <v>2</v>
      </c>
      <c r="AA941" s="417">
        <v>20000</v>
      </c>
      <c r="AB941" s="417" t="s">
        <v>65</v>
      </c>
      <c r="AC941" s="414">
        <v>0.05</v>
      </c>
      <c r="AD941" s="414">
        <v>0</v>
      </c>
      <c r="AE941" s="418" t="s">
        <v>88</v>
      </c>
      <c r="AF941" s="419">
        <v>10000</v>
      </c>
      <c r="AG941" s="420">
        <v>5</v>
      </c>
      <c r="AH941" s="420">
        <v>4</v>
      </c>
      <c r="AI941" s="420">
        <v>4</v>
      </c>
      <c r="AJ941" s="418">
        <v>9</v>
      </c>
      <c r="AK941" s="428" t="s">
        <v>67</v>
      </c>
      <c r="AL941" s="428" t="s">
        <v>68</v>
      </c>
      <c r="AM941" s="422" t="s">
        <v>197</v>
      </c>
      <c r="AN941" s="403" t="s">
        <v>198</v>
      </c>
      <c r="AO941" s="314" t="str">
        <f t="shared" si="1956"/>
        <v> </v>
      </c>
      <c r="AP941" s="374">
        <f t="shared" si="1957"/>
        <v>0</v>
      </c>
      <c r="AQ941" s="316" t="str">
        <f t="shared" si="1958"/>
        <v>MICRO</v>
      </c>
    </row>
    <row r="942" ht="29.25" customHeight="1" outlineLevel="1" spans="1:43">
      <c r="B942" s="317">
        <v>0.687511574074074</v>
      </c>
      <c r="C942" s="293" t="str">
        <f t="shared" ref="C942:G942" si="1969">TEXT(IF($B942=0," ",$B942-C$6),"hh:mm am/pm")</f>
        <v>14:30 001/p1</v>
      </c>
      <c r="D942" s="293" t="str">
        <f t="shared" si="1969"/>
        <v>12:30 001/p1</v>
      </c>
      <c r="E942" s="293" t="str">
        <f t="shared" si="1969"/>
        <v>13:30 001/p1</v>
      </c>
      <c r="F942" s="293" t="str">
        <f t="shared" si="1969"/>
        <v>14:30 001/p1</v>
      </c>
      <c r="G942" s="293" t="str">
        <f t="shared" si="1969"/>
        <v>15:30 001/p1</v>
      </c>
      <c r="H942" s="293" t="str">
        <f t="shared" ref="H942:I942" si="1970">TEXT(IF($B942=0," ",$B942+H$6),"hh:mm am/pm")</f>
        <v>22:30 001/p1</v>
      </c>
      <c r="I942" s="293" t="str">
        <f t="shared" si="1970"/>
        <v>03:30 001/p1</v>
      </c>
      <c r="J942" s="29"/>
      <c r="K942" s="431"/>
      <c r="L942" s="432" t="s">
        <v>202</v>
      </c>
      <c r="M942" s="408" t="s">
        <v>196</v>
      </c>
      <c r="N942" s="409" t="s">
        <v>57</v>
      </c>
      <c r="O942" s="410" t="s">
        <v>74</v>
      </c>
      <c r="P942" s="411" t="s">
        <v>59</v>
      </c>
      <c r="Q942" s="412">
        <f t="shared" ref="Q942:Q943" si="1971">30*6</f>
        <v>180</v>
      </c>
      <c r="R942" s="414" t="s">
        <v>60</v>
      </c>
      <c r="S942" s="413"/>
      <c r="T942" s="414">
        <v>0.1</v>
      </c>
      <c r="U942" s="409" t="s">
        <v>62</v>
      </c>
      <c r="V942" s="409">
        <v>2</v>
      </c>
      <c r="W942" s="409">
        <v>2</v>
      </c>
      <c r="X942" s="415"/>
      <c r="Y942" s="416" t="s">
        <v>79</v>
      </c>
      <c r="Z942" s="409">
        <v>2</v>
      </c>
      <c r="AA942" s="417">
        <v>20000</v>
      </c>
      <c r="AB942" s="417" t="s">
        <v>65</v>
      </c>
      <c r="AC942" s="414">
        <v>0.05</v>
      </c>
      <c r="AD942" s="414">
        <v>0</v>
      </c>
      <c r="AE942" s="418" t="s">
        <v>88</v>
      </c>
      <c r="AF942" s="419">
        <v>10000</v>
      </c>
      <c r="AG942" s="420">
        <v>5</v>
      </c>
      <c r="AH942" s="420">
        <v>4</v>
      </c>
      <c r="AI942" s="420">
        <v>4</v>
      </c>
      <c r="AJ942" s="418">
        <v>9</v>
      </c>
      <c r="AK942" s="428" t="s">
        <v>67</v>
      </c>
      <c r="AL942" s="428" t="s">
        <v>68</v>
      </c>
      <c r="AM942" s="422" t="s">
        <v>197</v>
      </c>
      <c r="AN942" s="403" t="s">
        <v>198</v>
      </c>
      <c r="AO942" s="314">
        <f t="shared" si="1956"/>
        <v>0.718761574074074</v>
      </c>
      <c r="AP942" s="315">
        <f t="shared" si="1957"/>
        <v>95</v>
      </c>
      <c r="AQ942" s="316" t="str">
        <f t="shared" si="1958"/>
        <v>MICRO</v>
      </c>
    </row>
    <row r="943" ht="29.25" customHeight="1" outlineLevel="1" spans="1:43">
      <c r="B943" s="317">
        <v>0.729178240740741</v>
      </c>
      <c r="C943" s="293" t="str">
        <f t="shared" ref="C943:G943" si="1972">TEXT(IF($B943=0," ",$B943-C$6),"hh:mm am/pm")</f>
        <v>15:30 001/p1</v>
      </c>
      <c r="D943" s="293" t="str">
        <f t="shared" si="1972"/>
        <v>13:30 001/p1</v>
      </c>
      <c r="E943" s="293" t="str">
        <f t="shared" si="1972"/>
        <v>14:30 001/p1</v>
      </c>
      <c r="F943" s="293" t="str">
        <f t="shared" si="1972"/>
        <v>15:30 001/p1</v>
      </c>
      <c r="G943" s="293" t="str">
        <f t="shared" si="1972"/>
        <v>16:30 001/p1</v>
      </c>
      <c r="H943" s="293" t="str">
        <f t="shared" ref="H943:I943" si="1973">TEXT(IF($B943=0," ",$B943+H$6),"hh:mm am/pm")</f>
        <v>23:30 001/p1</v>
      </c>
      <c r="I943" s="293" t="str">
        <f t="shared" si="1973"/>
        <v>04:30 001/p1</v>
      </c>
      <c r="J943" s="124"/>
      <c r="K943" s="406"/>
      <c r="L943" s="407" t="s">
        <v>202</v>
      </c>
      <c r="M943" s="408" t="s">
        <v>196</v>
      </c>
      <c r="N943" s="409" t="s">
        <v>57</v>
      </c>
      <c r="O943" s="410" t="s">
        <v>74</v>
      </c>
      <c r="P943" s="411" t="s">
        <v>59</v>
      </c>
      <c r="Q943" s="412">
        <f t="shared" si="1971"/>
        <v>180</v>
      </c>
      <c r="R943" s="414" t="s">
        <v>60</v>
      </c>
      <c r="S943" s="413"/>
      <c r="T943" s="414">
        <v>0.1</v>
      </c>
      <c r="U943" s="409" t="s">
        <v>62</v>
      </c>
      <c r="V943" s="409">
        <v>2</v>
      </c>
      <c r="W943" s="409">
        <v>2</v>
      </c>
      <c r="X943" s="415"/>
      <c r="Y943" s="416" t="s">
        <v>79</v>
      </c>
      <c r="Z943" s="409">
        <v>2</v>
      </c>
      <c r="AA943" s="417">
        <v>20000</v>
      </c>
      <c r="AB943" s="417" t="s">
        <v>65</v>
      </c>
      <c r="AC943" s="414">
        <v>0.05</v>
      </c>
      <c r="AD943" s="414">
        <v>0</v>
      </c>
      <c r="AE943" s="581" t="s">
        <v>88</v>
      </c>
      <c r="AF943" s="419">
        <v>10000</v>
      </c>
      <c r="AG943" s="582">
        <v>4</v>
      </c>
      <c r="AH943" s="582">
        <v>4</v>
      </c>
      <c r="AI943" s="582">
        <v>4</v>
      </c>
      <c r="AJ943" s="418">
        <v>9</v>
      </c>
      <c r="AK943" s="428" t="s">
        <v>67</v>
      </c>
      <c r="AL943" s="428" t="s">
        <v>68</v>
      </c>
      <c r="AM943" s="422" t="s">
        <v>197</v>
      </c>
      <c r="AN943" s="403" t="s">
        <v>198</v>
      </c>
      <c r="AO943" s="314">
        <f t="shared" si="1956"/>
        <v>0.754178240740741</v>
      </c>
      <c r="AP943" s="315">
        <f t="shared" si="1957"/>
        <v>95</v>
      </c>
      <c r="AQ943" s="316" t="str">
        <f t="shared" si="1958"/>
        <v>MICRO</v>
      </c>
    </row>
    <row r="944" ht="29.25" customHeight="1" outlineLevel="1" spans="1:43">
      <c r="A944" s="363" t="s">
        <v>438</v>
      </c>
      <c r="B944" s="365"/>
      <c r="C944" s="293" t="str">
        <f t="shared" ref="C944:G944" si="1974">TEXT(IF($B944=0," ",$B944-C$6),"hh:mm am/pm")</f>
        <v> </v>
      </c>
      <c r="D944" s="293" t="str">
        <f t="shared" si="1974"/>
        <v> </v>
      </c>
      <c r="E944" s="293" t="str">
        <f t="shared" si="1974"/>
        <v> </v>
      </c>
      <c r="F944" s="293" t="str">
        <f t="shared" si="1974"/>
        <v> </v>
      </c>
      <c r="G944" s="293" t="str">
        <f t="shared" si="1974"/>
        <v> </v>
      </c>
      <c r="H944" s="293" t="str">
        <f t="shared" ref="H944:I944" si="1975">TEXT(IF($B944=0," ",$B944+H$6),"hh:mm am/pm")</f>
        <v> </v>
      </c>
      <c r="I944" s="293" t="str">
        <f t="shared" si="1975"/>
        <v> </v>
      </c>
      <c r="J944" s="344"/>
      <c r="K944" s="367"/>
      <c r="L944" s="367"/>
      <c r="M944" s="368"/>
      <c r="N944" s="369"/>
      <c r="O944" s="370"/>
      <c r="P944" s="370"/>
      <c r="Q944" s="369"/>
      <c r="R944" s="369"/>
      <c r="S944" s="369"/>
      <c r="T944" s="371"/>
      <c r="U944" s="369"/>
      <c r="V944" s="369"/>
      <c r="W944" s="369"/>
      <c r="X944" s="372"/>
      <c r="Y944" s="367"/>
      <c r="Z944" s="369"/>
      <c r="AA944" s="372"/>
      <c r="AB944" s="372"/>
      <c r="AC944" s="371"/>
      <c r="AD944" s="371"/>
      <c r="AE944" s="367"/>
      <c r="AF944" s="372"/>
      <c r="AG944" s="367"/>
      <c r="AH944" s="367"/>
      <c r="AI944" s="367"/>
      <c r="AJ944" s="367"/>
      <c r="AK944" s="373"/>
      <c r="AL944" s="373"/>
      <c r="AM944" s="373"/>
      <c r="AN944" s="373"/>
      <c r="AO944" s="314" t="str">
        <f t="shared" si="1956"/>
        <v> </v>
      </c>
      <c r="AP944" s="374">
        <f t="shared" si="1957"/>
        <v>0</v>
      </c>
      <c r="AQ944" s="316" t="str">
        <f t="shared" si="1958"/>
        <v> </v>
      </c>
    </row>
    <row r="945" ht="29.25" customHeight="1" outlineLevel="1" spans="1:43">
      <c r="B945" s="317">
        <v>0.687511574074074</v>
      </c>
      <c r="C945" s="293" t="str">
        <f t="shared" ref="C945:G945" si="1976">TEXT(IF($B945=0," ",$B945-C$6),"hh:mm am/pm")</f>
        <v>14:30 001/p1</v>
      </c>
      <c r="D945" s="293" t="str">
        <f t="shared" si="1976"/>
        <v>12:30 001/p1</v>
      </c>
      <c r="E945" s="293" t="str">
        <f t="shared" si="1976"/>
        <v>13:30 001/p1</v>
      </c>
      <c r="F945" s="293" t="str">
        <f t="shared" si="1976"/>
        <v>14:30 001/p1</v>
      </c>
      <c r="G945" s="293" t="str">
        <f t="shared" si="1976"/>
        <v>15:30 001/p1</v>
      </c>
      <c r="H945" s="293" t="str">
        <f t="shared" ref="H945:I945" si="1977">TEXT(IF($B945=0," ",$B945+H$6),"hh:mm am/pm")</f>
        <v>22:30 001/p1</v>
      </c>
      <c r="I945" s="293" t="str">
        <f t="shared" si="1977"/>
        <v>03:30 001/p1</v>
      </c>
      <c r="J945" s="433" t="str">
        <f>L831</f>
        <v>#AS HighS</v>
      </c>
      <c r="K945" s="385"/>
      <c r="L945" s="386" t="s">
        <v>209</v>
      </c>
      <c r="M945" s="408" t="s">
        <v>196</v>
      </c>
      <c r="N945" s="409" t="s">
        <v>57</v>
      </c>
      <c r="O945" s="410" t="s">
        <v>74</v>
      </c>
      <c r="P945" s="411" t="s">
        <v>59</v>
      </c>
      <c r="Q945" s="412">
        <f>150*5</f>
        <v>750</v>
      </c>
      <c r="R945" s="414" t="s">
        <v>60</v>
      </c>
      <c r="S945" s="413"/>
      <c r="T945" s="414">
        <v>0.1</v>
      </c>
      <c r="U945" s="409" t="s">
        <v>62</v>
      </c>
      <c r="V945" s="409">
        <v>30</v>
      </c>
      <c r="W945" s="409">
        <v>30</v>
      </c>
      <c r="X945" s="415"/>
      <c r="Y945" s="416" t="s">
        <v>63</v>
      </c>
      <c r="Z945" s="426"/>
      <c r="AA945" s="417" t="s">
        <v>64</v>
      </c>
      <c r="AB945" s="417" t="s">
        <v>65</v>
      </c>
      <c r="AC945" s="414">
        <v>0.05</v>
      </c>
      <c r="AD945" s="414">
        <v>0</v>
      </c>
      <c r="AE945" s="581" t="s">
        <v>88</v>
      </c>
      <c r="AF945" s="419">
        <v>20000</v>
      </c>
      <c r="AG945" s="582">
        <v>5</v>
      </c>
      <c r="AH945" s="582">
        <v>4</v>
      </c>
      <c r="AI945" s="582">
        <v>4</v>
      </c>
      <c r="AJ945" s="418">
        <v>9</v>
      </c>
      <c r="AK945" s="428" t="s">
        <v>67</v>
      </c>
      <c r="AL945" s="428" t="s">
        <v>68</v>
      </c>
      <c r="AM945" s="422" t="s">
        <v>197</v>
      </c>
      <c r="AN945" s="403" t="s">
        <v>198</v>
      </c>
      <c r="AO945" s="314">
        <f t="shared" si="1956"/>
        <v>0.718761574074074</v>
      </c>
      <c r="AP945" s="315">
        <f t="shared" si="1957"/>
        <v>27</v>
      </c>
      <c r="AQ945" s="316" t="str">
        <f t="shared" si="1958"/>
        <v>MEDIUM</v>
      </c>
    </row>
    <row r="946" ht="29.25" customHeight="1" outlineLevel="1" spans="1:43">
      <c r="B946" s="365"/>
      <c r="C946" s="293" t="str">
        <f t="shared" ref="C946:G946" si="1978">TEXT(IF($B946=0," ",$B946-C$6),"hh:mm am/pm")</f>
        <v> </v>
      </c>
      <c r="D946" s="293" t="str">
        <f t="shared" si="1978"/>
        <v> </v>
      </c>
      <c r="E946" s="293" t="str">
        <f t="shared" si="1978"/>
        <v> </v>
      </c>
      <c r="F946" s="293" t="str">
        <f t="shared" si="1978"/>
        <v> </v>
      </c>
      <c r="G946" s="293" t="str">
        <f t="shared" si="1978"/>
        <v> </v>
      </c>
      <c r="H946" s="293" t="str">
        <f t="shared" ref="H946:I946" si="1979">TEXT(IF($B946=0," ",$B946+H$6),"hh:mm am/pm")</f>
        <v> </v>
      </c>
      <c r="I946" s="293" t="str">
        <f t="shared" si="1979"/>
        <v> </v>
      </c>
      <c r="J946" s="344"/>
      <c r="K946" s="367"/>
      <c r="L946" s="367"/>
      <c r="M946" s="368"/>
      <c r="N946" s="369"/>
      <c r="O946" s="370"/>
      <c r="P946" s="370"/>
      <c r="Q946" s="369"/>
      <c r="R946" s="369"/>
      <c r="S946" s="369"/>
      <c r="T946" s="371"/>
      <c r="U946" s="369"/>
      <c r="V946" s="369"/>
      <c r="W946" s="369"/>
      <c r="X946" s="372"/>
      <c r="Y946" s="367"/>
      <c r="Z946" s="369"/>
      <c r="AA946" s="372"/>
      <c r="AB946" s="372"/>
      <c r="AC946" s="371"/>
      <c r="AD946" s="371"/>
      <c r="AE946" s="367"/>
      <c r="AF946" s="372"/>
      <c r="AG946" s="367"/>
      <c r="AH946" s="367"/>
      <c r="AI946" s="367"/>
      <c r="AJ946" s="367"/>
      <c r="AK946" s="373"/>
      <c r="AL946" s="373"/>
      <c r="AM946" s="373"/>
      <c r="AN946" s="373"/>
      <c r="AO946" s="314" t="str">
        <f t="shared" si="1956"/>
        <v> </v>
      </c>
      <c r="AP946" s="374">
        <f t="shared" si="1957"/>
        <v>0</v>
      </c>
      <c r="AQ946" s="316" t="str">
        <f t="shared" si="1958"/>
        <v> </v>
      </c>
    </row>
    <row r="947" ht="29.25" customHeight="1" outlineLevel="1" spans="1:43">
      <c r="A947" s="363" t="s">
        <v>438</v>
      </c>
      <c r="B947" s="317">
        <v>0.687511574074074</v>
      </c>
      <c r="C947" s="293" t="str">
        <f t="shared" ref="C947:G947" si="1980">TEXT(IF($B947=0," ",$B947-C$6),"hh:mm am/pm")</f>
        <v>14:30 001/p1</v>
      </c>
      <c r="D947" s="293" t="str">
        <f t="shared" si="1980"/>
        <v>12:30 001/p1</v>
      </c>
      <c r="E947" s="293" t="str">
        <f t="shared" si="1980"/>
        <v>13:30 001/p1</v>
      </c>
      <c r="F947" s="293" t="str">
        <f t="shared" si="1980"/>
        <v>14:30 001/p1</v>
      </c>
      <c r="G947" s="293" t="str">
        <f t="shared" si="1980"/>
        <v>15:30 001/p1</v>
      </c>
      <c r="H947" s="293" t="str">
        <f t="shared" ref="H947:I947" si="1981">TEXT(IF($B947=0," ",$B947+H$6),"hh:mm am/pm")</f>
        <v>22:30 001/p1</v>
      </c>
      <c r="I947" s="293" t="str">
        <f t="shared" si="1981"/>
        <v>03:30 001/p1</v>
      </c>
      <c r="J947" s="433" t="str">
        <f>L889</f>
        <v>#AS OmaX PKO</v>
      </c>
      <c r="K947" s="385"/>
      <c r="L947" s="386" t="s">
        <v>284</v>
      </c>
      <c r="M947" s="408" t="s">
        <v>196</v>
      </c>
      <c r="N947" s="409" t="s">
        <v>100</v>
      </c>
      <c r="O947" s="410" t="s">
        <v>74</v>
      </c>
      <c r="P947" s="411" t="s">
        <v>101</v>
      </c>
      <c r="Q947" s="412">
        <f>15*6</f>
        <v>90</v>
      </c>
      <c r="R947" s="414" t="s">
        <v>60</v>
      </c>
      <c r="S947" s="413"/>
      <c r="T947" s="414">
        <v>0.1</v>
      </c>
      <c r="U947" s="409" t="s">
        <v>62</v>
      </c>
      <c r="V947" s="409">
        <v>1</v>
      </c>
      <c r="W947" s="409">
        <v>1</v>
      </c>
      <c r="X947" s="415"/>
      <c r="Y947" s="416" t="s">
        <v>79</v>
      </c>
      <c r="Z947" s="409">
        <v>1</v>
      </c>
      <c r="AA947" s="417">
        <v>20000</v>
      </c>
      <c r="AB947" s="417" t="s">
        <v>65</v>
      </c>
      <c r="AC947" s="414">
        <v>0.05</v>
      </c>
      <c r="AD947" s="414">
        <v>0</v>
      </c>
      <c r="AE947" s="418" t="s">
        <v>88</v>
      </c>
      <c r="AF947" s="419">
        <v>10000</v>
      </c>
      <c r="AG947" s="420">
        <v>5</v>
      </c>
      <c r="AH947" s="420">
        <v>4</v>
      </c>
      <c r="AI947" s="420">
        <v>4</v>
      </c>
      <c r="AJ947" s="418">
        <v>9</v>
      </c>
      <c r="AK947" s="428" t="s">
        <v>67</v>
      </c>
      <c r="AL947" s="428" t="s">
        <v>68</v>
      </c>
      <c r="AM947" s="422" t="s">
        <v>197</v>
      </c>
      <c r="AN947" s="403" t="s">
        <v>198</v>
      </c>
      <c r="AO947" s="314">
        <f t="shared" si="1956"/>
        <v>0.718761574074074</v>
      </c>
      <c r="AP947" s="315">
        <f t="shared" si="1957"/>
        <v>95</v>
      </c>
      <c r="AQ947" s="316" t="str">
        <f t="shared" si="1958"/>
        <v>MICRO</v>
      </c>
    </row>
    <row r="948" ht="29.25" customHeight="1" outlineLevel="1" spans="1:43">
      <c r="B948" s="365"/>
      <c r="C948" s="293" t="str">
        <f t="shared" ref="C948:G948" si="1982">TEXT(IF($B948=0," ",$B948-C$6),"hh:mm am/pm")</f>
        <v> </v>
      </c>
      <c r="D948" s="293" t="str">
        <f t="shared" si="1982"/>
        <v> </v>
      </c>
      <c r="E948" s="293" t="str">
        <f t="shared" si="1982"/>
        <v> </v>
      </c>
      <c r="F948" s="293" t="str">
        <f t="shared" si="1982"/>
        <v> </v>
      </c>
      <c r="G948" s="293" t="str">
        <f t="shared" si="1982"/>
        <v> </v>
      </c>
      <c r="H948" s="293" t="str">
        <f t="shared" ref="H948:I948" si="1983">TEXT(IF($B948=0," ",$B948+H$6),"hh:mm am/pm")</f>
        <v> </v>
      </c>
      <c r="I948" s="293" t="str">
        <f t="shared" si="1983"/>
        <v> </v>
      </c>
      <c r="J948" s="344"/>
      <c r="K948" s="367"/>
      <c r="L948" s="367"/>
      <c r="M948" s="368"/>
      <c r="N948" s="369"/>
      <c r="O948" s="370"/>
      <c r="P948" s="370"/>
      <c r="Q948" s="369"/>
      <c r="R948" s="369"/>
      <c r="S948" s="369"/>
      <c r="T948" s="371"/>
      <c r="U948" s="369"/>
      <c r="V948" s="369"/>
      <c r="W948" s="369"/>
      <c r="X948" s="372"/>
      <c r="Y948" s="367"/>
      <c r="Z948" s="369"/>
      <c r="AA948" s="372"/>
      <c r="AB948" s="372"/>
      <c r="AC948" s="371"/>
      <c r="AD948" s="371"/>
      <c r="AE948" s="367"/>
      <c r="AF948" s="372"/>
      <c r="AG948" s="367"/>
      <c r="AH948" s="367"/>
      <c r="AI948" s="367"/>
      <c r="AJ948" s="367"/>
      <c r="AK948" s="373"/>
      <c r="AL948" s="373"/>
      <c r="AM948" s="373"/>
      <c r="AN948" s="373"/>
      <c r="AO948" s="383"/>
      <c r="AP948" s="374"/>
      <c r="AQ948" s="383"/>
    </row>
    <row r="949" ht="29.25" customHeight="1" outlineLevel="1" spans="1:43">
      <c r="A949" s="363" t="s">
        <v>438</v>
      </c>
      <c r="B949" s="317">
        <v>0.708344907407407</v>
      </c>
      <c r="C949" s="293" t="str">
        <f t="shared" ref="C949:G949" si="1984">TEXT(IF($B949=0," ",$B949-C$6),"hh:mm am/pm")</f>
        <v>15:00 001/p1</v>
      </c>
      <c r="D949" s="293" t="str">
        <f t="shared" si="1984"/>
        <v>13:00 001/p1</v>
      </c>
      <c r="E949" s="293" t="str">
        <f t="shared" si="1984"/>
        <v>14:00 001/p1</v>
      </c>
      <c r="F949" s="293" t="str">
        <f t="shared" si="1984"/>
        <v>15:00 001/p1</v>
      </c>
      <c r="G949" s="293" t="str">
        <f t="shared" si="1984"/>
        <v>16:00 001/p1</v>
      </c>
      <c r="H949" s="293" t="str">
        <f t="shared" ref="H949:I949" si="1985">TEXT(IF($B949=0," ",$B949+H$6),"hh:mm am/pm")</f>
        <v>23:00 001/p1</v>
      </c>
      <c r="I949" s="293" t="str">
        <f t="shared" si="1985"/>
        <v>04:00 001/p1</v>
      </c>
      <c r="J949" s="433" t="str">
        <f>L894</f>
        <v>#AS OmaX</v>
      </c>
      <c r="K949" s="385"/>
      <c r="L949" s="386" t="s">
        <v>485</v>
      </c>
      <c r="M949" s="408" t="s">
        <v>196</v>
      </c>
      <c r="N949" s="409" t="s">
        <v>165</v>
      </c>
      <c r="O949" s="410" t="s">
        <v>74</v>
      </c>
      <c r="P949" s="411" t="s">
        <v>101</v>
      </c>
      <c r="Q949" s="412">
        <f>30*4</f>
        <v>120</v>
      </c>
      <c r="R949" s="414" t="s">
        <v>60</v>
      </c>
      <c r="S949" s="413"/>
      <c r="T949" s="414">
        <v>0.1</v>
      </c>
      <c r="U949" s="409" t="s">
        <v>62</v>
      </c>
      <c r="V949" s="409">
        <v>1.6</v>
      </c>
      <c r="W949" s="409">
        <v>1.6</v>
      </c>
      <c r="X949" s="415"/>
      <c r="Y949" s="416" t="s">
        <v>79</v>
      </c>
      <c r="Z949" s="409">
        <v>1.6</v>
      </c>
      <c r="AA949" s="417">
        <v>20000</v>
      </c>
      <c r="AB949" s="417" t="s">
        <v>65</v>
      </c>
      <c r="AC949" s="414">
        <v>0.05</v>
      </c>
      <c r="AD949" s="414">
        <v>0</v>
      </c>
      <c r="AE949" s="418" t="s">
        <v>88</v>
      </c>
      <c r="AF949" s="419">
        <v>10000</v>
      </c>
      <c r="AG949" s="420">
        <v>5</v>
      </c>
      <c r="AH949" s="420">
        <v>4</v>
      </c>
      <c r="AI949" s="420">
        <v>4</v>
      </c>
      <c r="AJ949" s="418">
        <v>9</v>
      </c>
      <c r="AK949" s="428" t="s">
        <v>67</v>
      </c>
      <c r="AL949" s="428" t="s">
        <v>68</v>
      </c>
      <c r="AM949" s="422" t="s">
        <v>197</v>
      </c>
      <c r="AN949" s="403" t="s">
        <v>198</v>
      </c>
      <c r="AO949" s="314">
        <f>IF(B949=0," ",TIME(,ROUNDDOWN(AG949*AJ949/60,0)*5+(AG949*AJ949),)+B949)</f>
        <v>0.739594907407407</v>
      </c>
      <c r="AP949" s="315">
        <f>IF(Q949=0,,ROUNDUP(Q949/(V949*(1-AC949-AD949)),0))</f>
        <v>79</v>
      </c>
      <c r="AQ949" s="316" t="str">
        <f>IFERROR(IF(V949=0," ",IF(V949&lt;=5,"MICRO",IF(V949&lt;=19.8,"LOW",IF(V949&lt;=99.8,"MEDIUM",IF(V949&lt;=500,"HIGH",IF(V949&gt;500,"SUPER HIGH",)))))),"")</f>
        <v>MICRO</v>
      </c>
    </row>
    <row r="950" ht="29.25" customHeight="1" outlineLevel="1" spans="1:43">
      <c r="B950" s="365"/>
      <c r="C950" s="293" t="str">
        <f t="shared" ref="C950:G950" si="1986">TEXT(IF($B950=0," ",$B950-C$6),"hh:mm am/pm")</f>
        <v> </v>
      </c>
      <c r="D950" s="293" t="str">
        <f t="shared" si="1986"/>
        <v> </v>
      </c>
      <c r="E950" s="293" t="str">
        <f t="shared" si="1986"/>
        <v> </v>
      </c>
      <c r="F950" s="293" t="str">
        <f t="shared" si="1986"/>
        <v> </v>
      </c>
      <c r="G950" s="293" t="str">
        <f t="shared" si="1986"/>
        <v> </v>
      </c>
      <c r="H950" s="293" t="str">
        <f t="shared" ref="H950:I950" si="1987">TEXT(IF($B950=0," ",$B950+H$6),"hh:mm am/pm")</f>
        <v> </v>
      </c>
      <c r="I950" s="293" t="str">
        <f t="shared" si="1987"/>
        <v> </v>
      </c>
      <c r="J950" s="344"/>
      <c r="K950" s="367"/>
      <c r="L950" s="367"/>
      <c r="M950" s="368"/>
      <c r="N950" s="369"/>
      <c r="O950" s="370"/>
      <c r="P950" s="370"/>
      <c r="Q950" s="369"/>
      <c r="R950" s="369"/>
      <c r="S950" s="369"/>
      <c r="T950" s="371"/>
      <c r="U950" s="369"/>
      <c r="V950" s="369"/>
      <c r="W950" s="369"/>
      <c r="X950" s="372"/>
      <c r="Y950" s="367"/>
      <c r="Z950" s="369"/>
      <c r="AA950" s="372"/>
      <c r="AB950" s="372"/>
      <c r="AC950" s="371"/>
      <c r="AD950" s="371"/>
      <c r="AE950" s="367"/>
      <c r="AF950" s="372"/>
      <c r="AG950" s="367"/>
      <c r="AH950" s="367"/>
      <c r="AI950" s="367"/>
      <c r="AJ950" s="367"/>
      <c r="AK950" s="373"/>
      <c r="AL950" s="373"/>
      <c r="AM950" s="373"/>
      <c r="AN950" s="373"/>
      <c r="AO950" s="383"/>
      <c r="AP950" s="374"/>
      <c r="AQ950" s="383"/>
    </row>
    <row r="951" ht="29.25" customHeight="1" outlineLevel="1" spans="1:43">
      <c r="B951" s="317">
        <v>0.729178240740741</v>
      </c>
      <c r="C951" s="293" t="str">
        <f t="shared" ref="C951:G951" si="1988">TEXT(IF($B951=0," ",$B951-C$6),"hh:mm am/pm")</f>
        <v>15:30 001/p1</v>
      </c>
      <c r="D951" s="293" t="str">
        <f t="shared" si="1988"/>
        <v>13:30 001/p1</v>
      </c>
      <c r="E951" s="293" t="str">
        <f t="shared" si="1988"/>
        <v>14:30 001/p1</v>
      </c>
      <c r="F951" s="293" t="str">
        <f t="shared" si="1988"/>
        <v>15:30 001/p1</v>
      </c>
      <c r="G951" s="293" t="str">
        <f t="shared" si="1988"/>
        <v>16:30 001/p1</v>
      </c>
      <c r="H951" s="293" t="str">
        <f t="shared" ref="H951:I951" si="1989">TEXT(IF($B951=0," ",$B951+H$6),"hh:mm am/pm")</f>
        <v>23:30 001/p1</v>
      </c>
      <c r="I951" s="293" t="str">
        <f t="shared" si="1989"/>
        <v>04:30 001/p1</v>
      </c>
      <c r="J951" s="433" t="str">
        <f>L833</f>
        <v>#AS Bounty+SPS</v>
      </c>
      <c r="K951" s="385"/>
      <c r="L951" s="386" t="s">
        <v>206</v>
      </c>
      <c r="M951" s="408" t="s">
        <v>196</v>
      </c>
      <c r="N951" s="409" t="s">
        <v>57</v>
      </c>
      <c r="O951" s="410" t="s">
        <v>74</v>
      </c>
      <c r="P951" s="411" t="s">
        <v>59</v>
      </c>
      <c r="Q951" s="412">
        <f>15*5</f>
        <v>75</v>
      </c>
      <c r="R951" s="409" t="s">
        <v>60</v>
      </c>
      <c r="S951" s="426"/>
      <c r="T951" s="414">
        <v>0.1</v>
      </c>
      <c r="U951" s="409" t="s">
        <v>62</v>
      </c>
      <c r="V951" s="409">
        <v>1</v>
      </c>
      <c r="W951" s="409">
        <v>1</v>
      </c>
      <c r="X951" s="415"/>
      <c r="Y951" s="416" t="s">
        <v>79</v>
      </c>
      <c r="Z951" s="409">
        <v>1</v>
      </c>
      <c r="AA951" s="417">
        <v>20000</v>
      </c>
      <c r="AB951" s="417" t="s">
        <v>65</v>
      </c>
      <c r="AC951" s="414">
        <v>0.05</v>
      </c>
      <c r="AD951" s="414">
        <v>0</v>
      </c>
      <c r="AE951" s="418" t="s">
        <v>88</v>
      </c>
      <c r="AF951" s="419">
        <v>10000</v>
      </c>
      <c r="AG951" s="420">
        <v>4</v>
      </c>
      <c r="AH951" s="420">
        <v>4</v>
      </c>
      <c r="AI951" s="420">
        <v>4</v>
      </c>
      <c r="AJ951" s="418">
        <v>9</v>
      </c>
      <c r="AK951" s="421" t="s">
        <v>67</v>
      </c>
      <c r="AL951" s="428" t="s">
        <v>68</v>
      </c>
      <c r="AM951" s="422" t="s">
        <v>197</v>
      </c>
      <c r="AN951" s="403" t="s">
        <v>198</v>
      </c>
      <c r="AO951" s="314">
        <f t="shared" ref="AO951:AO963" si="1990">IF(B951=0," ",TIME(,ROUNDDOWN(AG951*AJ951/60,0)*5+(AG951*AJ951),)+B951)</f>
        <v>0.754178240740741</v>
      </c>
      <c r="AP951" s="315">
        <f t="shared" ref="AP951:AP963" si="1991">IF(Q951=0,,ROUNDUP(Q951/(V951*(1-AC951-AD951)),0))</f>
        <v>79</v>
      </c>
      <c r="AQ951" s="316" t="str">
        <f t="shared" ref="AQ951:AQ963" si="1992">IFERROR(IF(V951=0," ",IF(V951&lt;=5,"MICRO",IF(V951&lt;=19.8,"LOW",IF(V951&lt;=99.8,"MEDIUM",IF(V951&lt;=500,"HIGH",IF(V951&gt;500,"SUPER HIGH",)))))),"")</f>
        <v>MICRO</v>
      </c>
    </row>
    <row r="952" ht="29.25" customHeight="1" outlineLevel="1" spans="1:43">
      <c r="A952" s="363"/>
      <c r="B952" s="365"/>
      <c r="C952" s="293" t="str">
        <f t="shared" ref="C952:G952" si="1993">TEXT(IF($B952=0," ",$B952-C$6),"hh:mm am/pm")</f>
        <v> </v>
      </c>
      <c r="D952" s="293" t="str">
        <f t="shared" si="1993"/>
        <v> </v>
      </c>
      <c r="E952" s="293" t="str">
        <f t="shared" si="1993"/>
        <v> </v>
      </c>
      <c r="F952" s="293" t="str">
        <f t="shared" si="1993"/>
        <v> </v>
      </c>
      <c r="G952" s="293" t="str">
        <f t="shared" si="1993"/>
        <v> </v>
      </c>
      <c r="H952" s="293" t="str">
        <f t="shared" ref="H952:I952" si="1994">TEXT(IF($B952=0," ",$B952+H$6),"hh:mm am/pm")</f>
        <v> </v>
      </c>
      <c r="I952" s="293" t="str">
        <f t="shared" si="1994"/>
        <v> </v>
      </c>
      <c r="J952" s="344"/>
      <c r="K952" s="367"/>
      <c r="L952" s="367"/>
      <c r="M952" s="368"/>
      <c r="N952" s="369"/>
      <c r="O952" s="370"/>
      <c r="P952" s="370"/>
      <c r="Q952" s="369"/>
      <c r="R952" s="369"/>
      <c r="S952" s="369"/>
      <c r="T952" s="371"/>
      <c r="U952" s="369"/>
      <c r="V952" s="369"/>
      <c r="W952" s="369"/>
      <c r="X952" s="372"/>
      <c r="Y952" s="367"/>
      <c r="Z952" s="369"/>
      <c r="AA952" s="372"/>
      <c r="AB952" s="372"/>
      <c r="AC952" s="371"/>
      <c r="AD952" s="371"/>
      <c r="AE952" s="367"/>
      <c r="AF952" s="372"/>
      <c r="AG952" s="367"/>
      <c r="AH952" s="367"/>
      <c r="AI952" s="367"/>
      <c r="AJ952" s="367"/>
      <c r="AK952" s="373"/>
      <c r="AL952" s="373"/>
      <c r="AM952" s="373"/>
      <c r="AN952" s="373"/>
      <c r="AO952" s="314" t="str">
        <f t="shared" si="1990"/>
        <v> </v>
      </c>
      <c r="AP952" s="374">
        <f t="shared" si="1991"/>
        <v>0</v>
      </c>
      <c r="AQ952" s="316" t="str">
        <f t="shared" si="1992"/>
        <v> </v>
      </c>
    </row>
    <row r="953" ht="29.25" customHeight="1" outlineLevel="1" spans="1:43">
      <c r="A953" s="363"/>
      <c r="B953" s="317">
        <v>0.750011574074074</v>
      </c>
      <c r="C953" s="293" t="str">
        <f t="shared" ref="C953:G953" si="1995">TEXT(IF($B953=0," ",$B953-C$6),"hh:mm am/pm")</f>
        <v>16:00 001/p1</v>
      </c>
      <c r="D953" s="293" t="str">
        <f t="shared" si="1995"/>
        <v>14:00 001/p1</v>
      </c>
      <c r="E953" s="293" t="str">
        <f t="shared" si="1995"/>
        <v>15:00 001/p1</v>
      </c>
      <c r="F953" s="293" t="str">
        <f t="shared" si="1995"/>
        <v>16:00 001/p1</v>
      </c>
      <c r="G953" s="293" t="str">
        <f t="shared" si="1995"/>
        <v>17:00 001/p1</v>
      </c>
      <c r="H953" s="293" t="str">
        <f t="shared" ref="H953:I953" si="1996">TEXT(IF($B953=0," ",$B953+H$6),"hh:mm am/pm")</f>
        <v>00:00 001/p1</v>
      </c>
      <c r="I953" s="293" t="str">
        <f t="shared" si="1996"/>
        <v>05:00 001/p1</v>
      </c>
      <c r="J953" s="433" t="str">
        <f>L832</f>
        <v>#AS OmaX HR</v>
      </c>
      <c r="K953" s="385"/>
      <c r="L953" s="386" t="s">
        <v>211</v>
      </c>
      <c r="M953" s="408" t="s">
        <v>196</v>
      </c>
      <c r="N953" s="409" t="s">
        <v>100</v>
      </c>
      <c r="O953" s="410" t="s">
        <v>74</v>
      </c>
      <c r="P953" s="411" t="s">
        <v>101</v>
      </c>
      <c r="Q953" s="412">
        <f>160*6</f>
        <v>960</v>
      </c>
      <c r="R953" s="414" t="s">
        <v>60</v>
      </c>
      <c r="S953" s="413"/>
      <c r="T953" s="414">
        <v>0.1</v>
      </c>
      <c r="U953" s="409" t="s">
        <v>62</v>
      </c>
      <c r="V953" s="409">
        <v>8</v>
      </c>
      <c r="W953" s="409">
        <v>8</v>
      </c>
      <c r="X953" s="415"/>
      <c r="Y953" s="416" t="s">
        <v>79</v>
      </c>
      <c r="Z953" s="409">
        <v>8</v>
      </c>
      <c r="AA953" s="417">
        <v>20000</v>
      </c>
      <c r="AB953" s="417" t="s">
        <v>65</v>
      </c>
      <c r="AC953" s="414">
        <v>0.05</v>
      </c>
      <c r="AD953" s="414">
        <v>0</v>
      </c>
      <c r="AE953" s="418" t="s">
        <v>88</v>
      </c>
      <c r="AF953" s="419">
        <v>10000</v>
      </c>
      <c r="AG953" s="420">
        <v>4</v>
      </c>
      <c r="AH953" s="420">
        <v>4</v>
      </c>
      <c r="AI953" s="420">
        <v>4</v>
      </c>
      <c r="AJ953" s="418">
        <v>9</v>
      </c>
      <c r="AK953" s="428" t="s">
        <v>67</v>
      </c>
      <c r="AL953" s="428" t="s">
        <v>68</v>
      </c>
      <c r="AM953" s="422" t="s">
        <v>197</v>
      </c>
      <c r="AN953" s="403" t="s">
        <v>198</v>
      </c>
      <c r="AO953" s="314">
        <f t="shared" si="1990"/>
        <v>0.775011574074074</v>
      </c>
      <c r="AP953" s="315">
        <f t="shared" si="1991"/>
        <v>127</v>
      </c>
      <c r="AQ953" s="316" t="str">
        <f t="shared" si="1992"/>
        <v>LOW</v>
      </c>
    </row>
    <row r="954" ht="29.25" customHeight="1" outlineLevel="1" spans="1:43">
      <c r="A954" s="363" t="s">
        <v>438</v>
      </c>
      <c r="B954" s="365"/>
      <c r="C954" s="293" t="str">
        <f t="shared" ref="C954:G954" si="1997">TEXT(IF($B954=0," ",$B954-C$6),"hh:mm am/pm")</f>
        <v> </v>
      </c>
      <c r="D954" s="293" t="str">
        <f t="shared" si="1997"/>
        <v> </v>
      </c>
      <c r="E954" s="293" t="str">
        <f t="shared" si="1997"/>
        <v> </v>
      </c>
      <c r="F954" s="293" t="str">
        <f t="shared" si="1997"/>
        <v> </v>
      </c>
      <c r="G954" s="293" t="str">
        <f t="shared" si="1997"/>
        <v> </v>
      </c>
      <c r="H954" s="293" t="str">
        <f t="shared" ref="H954:I954" si="1998">TEXT(IF($B954=0," ",$B954+H$6),"hh:mm am/pm")</f>
        <v> </v>
      </c>
      <c r="I954" s="293" t="str">
        <f t="shared" si="1998"/>
        <v> </v>
      </c>
      <c r="J954" s="344"/>
      <c r="K954" s="367"/>
      <c r="L954" s="367"/>
      <c r="M954" s="368"/>
      <c r="N954" s="369"/>
      <c r="O954" s="370"/>
      <c r="P954" s="370"/>
      <c r="Q954" s="369"/>
      <c r="R954" s="369"/>
      <c r="S954" s="369"/>
      <c r="T954" s="371"/>
      <c r="U954" s="369"/>
      <c r="V954" s="369"/>
      <c r="W954" s="369"/>
      <c r="X954" s="372"/>
      <c r="Y954" s="367"/>
      <c r="Z954" s="369"/>
      <c r="AA954" s="372"/>
      <c r="AB954" s="372"/>
      <c r="AC954" s="371"/>
      <c r="AD954" s="371"/>
      <c r="AE954" s="367"/>
      <c r="AF954" s="372"/>
      <c r="AG954" s="367"/>
      <c r="AH954" s="367"/>
      <c r="AI954" s="367"/>
      <c r="AJ954" s="367"/>
      <c r="AK954" s="373"/>
      <c r="AL954" s="373"/>
      <c r="AM954" s="373"/>
      <c r="AN954" s="373"/>
      <c r="AO954" s="314" t="str">
        <f t="shared" si="1990"/>
        <v> </v>
      </c>
      <c r="AP954" s="374">
        <f t="shared" si="1991"/>
        <v>0</v>
      </c>
      <c r="AQ954" s="316" t="str">
        <f t="shared" si="1992"/>
        <v> </v>
      </c>
    </row>
    <row r="955" ht="29.25" customHeight="1" outlineLevel="1" spans="1:43">
      <c r="B955" s="317">
        <v>0.791666666666667</v>
      </c>
      <c r="C955" s="293" t="str">
        <f t="shared" ref="C955:G955" si="1999">TEXT(IF($B955=0," ",$B955-C$6),"hh:mm am/pm")</f>
        <v>17:00 001/p1</v>
      </c>
      <c r="D955" s="293" t="str">
        <f t="shared" si="1999"/>
        <v>15:00 001/p1</v>
      </c>
      <c r="E955" s="293" t="str">
        <f t="shared" si="1999"/>
        <v>16:00 001/p1</v>
      </c>
      <c r="F955" s="293" t="str">
        <f t="shared" si="1999"/>
        <v>17:00 001/p1</v>
      </c>
      <c r="G955" s="293" t="str">
        <f t="shared" si="1999"/>
        <v>18:00 001/p1</v>
      </c>
      <c r="H955" s="293" t="str">
        <f t="shared" ref="H955:I955" si="2000">TEXT(IF($B955=0," ",$B955+H$6),"hh:mm am/pm")</f>
        <v>01:00 001/p1</v>
      </c>
      <c r="I955" s="293" t="str">
        <f t="shared" si="2000"/>
        <v>06:00 001/p1</v>
      </c>
      <c r="J955" s="405" t="str">
        <f>L897</f>
        <v>#AS Freeze</v>
      </c>
      <c r="K955" s="406"/>
      <c r="L955" s="407" t="s">
        <v>214</v>
      </c>
      <c r="M955" s="408" t="s">
        <v>196</v>
      </c>
      <c r="N955" s="409" t="s">
        <v>57</v>
      </c>
      <c r="O955" s="410" t="s">
        <v>74</v>
      </c>
      <c r="P955" s="411" t="s">
        <v>59</v>
      </c>
      <c r="Q955" s="412">
        <f>15*5</f>
        <v>75</v>
      </c>
      <c r="R955" s="414" t="s">
        <v>60</v>
      </c>
      <c r="S955" s="413"/>
      <c r="T955" s="414">
        <v>0.1</v>
      </c>
      <c r="U955" s="409" t="s">
        <v>62</v>
      </c>
      <c r="V955" s="409">
        <v>0.8</v>
      </c>
      <c r="W955" s="409">
        <v>0.8</v>
      </c>
      <c r="X955" s="415"/>
      <c r="Y955" s="416" t="s">
        <v>79</v>
      </c>
      <c r="Z955" s="409">
        <v>0.8</v>
      </c>
      <c r="AA955" s="417">
        <v>20000</v>
      </c>
      <c r="AB955" s="417" t="s">
        <v>65</v>
      </c>
      <c r="AC955" s="414">
        <v>0.05</v>
      </c>
      <c r="AD955" s="414">
        <v>0</v>
      </c>
      <c r="AE955" s="418" t="s">
        <v>88</v>
      </c>
      <c r="AF955" s="419">
        <v>10000</v>
      </c>
      <c r="AG955" s="420">
        <v>4</v>
      </c>
      <c r="AH955" s="420">
        <v>4</v>
      </c>
      <c r="AI955" s="420">
        <v>4</v>
      </c>
      <c r="AJ955" s="418">
        <v>9</v>
      </c>
      <c r="AK955" s="421" t="s">
        <v>67</v>
      </c>
      <c r="AL955" s="428" t="s">
        <v>68</v>
      </c>
      <c r="AM955" s="422" t="s">
        <v>197</v>
      </c>
      <c r="AN955" s="403" t="s">
        <v>198</v>
      </c>
      <c r="AO955" s="314">
        <f t="shared" si="1990"/>
        <v>0.816666666666667</v>
      </c>
      <c r="AP955" s="315">
        <f t="shared" si="1991"/>
        <v>99</v>
      </c>
      <c r="AQ955" s="316" t="str">
        <f t="shared" si="1992"/>
        <v>MICRO</v>
      </c>
    </row>
    <row r="956" ht="29.25" customHeight="1" outlineLevel="1" spans="1:43">
      <c r="B956" s="365"/>
      <c r="C956" s="293" t="str">
        <f t="shared" ref="C956:G956" si="2001">TEXT(IF($B956=0," ",$B956-C$6),"hh:mm am/pm")</f>
        <v> </v>
      </c>
      <c r="D956" s="293" t="str">
        <f t="shared" si="2001"/>
        <v> </v>
      </c>
      <c r="E956" s="293" t="str">
        <f t="shared" si="2001"/>
        <v> </v>
      </c>
      <c r="F956" s="293" t="str">
        <f t="shared" si="2001"/>
        <v> </v>
      </c>
      <c r="G956" s="293" t="str">
        <f t="shared" si="2001"/>
        <v> </v>
      </c>
      <c r="H956" s="293" t="str">
        <f t="shared" ref="H956:I956" si="2002">TEXT(IF($B956=0," ",$B956+H$6),"hh:mm am/pm")</f>
        <v> </v>
      </c>
      <c r="I956" s="293" t="str">
        <f t="shared" si="2002"/>
        <v> </v>
      </c>
      <c r="J956" s="344"/>
      <c r="K956" s="367"/>
      <c r="L956" s="367"/>
      <c r="M956" s="368"/>
      <c r="N956" s="369"/>
      <c r="O956" s="370"/>
      <c r="P956" s="370"/>
      <c r="Q956" s="369"/>
      <c r="R956" s="369"/>
      <c r="S956" s="369"/>
      <c r="T956" s="371"/>
      <c r="U956" s="369"/>
      <c r="V956" s="369"/>
      <c r="W956" s="369"/>
      <c r="X956" s="372"/>
      <c r="Y956" s="367"/>
      <c r="Z956" s="369"/>
      <c r="AA956" s="372"/>
      <c r="AB956" s="372"/>
      <c r="AC956" s="371"/>
      <c r="AD956" s="371"/>
      <c r="AE956" s="367"/>
      <c r="AF956" s="372"/>
      <c r="AG956" s="367"/>
      <c r="AH956" s="367"/>
      <c r="AI956" s="367"/>
      <c r="AJ956" s="367"/>
      <c r="AK956" s="373"/>
      <c r="AL956" s="373"/>
      <c r="AM956" s="373"/>
      <c r="AN956" s="373"/>
      <c r="AO956" s="314" t="str">
        <f t="shared" si="1990"/>
        <v> </v>
      </c>
      <c r="AP956" s="374">
        <f t="shared" si="1991"/>
        <v>0</v>
      </c>
      <c r="AQ956" s="316" t="str">
        <f t="shared" si="1992"/>
        <v> </v>
      </c>
    </row>
    <row r="957" ht="29.25" customHeight="1" outlineLevel="1" spans="1:43">
      <c r="A957" s="363" t="s">
        <v>438</v>
      </c>
      <c r="B957" s="317">
        <v>0.812511574074074</v>
      </c>
      <c r="C957" s="293" t="str">
        <f t="shared" ref="C957:G957" si="2003">TEXT(IF($B957=0," ",$B957-C$6),"hh:mm am/pm")</f>
        <v>17:30 001/p1</v>
      </c>
      <c r="D957" s="293" t="str">
        <f t="shared" si="2003"/>
        <v>15:30 001/p1</v>
      </c>
      <c r="E957" s="293" t="str">
        <f t="shared" si="2003"/>
        <v>16:30 001/p1</v>
      </c>
      <c r="F957" s="293" t="str">
        <f t="shared" si="2003"/>
        <v>17:30 001/p1</v>
      </c>
      <c r="G957" s="293" t="str">
        <f t="shared" si="2003"/>
        <v>18:30 001/p1</v>
      </c>
      <c r="H957" s="293" t="str">
        <f t="shared" ref="H957:I957" si="2004">TEXT(IF($B957=0," ",$B957+H$6),"hh:mm am/pm")</f>
        <v>01:30 001/p1</v>
      </c>
      <c r="I957" s="293" t="str">
        <f t="shared" si="2004"/>
        <v>06:30 001/p1</v>
      </c>
      <c r="J957" s="433" t="str">
        <f>L904</f>
        <v>#AS OmaX Turbo</v>
      </c>
      <c r="K957" s="385"/>
      <c r="L957" s="386" t="s">
        <v>288</v>
      </c>
      <c r="M957" s="408" t="s">
        <v>196</v>
      </c>
      <c r="N957" s="409" t="s">
        <v>100</v>
      </c>
      <c r="O957" s="410" t="s">
        <v>74</v>
      </c>
      <c r="P957" s="411" t="s">
        <v>101</v>
      </c>
      <c r="Q957" s="412">
        <f>11*6</f>
        <v>66</v>
      </c>
      <c r="R957" s="414" t="s">
        <v>60</v>
      </c>
      <c r="S957" s="413"/>
      <c r="T957" s="414">
        <v>0.1</v>
      </c>
      <c r="U957" s="409" t="s">
        <v>62</v>
      </c>
      <c r="V957" s="409">
        <v>0.6</v>
      </c>
      <c r="W957" s="409">
        <v>0.6</v>
      </c>
      <c r="X957" s="415"/>
      <c r="Y957" s="416" t="s">
        <v>79</v>
      </c>
      <c r="Z957" s="409">
        <v>0.6</v>
      </c>
      <c r="AA957" s="417">
        <v>20000</v>
      </c>
      <c r="AB957" s="417" t="s">
        <v>65</v>
      </c>
      <c r="AC957" s="414">
        <v>0.05</v>
      </c>
      <c r="AD957" s="414">
        <v>0</v>
      </c>
      <c r="AE957" s="418" t="s">
        <v>88</v>
      </c>
      <c r="AF957" s="419">
        <v>10000</v>
      </c>
      <c r="AG957" s="420">
        <v>5</v>
      </c>
      <c r="AH957" s="420">
        <v>4</v>
      </c>
      <c r="AI957" s="420">
        <v>4</v>
      </c>
      <c r="AJ957" s="418">
        <v>9</v>
      </c>
      <c r="AK957" s="428" t="s">
        <v>67</v>
      </c>
      <c r="AL957" s="428" t="s">
        <v>68</v>
      </c>
      <c r="AM957" s="422" t="s">
        <v>197</v>
      </c>
      <c r="AN957" s="403" t="s">
        <v>198</v>
      </c>
      <c r="AO957" s="314">
        <f t="shared" si="1990"/>
        <v>0.843761574074074</v>
      </c>
      <c r="AP957" s="315">
        <f t="shared" si="1991"/>
        <v>116</v>
      </c>
      <c r="AQ957" s="316" t="str">
        <f t="shared" si="1992"/>
        <v>MICRO</v>
      </c>
    </row>
    <row r="958" ht="29.25" customHeight="1" outlineLevel="1" spans="1:43">
      <c r="B958" s="365"/>
      <c r="C958" s="293" t="str">
        <f t="shared" ref="C958:G958" si="2005">TEXT(IF($B958=0," ",$B958-C$6),"hh:mm am/pm")</f>
        <v> </v>
      </c>
      <c r="D958" s="293" t="str">
        <f t="shared" si="2005"/>
        <v> </v>
      </c>
      <c r="E958" s="293" t="str">
        <f t="shared" si="2005"/>
        <v> </v>
      </c>
      <c r="F958" s="293" t="str">
        <f t="shared" si="2005"/>
        <v> </v>
      </c>
      <c r="G958" s="293" t="str">
        <f t="shared" si="2005"/>
        <v> </v>
      </c>
      <c r="H958" s="293" t="str">
        <f t="shared" ref="H958:I958" si="2006">TEXT(IF($B958=0," ",$B958+H$6),"hh:mm am/pm")</f>
        <v> </v>
      </c>
      <c r="I958" s="293" t="str">
        <f t="shared" si="2006"/>
        <v> </v>
      </c>
      <c r="J958" s="344"/>
      <c r="K958" s="367"/>
      <c r="L958" s="367"/>
      <c r="M958" s="368"/>
      <c r="N958" s="369"/>
      <c r="O958" s="370"/>
      <c r="P958" s="370"/>
      <c r="Q958" s="369"/>
      <c r="R958" s="369"/>
      <c r="S958" s="369"/>
      <c r="T958" s="371"/>
      <c r="U958" s="369"/>
      <c r="V958" s="369"/>
      <c r="W958" s="369"/>
      <c r="X958" s="372"/>
      <c r="Y958" s="367"/>
      <c r="Z958" s="369"/>
      <c r="AA958" s="372"/>
      <c r="AB958" s="372"/>
      <c r="AC958" s="371"/>
      <c r="AD958" s="371"/>
      <c r="AE958" s="367"/>
      <c r="AF958" s="372"/>
      <c r="AG958" s="367"/>
      <c r="AH958" s="367"/>
      <c r="AI958" s="367"/>
      <c r="AJ958" s="367"/>
      <c r="AK958" s="373"/>
      <c r="AL958" s="373"/>
      <c r="AM958" s="373"/>
      <c r="AN958" s="373"/>
      <c r="AO958" s="314" t="str">
        <f t="shared" si="1990"/>
        <v> </v>
      </c>
      <c r="AP958" s="374">
        <f t="shared" si="1991"/>
        <v>0</v>
      </c>
      <c r="AQ958" s="316" t="str">
        <f t="shared" si="1992"/>
        <v> </v>
      </c>
    </row>
    <row r="959" ht="29.25" customHeight="1" outlineLevel="1" spans="1:43">
      <c r="B959" s="317">
        <v>0.812511574074074</v>
      </c>
      <c r="C959" s="293" t="str">
        <f t="shared" ref="C959:G959" si="2007">TEXT(IF($B959=0," ",$B959-C$6),"hh:mm am/pm")</f>
        <v>17:30 001/p1</v>
      </c>
      <c r="D959" s="293" t="str">
        <f t="shared" si="2007"/>
        <v>15:30 001/p1</v>
      </c>
      <c r="E959" s="293" t="str">
        <f t="shared" si="2007"/>
        <v>16:30 001/p1</v>
      </c>
      <c r="F959" s="293" t="str">
        <f t="shared" si="2007"/>
        <v>17:30 001/p1</v>
      </c>
      <c r="G959" s="293" t="str">
        <f t="shared" si="2007"/>
        <v>18:30 001/p1</v>
      </c>
      <c r="H959" s="293" t="str">
        <f t="shared" ref="H959:I959" si="2008">TEXT(IF($B959=0," ",$B959+H$6),"hh:mm am/pm")</f>
        <v>01:30 001/p1</v>
      </c>
      <c r="I959" s="293" t="str">
        <f t="shared" si="2008"/>
        <v>06:30 001/p1</v>
      </c>
      <c r="J959" s="433" t="str">
        <f>L902</f>
        <v>#AS Battle PKO</v>
      </c>
      <c r="K959" s="385"/>
      <c r="L959" s="386" t="s">
        <v>350</v>
      </c>
      <c r="M959" s="441" t="s">
        <v>196</v>
      </c>
      <c r="N959" s="442" t="s">
        <v>57</v>
      </c>
      <c r="O959" s="410" t="s">
        <v>74</v>
      </c>
      <c r="P959" s="411" t="s">
        <v>59</v>
      </c>
      <c r="Q959" s="412">
        <f>22*3</f>
        <v>66</v>
      </c>
      <c r="R959" s="414" t="s">
        <v>60</v>
      </c>
      <c r="S959" s="413"/>
      <c r="T959" s="414">
        <v>0.1</v>
      </c>
      <c r="U959" s="409" t="s">
        <v>62</v>
      </c>
      <c r="V959" s="409">
        <v>1.2</v>
      </c>
      <c r="W959" s="409">
        <v>1.2</v>
      </c>
      <c r="X959" s="415"/>
      <c r="Y959" s="416" t="s">
        <v>79</v>
      </c>
      <c r="Z959" s="409">
        <v>1.2</v>
      </c>
      <c r="AA959" s="417">
        <v>20000</v>
      </c>
      <c r="AB959" s="417" t="s">
        <v>65</v>
      </c>
      <c r="AC959" s="414">
        <v>0.05</v>
      </c>
      <c r="AD959" s="414">
        <v>0</v>
      </c>
      <c r="AE959" s="418" t="s">
        <v>88</v>
      </c>
      <c r="AF959" s="419">
        <v>10000</v>
      </c>
      <c r="AG959" s="420">
        <v>4</v>
      </c>
      <c r="AH959" s="420">
        <v>4</v>
      </c>
      <c r="AI959" s="420">
        <v>4</v>
      </c>
      <c r="AJ959" s="418">
        <v>9</v>
      </c>
      <c r="AK959" s="428" t="s">
        <v>67</v>
      </c>
      <c r="AL959" s="428" t="s">
        <v>68</v>
      </c>
      <c r="AM959" s="422" t="s">
        <v>197</v>
      </c>
      <c r="AN959" s="403" t="s">
        <v>198</v>
      </c>
      <c r="AO959" s="314">
        <f t="shared" si="1990"/>
        <v>0.837511574074074</v>
      </c>
      <c r="AP959" s="315">
        <f t="shared" si="1991"/>
        <v>58</v>
      </c>
      <c r="AQ959" s="316" t="str">
        <f t="shared" si="1992"/>
        <v>MICRO</v>
      </c>
    </row>
    <row r="960" ht="29.25" customHeight="1" outlineLevel="1" spans="1:43">
      <c r="A960" s="363" t="s">
        <v>438</v>
      </c>
      <c r="B960" s="365"/>
      <c r="C960" s="293" t="str">
        <f t="shared" ref="C960:G960" si="2009">TEXT(IF($B960=0," ",$B960-C$6),"hh:mm am/pm")</f>
        <v> </v>
      </c>
      <c r="D960" s="293" t="str">
        <f t="shared" si="2009"/>
        <v> </v>
      </c>
      <c r="E960" s="293" t="str">
        <f t="shared" si="2009"/>
        <v> </v>
      </c>
      <c r="F960" s="293" t="str">
        <f t="shared" si="2009"/>
        <v> </v>
      </c>
      <c r="G960" s="293" t="str">
        <f t="shared" si="2009"/>
        <v> </v>
      </c>
      <c r="H960" s="293" t="str">
        <f t="shared" ref="H960:I960" si="2010">TEXT(IF($B960=0," ",$B960+H$6),"hh:mm am/pm")</f>
        <v> </v>
      </c>
      <c r="I960" s="293" t="str">
        <f t="shared" si="2010"/>
        <v> </v>
      </c>
      <c r="J960" s="344"/>
      <c r="K960" s="367"/>
      <c r="L960" s="367"/>
      <c r="M960" s="368"/>
      <c r="N960" s="369"/>
      <c r="O960" s="370"/>
      <c r="P960" s="370"/>
      <c r="Q960" s="369"/>
      <c r="R960" s="369"/>
      <c r="S960" s="369"/>
      <c r="T960" s="371"/>
      <c r="U960" s="369"/>
      <c r="V960" s="369"/>
      <c r="W960" s="369"/>
      <c r="X960" s="372"/>
      <c r="Y960" s="367"/>
      <c r="Z960" s="369"/>
      <c r="AA960" s="372"/>
      <c r="AB960" s="372"/>
      <c r="AC960" s="371"/>
      <c r="AD960" s="371"/>
      <c r="AE960" s="367"/>
      <c r="AF960" s="372"/>
      <c r="AG960" s="367"/>
      <c r="AH960" s="367"/>
      <c r="AI960" s="367"/>
      <c r="AJ960" s="367"/>
      <c r="AK960" s="373"/>
      <c r="AL960" s="373"/>
      <c r="AM960" s="373"/>
      <c r="AN960" s="373"/>
      <c r="AO960" s="314" t="str">
        <f t="shared" si="1990"/>
        <v> </v>
      </c>
      <c r="AP960" s="374">
        <f t="shared" si="1991"/>
        <v>0</v>
      </c>
      <c r="AQ960" s="316" t="str">
        <f t="shared" si="1992"/>
        <v> </v>
      </c>
    </row>
    <row r="961" ht="29.25" customHeight="1" outlineLevel="1" spans="1:43">
      <c r="B961" s="317">
        <v>0.854178240740741</v>
      </c>
      <c r="C961" s="293" t="str">
        <f t="shared" ref="C961:G961" si="2011">TEXT(IF($B961=0," ",$B961-C$6),"hh:mm am/pm")</f>
        <v>18:30 001/p1</v>
      </c>
      <c r="D961" s="293" t="str">
        <f t="shared" si="2011"/>
        <v>16:30 001/p1</v>
      </c>
      <c r="E961" s="293" t="str">
        <f t="shared" si="2011"/>
        <v>17:30 001/p1</v>
      </c>
      <c r="F961" s="293" t="str">
        <f t="shared" si="2011"/>
        <v>18:30 001/p1</v>
      </c>
      <c r="G961" s="293" t="str">
        <f t="shared" si="2011"/>
        <v>19:30 001/p1</v>
      </c>
      <c r="H961" s="293" t="str">
        <f t="shared" ref="H961:I961" si="2012">TEXT(IF($B961=0," ",$B961+H$6),"hh:mm am/pm")</f>
        <v>02:30 001/p1</v>
      </c>
      <c r="I961" s="293" t="str">
        <f t="shared" si="2012"/>
        <v>07:30 001/p1</v>
      </c>
      <c r="J961" s="433" t="str">
        <f>L909</f>
        <v>#AS Bounty Night</v>
      </c>
      <c r="K961" s="385"/>
      <c r="L961" s="386" t="s">
        <v>206</v>
      </c>
      <c r="M961" s="408" t="s">
        <v>196</v>
      </c>
      <c r="N961" s="409" t="s">
        <v>57</v>
      </c>
      <c r="O961" s="410" t="s">
        <v>74</v>
      </c>
      <c r="P961" s="411" t="s">
        <v>59</v>
      </c>
      <c r="Q961" s="412">
        <f>11*5</f>
        <v>55</v>
      </c>
      <c r="R961" s="414" t="s">
        <v>60</v>
      </c>
      <c r="S961" s="413"/>
      <c r="T961" s="414">
        <v>0.1</v>
      </c>
      <c r="U961" s="409" t="s">
        <v>62</v>
      </c>
      <c r="V961" s="409">
        <v>0.6</v>
      </c>
      <c r="W961" s="409">
        <v>0.6</v>
      </c>
      <c r="X961" s="415"/>
      <c r="Y961" s="416" t="s">
        <v>79</v>
      </c>
      <c r="Z961" s="409">
        <v>0.6</v>
      </c>
      <c r="AA961" s="417">
        <v>20000</v>
      </c>
      <c r="AB961" s="417" t="s">
        <v>65</v>
      </c>
      <c r="AC961" s="414">
        <v>0.05</v>
      </c>
      <c r="AD961" s="414">
        <v>0</v>
      </c>
      <c r="AE961" s="418" t="s">
        <v>88</v>
      </c>
      <c r="AF961" s="419">
        <v>10000</v>
      </c>
      <c r="AG961" s="420">
        <v>4</v>
      </c>
      <c r="AH961" s="420">
        <v>4</v>
      </c>
      <c r="AI961" s="420">
        <v>4</v>
      </c>
      <c r="AJ961" s="418">
        <v>9</v>
      </c>
      <c r="AK961" s="428" t="s">
        <v>67</v>
      </c>
      <c r="AL961" s="428" t="s">
        <v>68</v>
      </c>
      <c r="AM961" s="422" t="s">
        <v>197</v>
      </c>
      <c r="AN961" s="403" t="s">
        <v>198</v>
      </c>
      <c r="AO961" s="314">
        <f t="shared" si="1990"/>
        <v>0.879178240740741</v>
      </c>
      <c r="AP961" s="315">
        <f t="shared" si="1991"/>
        <v>97</v>
      </c>
      <c r="AQ961" s="316" t="str">
        <f t="shared" si="1992"/>
        <v>MICRO</v>
      </c>
    </row>
    <row r="962" ht="29.25" customHeight="1" outlineLevel="1" spans="1:43">
      <c r="A962" s="363" t="s">
        <v>438</v>
      </c>
      <c r="B962" s="383"/>
      <c r="C962" s="293" t="str">
        <f t="shared" ref="C962:G962" si="2013">TEXT(IF($B962=0," ",$B962-C$6),"hh:mm am/pm")</f>
        <v> </v>
      </c>
      <c r="D962" s="293" t="str">
        <f t="shared" si="2013"/>
        <v> </v>
      </c>
      <c r="E962" s="293" t="str">
        <f t="shared" si="2013"/>
        <v> </v>
      </c>
      <c r="F962" s="293" t="str">
        <f t="shared" si="2013"/>
        <v> </v>
      </c>
      <c r="G962" s="293" t="str">
        <f t="shared" si="2013"/>
        <v> </v>
      </c>
      <c r="H962" s="293" t="str">
        <f t="shared" ref="H962:I962" si="2014">TEXT(IF($B962=0," ",$B962+H$6),"hh:mm am/pm")</f>
        <v> </v>
      </c>
      <c r="I962" s="293" t="str">
        <f t="shared" si="2014"/>
        <v> </v>
      </c>
      <c r="J962" s="344"/>
      <c r="K962" s="367"/>
      <c r="L962" s="367"/>
      <c r="M962" s="368"/>
      <c r="N962" s="369"/>
      <c r="O962" s="370"/>
      <c r="P962" s="370"/>
      <c r="Q962" s="369"/>
      <c r="R962" s="369"/>
      <c r="S962" s="369"/>
      <c r="T962" s="371"/>
      <c r="U962" s="369"/>
      <c r="V962" s="369"/>
      <c r="W962" s="369"/>
      <c r="X962" s="372"/>
      <c r="Y962" s="367"/>
      <c r="Z962" s="369"/>
      <c r="AA962" s="372"/>
      <c r="AB962" s="372"/>
      <c r="AC962" s="371"/>
      <c r="AD962" s="371"/>
      <c r="AE962" s="367"/>
      <c r="AF962" s="372"/>
      <c r="AG962" s="367"/>
      <c r="AH962" s="367"/>
      <c r="AI962" s="367"/>
      <c r="AJ962" s="367"/>
      <c r="AK962" s="373"/>
      <c r="AL962" s="373"/>
      <c r="AM962" s="373"/>
      <c r="AN962" s="373"/>
      <c r="AO962" s="314" t="str">
        <f t="shared" si="1990"/>
        <v> </v>
      </c>
      <c r="AP962" s="374">
        <f t="shared" si="1991"/>
        <v>0</v>
      </c>
      <c r="AQ962" s="316" t="str">
        <f t="shared" si="1992"/>
        <v> </v>
      </c>
    </row>
    <row r="963" ht="29.25" customHeight="1" outlineLevel="1" spans="1:43">
      <c r="A963" s="363"/>
      <c r="B963" s="292">
        <v>0.895844907407407</v>
      </c>
      <c r="C963" s="293" t="str">
        <f t="shared" ref="C963:G963" si="2015">TEXT(IF($B963=0," ",$B963-C$6),"hh:mm am/pm")</f>
        <v>19:30 001/p1</v>
      </c>
      <c r="D963" s="293" t="str">
        <f t="shared" si="2015"/>
        <v>17:30 001/p1</v>
      </c>
      <c r="E963" s="293" t="str">
        <f t="shared" si="2015"/>
        <v>18:30 001/p1</v>
      </c>
      <c r="F963" s="293" t="str">
        <f t="shared" si="2015"/>
        <v>19:30 001/p1</v>
      </c>
      <c r="G963" s="293" t="str">
        <f t="shared" si="2015"/>
        <v>20:30 001/p1</v>
      </c>
      <c r="H963" s="293" t="str">
        <f t="shared" ref="H963:I963" si="2016">TEXT(IF($B963=0," ",$B963+H$6),"hh:mm am/pm")</f>
        <v>03:30 001/p1</v>
      </c>
      <c r="I963" s="293" t="str">
        <f t="shared" si="2016"/>
        <v>08:30 001/p1</v>
      </c>
      <c r="J963" s="433" t="str">
        <f>L912</f>
        <v>#AS Sonic</v>
      </c>
      <c r="K963" s="385"/>
      <c r="L963" s="386" t="s">
        <v>290</v>
      </c>
      <c r="M963" s="408" t="s">
        <v>196</v>
      </c>
      <c r="N963" s="409" t="s">
        <v>57</v>
      </c>
      <c r="O963" s="410" t="s">
        <v>74</v>
      </c>
      <c r="P963" s="411" t="s">
        <v>59</v>
      </c>
      <c r="Q963" s="412">
        <f>30*2</f>
        <v>60</v>
      </c>
      <c r="R963" s="414" t="s">
        <v>60</v>
      </c>
      <c r="S963" s="413"/>
      <c r="T963" s="414">
        <v>0.1</v>
      </c>
      <c r="U963" s="409" t="s">
        <v>62</v>
      </c>
      <c r="V963" s="409">
        <v>1.6</v>
      </c>
      <c r="W963" s="409">
        <v>1.6</v>
      </c>
      <c r="X963" s="415"/>
      <c r="Y963" s="416" t="s">
        <v>79</v>
      </c>
      <c r="Z963" s="409">
        <v>1.6</v>
      </c>
      <c r="AA963" s="417">
        <v>20000</v>
      </c>
      <c r="AB963" s="417" t="s">
        <v>65</v>
      </c>
      <c r="AC963" s="414">
        <v>0.05</v>
      </c>
      <c r="AD963" s="414">
        <v>0</v>
      </c>
      <c r="AE963" s="418" t="s">
        <v>88</v>
      </c>
      <c r="AF963" s="419">
        <v>10000</v>
      </c>
      <c r="AG963" s="420">
        <v>4</v>
      </c>
      <c r="AH963" s="420">
        <v>4</v>
      </c>
      <c r="AI963" s="420">
        <v>4</v>
      </c>
      <c r="AJ963" s="418">
        <v>9</v>
      </c>
      <c r="AK963" s="428" t="s">
        <v>67</v>
      </c>
      <c r="AL963" s="428" t="s">
        <v>68</v>
      </c>
      <c r="AM963" s="403" t="s">
        <v>197</v>
      </c>
      <c r="AN963" s="403" t="s">
        <v>198</v>
      </c>
      <c r="AO963" s="314">
        <f t="shared" si="1990"/>
        <v>0.920844907407407</v>
      </c>
      <c r="AP963" s="315">
        <f t="shared" si="1991"/>
        <v>40</v>
      </c>
      <c r="AQ963" s="316" t="str">
        <f t="shared" si="1992"/>
        <v>MICRO</v>
      </c>
    </row>
    <row r="964" ht="29.25" customHeight="1" outlineLevel="1" spans="1:43">
      <c r="A964" s="363"/>
      <c r="B964" s="383"/>
      <c r="C964" s="434"/>
      <c r="D964" s="434"/>
      <c r="E964" s="434"/>
      <c r="F964" s="434"/>
      <c r="G964" s="434"/>
      <c r="H964" s="434"/>
      <c r="I964" s="434"/>
      <c r="J964" s="344"/>
      <c r="K964" s="367"/>
      <c r="L964" s="367"/>
      <c r="M964" s="435"/>
      <c r="N964" s="436"/>
      <c r="O964" s="437"/>
      <c r="P964" s="437"/>
      <c r="Q964" s="436"/>
      <c r="R964" s="436"/>
      <c r="S964" s="436"/>
      <c r="T964" s="438"/>
      <c r="U964" s="436"/>
      <c r="V964" s="436"/>
      <c r="W964" s="436"/>
      <c r="X964" s="436"/>
      <c r="Y964" s="366"/>
      <c r="Z964" s="439"/>
      <c r="AA964" s="439"/>
      <c r="AB964" s="439"/>
      <c r="AC964" s="438"/>
      <c r="AD964" s="438"/>
      <c r="AE964" s="366"/>
      <c r="AF964" s="439"/>
      <c r="AG964" s="366"/>
      <c r="AH964" s="366"/>
      <c r="AI964" s="366"/>
      <c r="AJ964" s="366"/>
      <c r="AK964" s="440"/>
      <c r="AL964" s="440"/>
      <c r="AM964" s="440"/>
      <c r="AN964" s="440"/>
      <c r="AO964" s="383"/>
      <c r="AP964" s="374"/>
      <c r="AQ964" s="383"/>
    </row>
    <row r="965" ht="29.25" customHeight="1" outlineLevel="1" spans="1:43">
      <c r="A965" s="363"/>
      <c r="B965" s="292">
        <v>0.833344907407407</v>
      </c>
      <c r="C965" s="293" t="str">
        <f t="shared" ref="C965:G965" si="2017">TEXT(IF($B965=0," ",$B965-C$6),"hh:mm am/pm")</f>
        <v>18:00 001/p1</v>
      </c>
      <c r="D965" s="293" t="str">
        <f t="shared" si="2017"/>
        <v>16:00 001/p1</v>
      </c>
      <c r="E965" s="293" t="str">
        <f t="shared" si="2017"/>
        <v>17:00 001/p1</v>
      </c>
      <c r="F965" s="293" t="str">
        <f t="shared" si="2017"/>
        <v>18:00 001/p1</v>
      </c>
      <c r="G965" s="293" t="str">
        <f t="shared" si="2017"/>
        <v>19:00 001/p1</v>
      </c>
      <c r="H965" s="293" t="str">
        <f t="shared" ref="H965:I965" si="2018">TEXT(IF($B965=0," ",$B965+H$6),"hh:mm am/pm")</f>
        <v>02:00 001/p1</v>
      </c>
      <c r="I965" s="293" t="str">
        <f t="shared" si="2018"/>
        <v>07:00 001/p1</v>
      </c>
      <c r="J965" s="405" t="s">
        <v>217</v>
      </c>
      <c r="K965" s="406"/>
      <c r="L965" s="407" t="s">
        <v>434</v>
      </c>
      <c r="M965" s="441" t="s">
        <v>196</v>
      </c>
      <c r="N965" s="388" t="s">
        <v>57</v>
      </c>
      <c r="O965" s="389" t="s">
        <v>74</v>
      </c>
      <c r="P965" s="390" t="s">
        <v>59</v>
      </c>
      <c r="Q965" s="391">
        <f>200*1</f>
        <v>200</v>
      </c>
      <c r="R965" s="394" t="s">
        <v>60</v>
      </c>
      <c r="S965" s="456"/>
      <c r="T965" s="394">
        <v>0.1</v>
      </c>
      <c r="U965" s="388" t="s">
        <v>62</v>
      </c>
      <c r="V965" s="442">
        <v>1</v>
      </c>
      <c r="W965" s="388">
        <v>1</v>
      </c>
      <c r="X965" s="399">
        <v>40000</v>
      </c>
      <c r="Y965" s="396" t="s">
        <v>79</v>
      </c>
      <c r="Z965" s="388">
        <v>3</v>
      </c>
      <c r="AA965" s="397">
        <v>90000</v>
      </c>
      <c r="AB965" s="397" t="s">
        <v>65</v>
      </c>
      <c r="AC965" s="394">
        <v>0.05</v>
      </c>
      <c r="AD965" s="394">
        <v>0</v>
      </c>
      <c r="AE965" s="392" t="s">
        <v>66</v>
      </c>
      <c r="AF965" s="399">
        <v>30000</v>
      </c>
      <c r="AG965" s="400">
        <v>8</v>
      </c>
      <c r="AH965" s="400">
        <v>6</v>
      </c>
      <c r="AI965" s="400">
        <v>5</v>
      </c>
      <c r="AJ965" s="392">
        <v>15</v>
      </c>
      <c r="AK965" s="457" t="s">
        <v>67</v>
      </c>
      <c r="AL965" s="402" t="s">
        <v>68</v>
      </c>
      <c r="AM965" s="403" t="s">
        <v>197</v>
      </c>
      <c r="AN965" s="403" t="s">
        <v>198</v>
      </c>
      <c r="AO965" s="314">
        <f>IF(B965=0," ",TIME(,ROUNDDOWN(AG965*AJ965/60,0)*5+(AG965*AJ965),)+B965)</f>
        <v>0.923622685185185</v>
      </c>
      <c r="AP965" s="315">
        <f>IF(Q965=0,,ROUNDUP(Q965/(V965*(1-AC965-AD965)),0))</f>
        <v>211</v>
      </c>
      <c r="AQ965" s="316" t="str">
        <f>IFERROR(IF(V965=0," ",IF(V965&lt;=5,"MICRO",IF(V965&lt;=19.8,"LOW",IF(V965&lt;=99.8,"MEDIUM",IF(V965&lt;=500,"HIGH",IF(V965&gt;500,"SUPER HIGH",)))))),"")</f>
        <v>MICRO</v>
      </c>
    </row>
    <row r="966" ht="29.25" customHeight="1" outlineLevel="1" spans="1:43">
      <c r="A966" s="363"/>
      <c r="B966" s="383"/>
      <c r="C966" s="434"/>
      <c r="D966" s="434"/>
      <c r="E966" s="434"/>
      <c r="F966" s="434"/>
      <c r="G966" s="434"/>
      <c r="H966" s="434"/>
      <c r="I966" s="434"/>
      <c r="J966" s="344"/>
      <c r="K966" s="367"/>
      <c r="L966" s="367"/>
      <c r="M966" s="435"/>
      <c r="N966" s="436"/>
      <c r="O966" s="437"/>
      <c r="P966" s="437"/>
      <c r="Q966" s="436"/>
      <c r="R966" s="436"/>
      <c r="S966" s="436"/>
      <c r="T966" s="438"/>
      <c r="U966" s="436"/>
      <c r="V966" s="436"/>
      <c r="W966" s="436"/>
      <c r="X966" s="436"/>
      <c r="Y966" s="366"/>
      <c r="Z966" s="439"/>
      <c r="AA966" s="439"/>
      <c r="AB966" s="439"/>
      <c r="AC966" s="438"/>
      <c r="AD966" s="438"/>
      <c r="AE966" s="366"/>
      <c r="AF966" s="439"/>
      <c r="AG966" s="366"/>
      <c r="AH966" s="366"/>
      <c r="AI966" s="366"/>
      <c r="AJ966" s="366"/>
      <c r="AK966" s="440"/>
      <c r="AL966" s="440"/>
      <c r="AM966" s="440"/>
      <c r="AN966" s="440"/>
      <c r="AO966" s="383"/>
      <c r="AP966" s="374"/>
      <c r="AQ966" s="383"/>
    </row>
    <row r="967" ht="29.25" customHeight="1" outlineLevel="1" spans="1:43">
      <c r="A967" s="363"/>
      <c r="B967" s="292">
        <v>0.500011574074074</v>
      </c>
      <c r="C967" s="293" t="str">
        <f t="shared" ref="C967:G967" si="2019">TEXT(IF($B967=0," ",$B967-C$6),"hh:mm am/pm")</f>
        <v>10:00 001/p1</v>
      </c>
      <c r="D967" s="293" t="str">
        <f t="shared" si="2019"/>
        <v>08:00 001/p1</v>
      </c>
      <c r="E967" s="293" t="str">
        <f t="shared" si="2019"/>
        <v>09:00 001/p1</v>
      </c>
      <c r="F967" s="293" t="str">
        <f t="shared" si="2019"/>
        <v>10:00 001/p1</v>
      </c>
      <c r="G967" s="293" t="str">
        <f t="shared" si="2019"/>
        <v>11:00 001/p1</v>
      </c>
      <c r="H967" s="293" t="str">
        <f t="shared" ref="H967:I967" si="2020">TEXT(IF($B967=0," ",$B967+H$6),"hh:mm am/pm")</f>
        <v>18:00 001/p1</v>
      </c>
      <c r="I967" s="293" t="str">
        <f t="shared" si="2020"/>
        <v>23:00 001/p1</v>
      </c>
      <c r="J967" s="423" t="s">
        <v>215</v>
      </c>
      <c r="K967" s="424"/>
      <c r="L967" s="425" t="s">
        <v>216</v>
      </c>
      <c r="M967" s="387" t="s">
        <v>196</v>
      </c>
      <c r="N967" s="442" t="s">
        <v>57</v>
      </c>
      <c r="O967" s="443" t="s">
        <v>74</v>
      </c>
      <c r="P967" s="444" t="s">
        <v>59</v>
      </c>
      <c r="Q967" s="445">
        <f t="shared" ref="Q967:Q972" si="2021">15*4</f>
        <v>60</v>
      </c>
      <c r="R967" s="446" t="s">
        <v>60</v>
      </c>
      <c r="S967" s="447"/>
      <c r="T967" s="446">
        <v>0.1</v>
      </c>
      <c r="U967" s="442" t="s">
        <v>62</v>
      </c>
      <c r="V967" s="442">
        <v>0.6</v>
      </c>
      <c r="W967" s="442">
        <v>1</v>
      </c>
      <c r="X967" s="448">
        <v>25000</v>
      </c>
      <c r="Y967" s="449" t="s">
        <v>79</v>
      </c>
      <c r="Z967" s="442">
        <v>1</v>
      </c>
      <c r="AA967" s="450">
        <v>40000</v>
      </c>
      <c r="AB967" s="450" t="s">
        <v>65</v>
      </c>
      <c r="AC967" s="446">
        <v>0.05</v>
      </c>
      <c r="AD967" s="446">
        <v>0</v>
      </c>
      <c r="AE967" s="451" t="s">
        <v>66</v>
      </c>
      <c r="AF967" s="448">
        <v>20000</v>
      </c>
      <c r="AG967" s="452">
        <v>7</v>
      </c>
      <c r="AH967" s="452">
        <v>6</v>
      </c>
      <c r="AI967" s="452">
        <v>5</v>
      </c>
      <c r="AJ967" s="451">
        <v>13</v>
      </c>
      <c r="AK967" s="453" t="s">
        <v>67</v>
      </c>
      <c r="AL967" s="454" t="s">
        <v>68</v>
      </c>
      <c r="AM967" s="455" t="s">
        <v>197</v>
      </c>
      <c r="AN967" s="455" t="s">
        <v>198</v>
      </c>
      <c r="AO967" s="314">
        <f t="shared" ref="AO967:AO972" si="2022">IF(B967=0," ",TIME(,ROUNDDOWN(AG967*AJ967/60,0)*5+(AG967*AJ967),)+B967)</f>
        <v>0.566678240740741</v>
      </c>
      <c r="AP967" s="315">
        <f t="shared" ref="AP967:AP972" si="2023">IF(Q967=0,,ROUNDUP(Q967/(V967*(1-AC967-AD967)),0))</f>
        <v>106</v>
      </c>
      <c r="AQ967" s="316" t="str">
        <f t="shared" ref="AQ967:AQ972" si="2024">IFERROR(IF(V967=0," ",IF(V967&lt;=5,"MICRO",IF(V967&lt;=19.8,"LOW",IF(V967&lt;=99.8,"MEDIUM",IF(V967&lt;=500,"HIGH",IF(V967&gt;500,"SUPER HIGH",)))))),"")</f>
        <v>MICRO</v>
      </c>
    </row>
    <row r="968" ht="29.25" customHeight="1" outlineLevel="1" spans="1:43">
      <c r="A968" s="363"/>
      <c r="B968" s="292">
        <v>0.583344907407407</v>
      </c>
      <c r="C968" s="293" t="str">
        <f t="shared" ref="C968:G968" si="2025">TEXT(IF($B968=0," ",$B968-C$6),"hh:mm am/pm")</f>
        <v>12:00 001/p1</v>
      </c>
      <c r="D968" s="293" t="str">
        <f t="shared" si="2025"/>
        <v>10:00 001/p1</v>
      </c>
      <c r="E968" s="293" t="str">
        <f t="shared" si="2025"/>
        <v>11:00 001/p1</v>
      </c>
      <c r="F968" s="293" t="str">
        <f t="shared" si="2025"/>
        <v>12:00 001/p1</v>
      </c>
      <c r="G968" s="293" t="str">
        <f t="shared" si="2025"/>
        <v>13:00 001/p1</v>
      </c>
      <c r="H968" s="293" t="str">
        <f t="shared" ref="H968:I968" si="2026">TEXT(IF($B968=0," ",$B968+H$6),"hh:mm am/pm")</f>
        <v>20:00 001/p1</v>
      </c>
      <c r="I968" s="293" t="str">
        <f t="shared" si="2026"/>
        <v>01:00 001/p1</v>
      </c>
      <c r="J968" s="29"/>
      <c r="K968" s="431"/>
      <c r="L968" s="432" t="s">
        <v>216</v>
      </c>
      <c r="M968" s="387" t="s">
        <v>196</v>
      </c>
      <c r="N968" s="442" t="s">
        <v>57</v>
      </c>
      <c r="O968" s="443" t="s">
        <v>74</v>
      </c>
      <c r="P968" s="444" t="s">
        <v>59</v>
      </c>
      <c r="Q968" s="445">
        <f t="shared" si="2021"/>
        <v>60</v>
      </c>
      <c r="R968" s="446" t="s">
        <v>60</v>
      </c>
      <c r="S968" s="447"/>
      <c r="T968" s="446">
        <v>0.1</v>
      </c>
      <c r="U968" s="442" t="s">
        <v>62</v>
      </c>
      <c r="V968" s="442">
        <v>0.6</v>
      </c>
      <c r="W968" s="442">
        <v>1</v>
      </c>
      <c r="X968" s="448">
        <v>25000</v>
      </c>
      <c r="Y968" s="449" t="s">
        <v>79</v>
      </c>
      <c r="Z968" s="442">
        <v>1</v>
      </c>
      <c r="AA968" s="450">
        <v>40000</v>
      </c>
      <c r="AB968" s="450" t="s">
        <v>65</v>
      </c>
      <c r="AC968" s="446">
        <v>0.05</v>
      </c>
      <c r="AD968" s="446">
        <v>0</v>
      </c>
      <c r="AE968" s="451" t="s">
        <v>66</v>
      </c>
      <c r="AF968" s="448">
        <v>20000</v>
      </c>
      <c r="AG968" s="452">
        <v>7</v>
      </c>
      <c r="AH968" s="452">
        <v>6</v>
      </c>
      <c r="AI968" s="452">
        <v>5</v>
      </c>
      <c r="AJ968" s="451">
        <v>13</v>
      </c>
      <c r="AK968" s="453" t="s">
        <v>67</v>
      </c>
      <c r="AL968" s="454" t="s">
        <v>68</v>
      </c>
      <c r="AM968" s="455" t="s">
        <v>197</v>
      </c>
      <c r="AN968" s="455" t="s">
        <v>198</v>
      </c>
      <c r="AO968" s="314">
        <f t="shared" si="2022"/>
        <v>0.650011574074074</v>
      </c>
      <c r="AP968" s="315">
        <f t="shared" si="2023"/>
        <v>106</v>
      </c>
      <c r="AQ968" s="316" t="str">
        <f t="shared" si="2024"/>
        <v>MICRO</v>
      </c>
    </row>
    <row r="969" ht="29.25" customHeight="1" outlineLevel="1" spans="1:43">
      <c r="A969" s="363"/>
      <c r="B969" s="292">
        <v>0.666678240740741</v>
      </c>
      <c r="C969" s="293" t="str">
        <f t="shared" ref="C969:G969" si="2027">TEXT(IF($B969=0," ",$B969-C$6),"hh:mm am/pm")</f>
        <v>14:00 001/p1</v>
      </c>
      <c r="D969" s="293" t="str">
        <f t="shared" si="2027"/>
        <v>12:00 001/p1</v>
      </c>
      <c r="E969" s="293" t="str">
        <f t="shared" si="2027"/>
        <v>13:00 001/p1</v>
      </c>
      <c r="F969" s="293" t="str">
        <f t="shared" si="2027"/>
        <v>14:00 001/p1</v>
      </c>
      <c r="G969" s="293" t="str">
        <f t="shared" si="2027"/>
        <v>15:00 001/p1</v>
      </c>
      <c r="H969" s="293" t="str">
        <f t="shared" ref="H969:I969" si="2028">TEXT(IF($B969=0," ",$B969+H$6),"hh:mm am/pm")</f>
        <v>22:00 001/p1</v>
      </c>
      <c r="I969" s="293" t="str">
        <f t="shared" si="2028"/>
        <v>03:00 001/p1</v>
      </c>
      <c r="J969" s="29"/>
      <c r="K969" s="431"/>
      <c r="L969" s="432" t="s">
        <v>216</v>
      </c>
      <c r="M969" s="387" t="s">
        <v>196</v>
      </c>
      <c r="N969" s="442" t="s">
        <v>57</v>
      </c>
      <c r="O969" s="443" t="s">
        <v>74</v>
      </c>
      <c r="P969" s="444" t="s">
        <v>59</v>
      </c>
      <c r="Q969" s="445">
        <f t="shared" si="2021"/>
        <v>60</v>
      </c>
      <c r="R969" s="446" t="s">
        <v>60</v>
      </c>
      <c r="S969" s="447"/>
      <c r="T969" s="446">
        <v>0.1</v>
      </c>
      <c r="U969" s="442" t="s">
        <v>62</v>
      </c>
      <c r="V969" s="442">
        <v>0.6</v>
      </c>
      <c r="W969" s="442">
        <v>1</v>
      </c>
      <c r="X969" s="448">
        <v>25000</v>
      </c>
      <c r="Y969" s="449" t="s">
        <v>79</v>
      </c>
      <c r="Z969" s="442">
        <v>1</v>
      </c>
      <c r="AA969" s="450">
        <v>40000</v>
      </c>
      <c r="AB969" s="450" t="s">
        <v>65</v>
      </c>
      <c r="AC969" s="446">
        <v>0.05</v>
      </c>
      <c r="AD969" s="446">
        <v>0</v>
      </c>
      <c r="AE969" s="451" t="s">
        <v>66</v>
      </c>
      <c r="AF969" s="448">
        <v>20000</v>
      </c>
      <c r="AG969" s="452">
        <v>7</v>
      </c>
      <c r="AH969" s="452">
        <v>6</v>
      </c>
      <c r="AI969" s="452">
        <v>5</v>
      </c>
      <c r="AJ969" s="451">
        <v>13</v>
      </c>
      <c r="AK969" s="453" t="s">
        <v>67</v>
      </c>
      <c r="AL969" s="454" t="s">
        <v>68</v>
      </c>
      <c r="AM969" s="455" t="s">
        <v>197</v>
      </c>
      <c r="AN969" s="455" t="s">
        <v>198</v>
      </c>
      <c r="AO969" s="314">
        <f t="shared" si="2022"/>
        <v>0.733344907407407</v>
      </c>
      <c r="AP969" s="315">
        <f t="shared" si="2023"/>
        <v>106</v>
      </c>
      <c r="AQ969" s="316" t="str">
        <f t="shared" si="2024"/>
        <v>MICRO</v>
      </c>
    </row>
    <row r="970" ht="29.25" customHeight="1" outlineLevel="1" spans="1:43">
      <c r="A970" s="363"/>
      <c r="B970" s="292">
        <v>0.750011574074074</v>
      </c>
      <c r="C970" s="293" t="str">
        <f t="shared" ref="C970:G970" si="2029">TEXT(IF($B970=0," ",$B970-C$6),"hh:mm am/pm")</f>
        <v>16:00 001/p1</v>
      </c>
      <c r="D970" s="293" t="str">
        <f t="shared" si="2029"/>
        <v>14:00 001/p1</v>
      </c>
      <c r="E970" s="293" t="str">
        <f t="shared" si="2029"/>
        <v>15:00 001/p1</v>
      </c>
      <c r="F970" s="293" t="str">
        <f t="shared" si="2029"/>
        <v>16:00 001/p1</v>
      </c>
      <c r="G970" s="293" t="str">
        <f t="shared" si="2029"/>
        <v>17:00 001/p1</v>
      </c>
      <c r="H970" s="293" t="str">
        <f t="shared" ref="H970:I970" si="2030">TEXT(IF($B970=0," ",$B970+H$6),"hh:mm am/pm")</f>
        <v>00:00 001/p1</v>
      </c>
      <c r="I970" s="293" t="str">
        <f t="shared" si="2030"/>
        <v>05:00 001/p1</v>
      </c>
      <c r="J970" s="29"/>
      <c r="K970" s="431"/>
      <c r="L970" s="432" t="s">
        <v>216</v>
      </c>
      <c r="M970" s="387" t="s">
        <v>196</v>
      </c>
      <c r="N970" s="442" t="s">
        <v>57</v>
      </c>
      <c r="O970" s="443" t="s">
        <v>74</v>
      </c>
      <c r="P970" s="444" t="s">
        <v>59</v>
      </c>
      <c r="Q970" s="445">
        <f t="shared" si="2021"/>
        <v>60</v>
      </c>
      <c r="R970" s="446" t="s">
        <v>60</v>
      </c>
      <c r="S970" s="447"/>
      <c r="T970" s="446">
        <v>0.1</v>
      </c>
      <c r="U970" s="442" t="s">
        <v>62</v>
      </c>
      <c r="V970" s="442">
        <v>0.6</v>
      </c>
      <c r="W970" s="442">
        <v>1</v>
      </c>
      <c r="X970" s="448">
        <v>25000</v>
      </c>
      <c r="Y970" s="449" t="s">
        <v>79</v>
      </c>
      <c r="Z970" s="442">
        <v>1</v>
      </c>
      <c r="AA970" s="450">
        <v>40000</v>
      </c>
      <c r="AB970" s="450" t="s">
        <v>65</v>
      </c>
      <c r="AC970" s="446">
        <v>0.05</v>
      </c>
      <c r="AD970" s="446">
        <v>0</v>
      </c>
      <c r="AE970" s="451" t="s">
        <v>66</v>
      </c>
      <c r="AF970" s="448">
        <v>20000</v>
      </c>
      <c r="AG970" s="452">
        <v>7</v>
      </c>
      <c r="AH970" s="452">
        <v>6</v>
      </c>
      <c r="AI970" s="452">
        <v>5</v>
      </c>
      <c r="AJ970" s="451">
        <v>13</v>
      </c>
      <c r="AK970" s="453" t="s">
        <v>67</v>
      </c>
      <c r="AL970" s="454" t="s">
        <v>68</v>
      </c>
      <c r="AM970" s="455" t="s">
        <v>197</v>
      </c>
      <c r="AN970" s="455" t="s">
        <v>198</v>
      </c>
      <c r="AO970" s="314">
        <f t="shared" si="2022"/>
        <v>0.816678240740741</v>
      </c>
      <c r="AP970" s="315">
        <f t="shared" si="2023"/>
        <v>106</v>
      </c>
      <c r="AQ970" s="316" t="str">
        <f t="shared" si="2024"/>
        <v>MICRO</v>
      </c>
    </row>
    <row r="971" ht="29.25" customHeight="1" outlineLevel="1" spans="1:43">
      <c r="A971" s="363"/>
      <c r="B971" s="292">
        <v>0.833344907407407</v>
      </c>
      <c r="C971" s="293" t="str">
        <f t="shared" ref="C971:G971" si="2031">TEXT(IF($B971=0," ",$B971-C$6),"hh:mm am/pm")</f>
        <v>18:00 001/p1</v>
      </c>
      <c r="D971" s="293" t="str">
        <f t="shared" si="2031"/>
        <v>16:00 001/p1</v>
      </c>
      <c r="E971" s="293" t="str">
        <f t="shared" si="2031"/>
        <v>17:00 001/p1</v>
      </c>
      <c r="F971" s="293" t="str">
        <f t="shared" si="2031"/>
        <v>18:00 001/p1</v>
      </c>
      <c r="G971" s="293" t="str">
        <f t="shared" si="2031"/>
        <v>19:00 001/p1</v>
      </c>
      <c r="H971" s="293" t="str">
        <f t="shared" ref="H971:I971" si="2032">TEXT(IF($B971=0," ",$B971+H$6),"hh:mm am/pm")</f>
        <v>02:00 001/p1</v>
      </c>
      <c r="I971" s="293" t="str">
        <f t="shared" si="2032"/>
        <v>07:00 001/p1</v>
      </c>
      <c r="J971" s="29"/>
      <c r="K971" s="431"/>
      <c r="L971" s="432" t="s">
        <v>216</v>
      </c>
      <c r="M971" s="387" t="s">
        <v>196</v>
      </c>
      <c r="N971" s="442" t="s">
        <v>57</v>
      </c>
      <c r="O971" s="443" t="s">
        <v>74</v>
      </c>
      <c r="P971" s="444" t="s">
        <v>59</v>
      </c>
      <c r="Q971" s="445">
        <f t="shared" si="2021"/>
        <v>60</v>
      </c>
      <c r="R971" s="446" t="s">
        <v>60</v>
      </c>
      <c r="S971" s="447"/>
      <c r="T971" s="446">
        <v>0.1</v>
      </c>
      <c r="U971" s="442" t="s">
        <v>62</v>
      </c>
      <c r="V971" s="442">
        <v>0.6</v>
      </c>
      <c r="W971" s="442">
        <v>1</v>
      </c>
      <c r="X971" s="448">
        <v>25000</v>
      </c>
      <c r="Y971" s="449" t="s">
        <v>79</v>
      </c>
      <c r="Z971" s="442">
        <v>1</v>
      </c>
      <c r="AA971" s="450">
        <v>40000</v>
      </c>
      <c r="AB971" s="450" t="s">
        <v>65</v>
      </c>
      <c r="AC971" s="446">
        <v>0.05</v>
      </c>
      <c r="AD971" s="446">
        <v>0</v>
      </c>
      <c r="AE971" s="451" t="s">
        <v>66</v>
      </c>
      <c r="AF971" s="448">
        <v>20000</v>
      </c>
      <c r="AG971" s="452">
        <v>7</v>
      </c>
      <c r="AH971" s="452">
        <v>6</v>
      </c>
      <c r="AI971" s="452">
        <v>5</v>
      </c>
      <c r="AJ971" s="451">
        <v>13</v>
      </c>
      <c r="AK971" s="453" t="s">
        <v>67</v>
      </c>
      <c r="AL971" s="454" t="s">
        <v>68</v>
      </c>
      <c r="AM971" s="455" t="s">
        <v>197</v>
      </c>
      <c r="AN971" s="455" t="s">
        <v>198</v>
      </c>
      <c r="AO971" s="314">
        <f t="shared" si="2022"/>
        <v>0.900011574074074</v>
      </c>
      <c r="AP971" s="315">
        <f t="shared" si="2023"/>
        <v>106</v>
      </c>
      <c r="AQ971" s="316" t="str">
        <f t="shared" si="2024"/>
        <v>MICRO</v>
      </c>
    </row>
    <row r="972" ht="29.25" customHeight="1" outlineLevel="1" spans="1:43">
      <c r="A972" s="363"/>
      <c r="B972" s="292">
        <v>0.916678240740741</v>
      </c>
      <c r="C972" s="293" t="str">
        <f t="shared" ref="C972:G972" si="2033">TEXT(IF($B972=0," ",$B972-C$6),"hh:mm am/pm")</f>
        <v>20:00 001/p1</v>
      </c>
      <c r="D972" s="293" t="str">
        <f t="shared" si="2033"/>
        <v>18:00 001/p1</v>
      </c>
      <c r="E972" s="293" t="str">
        <f t="shared" si="2033"/>
        <v>19:00 001/p1</v>
      </c>
      <c r="F972" s="293" t="str">
        <f t="shared" si="2033"/>
        <v>20:00 001/p1</v>
      </c>
      <c r="G972" s="293" t="str">
        <f t="shared" si="2033"/>
        <v>21:00 001/p1</v>
      </c>
      <c r="H972" s="293" t="str">
        <f t="shared" ref="H972:I972" si="2034">TEXT(IF($B972=0," ",$B972+H$6),"hh:mm am/pm")</f>
        <v>04:00 001/p1</v>
      </c>
      <c r="I972" s="293" t="str">
        <f t="shared" si="2034"/>
        <v>09:00 001/p1</v>
      </c>
      <c r="J972" s="124"/>
      <c r="K972" s="406"/>
      <c r="L972" s="407" t="s">
        <v>216</v>
      </c>
      <c r="M972" s="387" t="s">
        <v>196</v>
      </c>
      <c r="N972" s="442" t="s">
        <v>57</v>
      </c>
      <c r="O972" s="443" t="s">
        <v>74</v>
      </c>
      <c r="P972" s="444" t="s">
        <v>59</v>
      </c>
      <c r="Q972" s="445">
        <f t="shared" si="2021"/>
        <v>60</v>
      </c>
      <c r="R972" s="446" t="s">
        <v>60</v>
      </c>
      <c r="S972" s="447"/>
      <c r="T972" s="446">
        <v>0.1</v>
      </c>
      <c r="U972" s="442" t="s">
        <v>62</v>
      </c>
      <c r="V972" s="442">
        <v>0.6</v>
      </c>
      <c r="W972" s="442">
        <v>1</v>
      </c>
      <c r="X972" s="448">
        <v>25000</v>
      </c>
      <c r="Y972" s="449" t="s">
        <v>79</v>
      </c>
      <c r="Z972" s="442">
        <v>1</v>
      </c>
      <c r="AA972" s="450">
        <v>40000</v>
      </c>
      <c r="AB972" s="450" t="s">
        <v>65</v>
      </c>
      <c r="AC972" s="446">
        <v>0.05</v>
      </c>
      <c r="AD972" s="446">
        <v>0</v>
      </c>
      <c r="AE972" s="451" t="s">
        <v>66</v>
      </c>
      <c r="AF972" s="448">
        <v>20000</v>
      </c>
      <c r="AG972" s="452">
        <v>7</v>
      </c>
      <c r="AH972" s="452">
        <v>6</v>
      </c>
      <c r="AI972" s="452">
        <v>5</v>
      </c>
      <c r="AJ972" s="451">
        <v>13</v>
      </c>
      <c r="AK972" s="453" t="s">
        <v>67</v>
      </c>
      <c r="AL972" s="454" t="s">
        <v>68</v>
      </c>
      <c r="AM972" s="455" t="s">
        <v>197</v>
      </c>
      <c r="AN972" s="455" t="s">
        <v>198</v>
      </c>
      <c r="AO972" s="314">
        <f t="shared" si="2022"/>
        <v>0.983344907407407</v>
      </c>
      <c r="AP972" s="315">
        <f t="shared" si="2023"/>
        <v>106</v>
      </c>
      <c r="AQ972" s="316" t="str">
        <f t="shared" si="2024"/>
        <v>MICRO</v>
      </c>
    </row>
    <row r="973" ht="29.25" customHeight="1" outlineLevel="1" spans="1:43">
      <c r="A973" s="363"/>
      <c r="B973" s="383"/>
      <c r="C973" s="434"/>
      <c r="D973" s="434"/>
      <c r="E973" s="434"/>
      <c r="F973" s="434"/>
      <c r="G973" s="434"/>
      <c r="H973" s="434"/>
      <c r="I973" s="434"/>
      <c r="J973" s="344"/>
      <c r="K973" s="367"/>
      <c r="L973" s="367"/>
      <c r="M973" s="435"/>
      <c r="N973" s="436"/>
      <c r="O973" s="437"/>
      <c r="P973" s="437"/>
      <c r="Q973" s="436"/>
      <c r="R973" s="436"/>
      <c r="S973" s="436"/>
      <c r="T973" s="438"/>
      <c r="U973" s="436"/>
      <c r="V973" s="436"/>
      <c r="W973" s="436"/>
      <c r="X973" s="436"/>
      <c r="Y973" s="366"/>
      <c r="Z973" s="439"/>
      <c r="AA973" s="439"/>
      <c r="AB973" s="439"/>
      <c r="AC973" s="438"/>
      <c r="AD973" s="438"/>
      <c r="AE973" s="366"/>
      <c r="AF973" s="439"/>
      <c r="AG973" s="366"/>
      <c r="AH973" s="366"/>
      <c r="AI973" s="366"/>
      <c r="AJ973" s="366"/>
      <c r="AK973" s="440"/>
      <c r="AL973" s="440"/>
      <c r="AM973" s="440"/>
      <c r="AN973" s="440"/>
      <c r="AO973" s="383"/>
      <c r="AP973" s="374"/>
      <c r="AQ973" s="383"/>
    </row>
    <row r="974" ht="29.25" customHeight="1" outlineLevel="1" spans="1:43">
      <c r="A974" s="363"/>
      <c r="B974" s="292">
        <v>0.437511574074074</v>
      </c>
      <c r="C974" s="293" t="str">
        <f t="shared" ref="C974:G974" si="2035">TEXT(IF($B974=0," ",$B974-C$6),"hh:mm am/pm")</f>
        <v>08:30 001/p1</v>
      </c>
      <c r="D974" s="293" t="str">
        <f t="shared" si="2035"/>
        <v>06:30 001/p1</v>
      </c>
      <c r="E974" s="293" t="str">
        <f t="shared" si="2035"/>
        <v>07:30 001/p1</v>
      </c>
      <c r="F974" s="293" t="str">
        <f t="shared" si="2035"/>
        <v>08:30 001/p1</v>
      </c>
      <c r="G974" s="293" t="str">
        <f t="shared" si="2035"/>
        <v>09:30 001/p1</v>
      </c>
      <c r="H974" s="293" t="str">
        <f t="shared" ref="H974:I974" si="2036">TEXT(IF($B974=0," ",$B974+H$6),"hh:mm am/pm")</f>
        <v>16:30 001/p1</v>
      </c>
      <c r="I974" s="293" t="str">
        <f t="shared" si="2036"/>
        <v>21:30 001/p1</v>
      </c>
      <c r="J974" s="423" t="s">
        <v>219</v>
      </c>
      <c r="K974" s="424"/>
      <c r="L974" s="425" t="s">
        <v>291</v>
      </c>
      <c r="M974" s="387" t="s">
        <v>196</v>
      </c>
      <c r="N974" s="442" t="s">
        <v>57</v>
      </c>
      <c r="O974" s="443" t="s">
        <v>74</v>
      </c>
      <c r="P974" s="444" t="s">
        <v>59</v>
      </c>
      <c r="Q974" s="445">
        <f t="shared" ref="Q974:Q978" si="2037">40*10</f>
        <v>400</v>
      </c>
      <c r="R974" s="446" t="s">
        <v>60</v>
      </c>
      <c r="S974" s="447"/>
      <c r="T974" s="446">
        <v>0.1</v>
      </c>
      <c r="U974" s="442" t="s">
        <v>62</v>
      </c>
      <c r="V974" s="442">
        <v>2</v>
      </c>
      <c r="W974" s="442">
        <v>3</v>
      </c>
      <c r="X974" s="499"/>
      <c r="Y974" s="449" t="s">
        <v>79</v>
      </c>
      <c r="Z974" s="442">
        <v>4</v>
      </c>
      <c r="AA974" s="450">
        <v>50000</v>
      </c>
      <c r="AB974" s="450" t="s">
        <v>65</v>
      </c>
      <c r="AC974" s="446">
        <v>0.05</v>
      </c>
      <c r="AD974" s="446">
        <v>0</v>
      </c>
      <c r="AE974" s="451" t="s">
        <v>66</v>
      </c>
      <c r="AF974" s="448">
        <v>30000</v>
      </c>
      <c r="AG974" s="452">
        <v>7</v>
      </c>
      <c r="AH974" s="452">
        <v>6</v>
      </c>
      <c r="AI974" s="452">
        <v>5</v>
      </c>
      <c r="AJ974" s="451">
        <v>13</v>
      </c>
      <c r="AK974" s="453" t="s">
        <v>67</v>
      </c>
      <c r="AL974" s="454" t="s">
        <v>68</v>
      </c>
      <c r="AM974" s="455" t="s">
        <v>197</v>
      </c>
      <c r="AN974" s="455" t="s">
        <v>170</v>
      </c>
      <c r="AO974" s="314">
        <f t="shared" ref="AO974:AO978" si="2038">IF(B974=0," ",TIME(,ROUNDDOWN(AG974*AJ974/60,0)*5+(AG974*AJ974),)+B974)</f>
        <v>0.504178240740741</v>
      </c>
      <c r="AP974" s="315">
        <f t="shared" ref="AP974:AP978" si="2039">IF(Q974=0,,ROUNDUP(Q974/(V974*(1-AC974-AD974)),0))</f>
        <v>211</v>
      </c>
      <c r="AQ974" s="316" t="str">
        <f t="shared" ref="AQ974:AQ978" si="2040">IFERROR(IF(V974=0," ",IF(V974&lt;=5,"MICRO",IF(V974&lt;=19.8,"LOW",IF(V974&lt;=99.8,"MEDIUM",IF(V974&lt;=500,"HIGH",IF(V974&gt;500,"SUPER HIGH",)))))),"")</f>
        <v>MICRO</v>
      </c>
    </row>
    <row r="975" ht="29.25" customHeight="1" outlineLevel="1" spans="1:43">
      <c r="A975" s="363"/>
      <c r="B975" s="292">
        <v>0.520844907407407</v>
      </c>
      <c r="C975" s="293" t="str">
        <f t="shared" ref="C975:G975" si="2041">TEXT(IF($B975=0," ",$B975-C$6),"hh:mm am/pm")</f>
        <v>10:30 001/p1</v>
      </c>
      <c r="D975" s="293" t="str">
        <f t="shared" si="2041"/>
        <v>08:30 001/p1</v>
      </c>
      <c r="E975" s="293" t="str">
        <f t="shared" si="2041"/>
        <v>09:30 001/p1</v>
      </c>
      <c r="F975" s="293" t="str">
        <f t="shared" si="2041"/>
        <v>10:30 001/p1</v>
      </c>
      <c r="G975" s="293" t="str">
        <f t="shared" si="2041"/>
        <v>11:30 001/p1</v>
      </c>
      <c r="H975" s="293" t="str">
        <f t="shared" ref="H975:I975" si="2042">TEXT(IF($B975=0," ",$B975+H$6),"hh:mm am/pm")</f>
        <v>18:30 001/p1</v>
      </c>
      <c r="I975" s="293" t="str">
        <f t="shared" si="2042"/>
        <v>23:30 001/p1</v>
      </c>
      <c r="J975" s="29"/>
      <c r="K975" s="431"/>
      <c r="L975" s="432" t="s">
        <v>486</v>
      </c>
      <c r="M975" s="387" t="s">
        <v>196</v>
      </c>
      <c r="N975" s="442" t="s">
        <v>57</v>
      </c>
      <c r="O975" s="443" t="s">
        <v>74</v>
      </c>
      <c r="P975" s="444" t="s">
        <v>59</v>
      </c>
      <c r="Q975" s="445">
        <f t="shared" si="2037"/>
        <v>400</v>
      </c>
      <c r="R975" s="446" t="s">
        <v>60</v>
      </c>
      <c r="S975" s="447"/>
      <c r="T975" s="446">
        <v>0.1</v>
      </c>
      <c r="U975" s="442" t="s">
        <v>62</v>
      </c>
      <c r="V975" s="442">
        <v>0</v>
      </c>
      <c r="W975" s="442">
        <v>2</v>
      </c>
      <c r="X975" s="448">
        <v>25000</v>
      </c>
      <c r="Y975" s="449" t="s">
        <v>79</v>
      </c>
      <c r="Z975" s="442">
        <v>4</v>
      </c>
      <c r="AA975" s="450">
        <v>60000</v>
      </c>
      <c r="AB975" s="450" t="s">
        <v>65</v>
      </c>
      <c r="AC975" s="446">
        <v>0.05</v>
      </c>
      <c r="AD975" s="446">
        <v>0</v>
      </c>
      <c r="AE975" s="451" t="s">
        <v>66</v>
      </c>
      <c r="AF975" s="448">
        <v>20000</v>
      </c>
      <c r="AG975" s="452">
        <v>7</v>
      </c>
      <c r="AH975" s="452">
        <v>6</v>
      </c>
      <c r="AI975" s="452">
        <v>5</v>
      </c>
      <c r="AJ975" s="451">
        <v>13</v>
      </c>
      <c r="AK975" s="453" t="s">
        <v>67</v>
      </c>
      <c r="AL975" s="454" t="s">
        <v>68</v>
      </c>
      <c r="AM975" s="455" t="s">
        <v>197</v>
      </c>
      <c r="AN975" s="455" t="s">
        <v>170</v>
      </c>
      <c r="AO975" s="314">
        <f t="shared" si="2038"/>
        <v>0.587511574074074</v>
      </c>
      <c r="AP975" s="315" t="e">
        <f t="shared" si="2039"/>
        <v>#DIV/0!</v>
      </c>
      <c r="AQ975" s="316" t="str">
        <f t="shared" si="2040"/>
        <v> </v>
      </c>
    </row>
    <row r="976" ht="29.25" customHeight="1" outlineLevel="1" spans="1:43">
      <c r="A976" s="363"/>
      <c r="B976" s="292">
        <v>0.604178240740741</v>
      </c>
      <c r="C976" s="293" t="str">
        <f t="shared" ref="C976:G976" si="2043">TEXT(IF($B976=0," ",$B976-C$6),"hh:mm am/pm")</f>
        <v>12:30 001/p1</v>
      </c>
      <c r="D976" s="293" t="str">
        <f t="shared" si="2043"/>
        <v>10:30 001/p1</v>
      </c>
      <c r="E976" s="293" t="str">
        <f t="shared" si="2043"/>
        <v>11:30 001/p1</v>
      </c>
      <c r="F976" s="293" t="str">
        <f t="shared" si="2043"/>
        <v>12:30 001/p1</v>
      </c>
      <c r="G976" s="293" t="str">
        <f t="shared" si="2043"/>
        <v>13:30 001/p1</v>
      </c>
      <c r="H976" s="293" t="str">
        <f t="shared" ref="H976:I976" si="2044">TEXT(IF($B976=0," ",$B976+H$6),"hh:mm am/pm")</f>
        <v>20:30 001/p1</v>
      </c>
      <c r="I976" s="293" t="str">
        <f t="shared" si="2044"/>
        <v>01:30 001/p1</v>
      </c>
      <c r="J976" s="29"/>
      <c r="K976" s="431"/>
      <c r="L976" s="432" t="s">
        <v>291</v>
      </c>
      <c r="M976" s="387" t="s">
        <v>196</v>
      </c>
      <c r="N976" s="442" t="s">
        <v>57</v>
      </c>
      <c r="O976" s="443" t="s">
        <v>74</v>
      </c>
      <c r="P976" s="444" t="s">
        <v>59</v>
      </c>
      <c r="Q976" s="445">
        <f t="shared" si="2037"/>
        <v>400</v>
      </c>
      <c r="R976" s="446" t="s">
        <v>60</v>
      </c>
      <c r="S976" s="447"/>
      <c r="T976" s="446">
        <v>0.1</v>
      </c>
      <c r="U976" s="442" t="s">
        <v>62</v>
      </c>
      <c r="V976" s="442">
        <v>2</v>
      </c>
      <c r="W976" s="442">
        <v>3</v>
      </c>
      <c r="X976" s="499"/>
      <c r="Y976" s="449" t="s">
        <v>79</v>
      </c>
      <c r="Z976" s="442">
        <v>4</v>
      </c>
      <c r="AA976" s="450">
        <v>30000</v>
      </c>
      <c r="AB976" s="450" t="s">
        <v>65</v>
      </c>
      <c r="AC976" s="446">
        <v>0.05</v>
      </c>
      <c r="AD976" s="446">
        <v>0</v>
      </c>
      <c r="AE976" s="451" t="s">
        <v>66</v>
      </c>
      <c r="AF976" s="448">
        <v>15000</v>
      </c>
      <c r="AG976" s="452">
        <v>6</v>
      </c>
      <c r="AH976" s="452">
        <v>5</v>
      </c>
      <c r="AI976" s="452">
        <v>4</v>
      </c>
      <c r="AJ976" s="451">
        <v>11</v>
      </c>
      <c r="AK976" s="453" t="s">
        <v>67</v>
      </c>
      <c r="AL976" s="454" t="s">
        <v>68</v>
      </c>
      <c r="AM976" s="455" t="s">
        <v>197</v>
      </c>
      <c r="AN976" s="455" t="s">
        <v>170</v>
      </c>
      <c r="AO976" s="314">
        <f t="shared" si="2038"/>
        <v>0.653483796296296</v>
      </c>
      <c r="AP976" s="315">
        <f t="shared" si="2039"/>
        <v>211</v>
      </c>
      <c r="AQ976" s="316" t="str">
        <f t="shared" si="2040"/>
        <v>MICRO</v>
      </c>
    </row>
    <row r="977" ht="29.25" customHeight="1" outlineLevel="1" spans="1:43">
      <c r="A977" s="363"/>
      <c r="B977" s="292">
        <v>0.666678240740741</v>
      </c>
      <c r="C977" s="293" t="str">
        <f t="shared" ref="C977:G977" si="2045">TEXT(IF($B977=0," ",$B977-C$6),"hh:mm am/pm")</f>
        <v>14:00 001/p1</v>
      </c>
      <c r="D977" s="293" t="str">
        <f t="shared" si="2045"/>
        <v>12:00 001/p1</v>
      </c>
      <c r="E977" s="293" t="str">
        <f t="shared" si="2045"/>
        <v>13:00 001/p1</v>
      </c>
      <c r="F977" s="293" t="str">
        <f t="shared" si="2045"/>
        <v>14:00 001/p1</v>
      </c>
      <c r="G977" s="293" t="str">
        <f t="shared" si="2045"/>
        <v>15:00 001/p1</v>
      </c>
      <c r="H977" s="293" t="str">
        <f t="shared" ref="H977:I977" si="2046">TEXT(IF($B977=0," ",$B977+H$6),"hh:mm am/pm")</f>
        <v>22:00 001/p1</v>
      </c>
      <c r="I977" s="293" t="str">
        <f t="shared" si="2046"/>
        <v>03:00 001/p1</v>
      </c>
      <c r="J977" s="29"/>
      <c r="K977" s="431"/>
      <c r="L977" s="432" t="s">
        <v>291</v>
      </c>
      <c r="M977" s="387" t="s">
        <v>196</v>
      </c>
      <c r="N977" s="442" t="s">
        <v>57</v>
      </c>
      <c r="O977" s="443" t="s">
        <v>74</v>
      </c>
      <c r="P977" s="444" t="s">
        <v>59</v>
      </c>
      <c r="Q977" s="445">
        <f t="shared" si="2037"/>
        <v>400</v>
      </c>
      <c r="R977" s="446" t="s">
        <v>60</v>
      </c>
      <c r="S977" s="447"/>
      <c r="T977" s="446">
        <v>0.1</v>
      </c>
      <c r="U977" s="442" t="s">
        <v>62</v>
      </c>
      <c r="V977" s="442">
        <v>2</v>
      </c>
      <c r="W977" s="442">
        <v>3</v>
      </c>
      <c r="X977" s="499"/>
      <c r="Y977" s="449" t="s">
        <v>79</v>
      </c>
      <c r="Z977" s="442">
        <v>4</v>
      </c>
      <c r="AA977" s="450">
        <v>30000</v>
      </c>
      <c r="AB977" s="450" t="s">
        <v>65</v>
      </c>
      <c r="AC977" s="446">
        <v>0.05</v>
      </c>
      <c r="AD977" s="446">
        <v>0</v>
      </c>
      <c r="AE977" s="451" t="s">
        <v>66</v>
      </c>
      <c r="AF977" s="448">
        <v>15000</v>
      </c>
      <c r="AG977" s="452">
        <v>6</v>
      </c>
      <c r="AH977" s="452">
        <v>5</v>
      </c>
      <c r="AI977" s="452">
        <v>4</v>
      </c>
      <c r="AJ977" s="451">
        <v>11</v>
      </c>
      <c r="AK977" s="453" t="s">
        <v>67</v>
      </c>
      <c r="AL977" s="454" t="s">
        <v>68</v>
      </c>
      <c r="AM977" s="455" t="s">
        <v>197</v>
      </c>
      <c r="AN977" s="455" t="s">
        <v>170</v>
      </c>
      <c r="AO977" s="314">
        <f t="shared" si="2038"/>
        <v>0.715983796296296</v>
      </c>
      <c r="AP977" s="315">
        <f t="shared" si="2039"/>
        <v>211</v>
      </c>
      <c r="AQ977" s="316" t="str">
        <f t="shared" si="2040"/>
        <v>MICRO</v>
      </c>
    </row>
    <row r="978" ht="29.25" customHeight="1" outlineLevel="1" spans="1:43">
      <c r="A978" s="363"/>
      <c r="B978" s="292">
        <v>0.750011574074074</v>
      </c>
      <c r="C978" s="293" t="str">
        <f t="shared" ref="C978:G978" si="2047">TEXT(IF($B978=0," ",$B978-C$6),"hh:mm am/pm")</f>
        <v>16:00 001/p1</v>
      </c>
      <c r="D978" s="293" t="str">
        <f t="shared" si="2047"/>
        <v>14:00 001/p1</v>
      </c>
      <c r="E978" s="293" t="str">
        <f t="shared" si="2047"/>
        <v>15:00 001/p1</v>
      </c>
      <c r="F978" s="293" t="str">
        <f t="shared" si="2047"/>
        <v>16:00 001/p1</v>
      </c>
      <c r="G978" s="293" t="str">
        <f t="shared" si="2047"/>
        <v>17:00 001/p1</v>
      </c>
      <c r="H978" s="293" t="str">
        <f t="shared" ref="H978:I978" si="2048">TEXT(IF($B978=0," ",$B978+H$6),"hh:mm am/pm")</f>
        <v>00:00 001/p1</v>
      </c>
      <c r="I978" s="293" t="str">
        <f t="shared" si="2048"/>
        <v>05:00 001/p1</v>
      </c>
      <c r="J978" s="124"/>
      <c r="K978" s="406"/>
      <c r="L978" s="407" t="s">
        <v>291</v>
      </c>
      <c r="M978" s="387" t="s">
        <v>196</v>
      </c>
      <c r="N978" s="442" t="s">
        <v>57</v>
      </c>
      <c r="O978" s="443" t="s">
        <v>74</v>
      </c>
      <c r="P978" s="444" t="s">
        <v>59</v>
      </c>
      <c r="Q978" s="445">
        <f t="shared" si="2037"/>
        <v>400</v>
      </c>
      <c r="R978" s="446" t="s">
        <v>60</v>
      </c>
      <c r="S978" s="447"/>
      <c r="T978" s="446">
        <v>0.1</v>
      </c>
      <c r="U978" s="442" t="s">
        <v>62</v>
      </c>
      <c r="V978" s="442">
        <v>2</v>
      </c>
      <c r="W978" s="442">
        <v>3</v>
      </c>
      <c r="X978" s="499"/>
      <c r="Y978" s="449" t="s">
        <v>79</v>
      </c>
      <c r="Z978" s="442">
        <v>4</v>
      </c>
      <c r="AA978" s="450">
        <v>30000</v>
      </c>
      <c r="AB978" s="450" t="s">
        <v>65</v>
      </c>
      <c r="AC978" s="446">
        <v>0.05</v>
      </c>
      <c r="AD978" s="446">
        <v>0</v>
      </c>
      <c r="AE978" s="451" t="s">
        <v>66</v>
      </c>
      <c r="AF978" s="448">
        <v>15000</v>
      </c>
      <c r="AG978" s="452">
        <v>5</v>
      </c>
      <c r="AH978" s="452">
        <v>4</v>
      </c>
      <c r="AI978" s="452">
        <v>4</v>
      </c>
      <c r="AJ978" s="451">
        <v>11</v>
      </c>
      <c r="AK978" s="453" t="s">
        <v>67</v>
      </c>
      <c r="AL978" s="454" t="s">
        <v>68</v>
      </c>
      <c r="AM978" s="455" t="s">
        <v>197</v>
      </c>
      <c r="AN978" s="455" t="s">
        <v>170</v>
      </c>
      <c r="AO978" s="314">
        <f t="shared" si="2038"/>
        <v>0.788206018518518</v>
      </c>
      <c r="AP978" s="315">
        <f t="shared" si="2039"/>
        <v>211</v>
      </c>
      <c r="AQ978" s="316" t="str">
        <f t="shared" si="2040"/>
        <v>MICRO</v>
      </c>
    </row>
    <row r="979" ht="29.25" customHeight="1" outlineLevel="1" spans="1:43">
      <c r="A979" s="363"/>
      <c r="B979" s="383"/>
      <c r="C979" s="434"/>
      <c r="D979" s="434"/>
      <c r="E979" s="434"/>
      <c r="F979" s="434"/>
      <c r="G979" s="434"/>
      <c r="H979" s="434"/>
      <c r="I979" s="434"/>
      <c r="J979" s="485"/>
      <c r="K979" s="366"/>
      <c r="L979" s="366"/>
      <c r="M979" s="435"/>
      <c r="N979" s="436"/>
      <c r="O979" s="437"/>
      <c r="P979" s="437"/>
      <c r="Q979" s="436"/>
      <c r="R979" s="436"/>
      <c r="S979" s="436"/>
      <c r="T979" s="438"/>
      <c r="U979" s="436"/>
      <c r="V979" s="436"/>
      <c r="W979" s="436"/>
      <c r="X979" s="436"/>
      <c r="Y979" s="366"/>
      <c r="Z979" s="439"/>
      <c r="AA979" s="439"/>
      <c r="AB979" s="439"/>
      <c r="AC979" s="438"/>
      <c r="AD979" s="438"/>
      <c r="AE979" s="366"/>
      <c r="AF979" s="439"/>
      <c r="AG979" s="366"/>
      <c r="AH979" s="366"/>
      <c r="AI979" s="366"/>
      <c r="AJ979" s="366"/>
      <c r="AK979" s="440"/>
      <c r="AL979" s="440"/>
      <c r="AM979" s="440"/>
      <c r="AN979" s="440"/>
      <c r="AO979" s="383"/>
      <c r="AP979" s="374"/>
      <c r="AQ979" s="383"/>
    </row>
    <row r="980" ht="29.25" customHeight="1" outlineLevel="1" spans="1:43">
      <c r="A980" s="363"/>
      <c r="B980" s="292">
        <v>0.833344907407407</v>
      </c>
      <c r="C980" s="293" t="str">
        <f t="shared" ref="C980:G980" si="2049">TEXT(IF($B980=0," ",$B980-C$6),"hh:mm am/pm")</f>
        <v>18:00 001/p1</v>
      </c>
      <c r="D980" s="293" t="str">
        <f t="shared" si="2049"/>
        <v>16:00 001/p1</v>
      </c>
      <c r="E980" s="293" t="str">
        <f t="shared" si="2049"/>
        <v>17:00 001/p1</v>
      </c>
      <c r="F980" s="293" t="str">
        <f t="shared" si="2049"/>
        <v>18:00 001/p1</v>
      </c>
      <c r="G980" s="293" t="str">
        <f t="shared" si="2049"/>
        <v>19:00 001/p1</v>
      </c>
      <c r="H980" s="293" t="str">
        <f t="shared" ref="H980:I980" si="2050">TEXT(IF($B980=0," ",$B980+H$6),"hh:mm am/pm")</f>
        <v>02:00 001/p1</v>
      </c>
      <c r="I980" s="293" t="str">
        <f t="shared" si="2050"/>
        <v>07:00 001/p1</v>
      </c>
      <c r="J980" s="433" t="s">
        <v>219</v>
      </c>
      <c r="K980" s="385"/>
      <c r="L980" s="386" t="s">
        <v>292</v>
      </c>
      <c r="M980" s="441" t="s">
        <v>196</v>
      </c>
      <c r="N980" s="442" t="s">
        <v>57</v>
      </c>
      <c r="O980" s="443" t="s">
        <v>74</v>
      </c>
      <c r="P980" s="444" t="s">
        <v>59</v>
      </c>
      <c r="Q980" s="445">
        <f>1700*10</f>
        <v>17000</v>
      </c>
      <c r="R980" s="446" t="s">
        <v>60</v>
      </c>
      <c r="S980" s="447"/>
      <c r="T980" s="446">
        <v>0.1</v>
      </c>
      <c r="U980" s="442" t="s">
        <v>62</v>
      </c>
      <c r="V980" s="442">
        <v>40</v>
      </c>
      <c r="W980" s="442">
        <v>40</v>
      </c>
      <c r="X980" s="448">
        <v>40000</v>
      </c>
      <c r="Y980" s="449" t="s">
        <v>79</v>
      </c>
      <c r="Z980" s="442">
        <v>60</v>
      </c>
      <c r="AA980" s="450">
        <v>90000</v>
      </c>
      <c r="AB980" s="450" t="s">
        <v>293</v>
      </c>
      <c r="AC980" s="446">
        <v>0.05</v>
      </c>
      <c r="AD980" s="446">
        <v>0</v>
      </c>
      <c r="AE980" s="451" t="s">
        <v>66</v>
      </c>
      <c r="AF980" s="448">
        <v>30000</v>
      </c>
      <c r="AG980" s="452">
        <v>10</v>
      </c>
      <c r="AH980" s="452">
        <v>8</v>
      </c>
      <c r="AI980" s="452">
        <v>8</v>
      </c>
      <c r="AJ980" s="451">
        <v>14</v>
      </c>
      <c r="AK980" s="453" t="s">
        <v>67</v>
      </c>
      <c r="AL980" s="454" t="s">
        <v>68</v>
      </c>
      <c r="AM980" s="455" t="s">
        <v>197</v>
      </c>
      <c r="AN980" s="455" t="s">
        <v>170</v>
      </c>
      <c r="AO980" s="314">
        <f>IF(B980=0," ",TIME(,ROUNDDOWN(AG980*AJ980/60,0)*5+(AG980*AJ980),)+B980)</f>
        <v>0.937511574074074</v>
      </c>
      <c r="AP980" s="315">
        <f>IF(Q980=0,,ROUNDUP(Q980/(V980*(1-AC980-AD980)),0))</f>
        <v>448</v>
      </c>
      <c r="AQ980" s="316" t="str">
        <f>IFERROR(IF(V980=0," ",IF(V980&lt;=5,"MICRO",IF(V980&lt;=19.8,"LOW",IF(V980&lt;=99.8,"MEDIUM",IF(V980&lt;=500,"HIGH",IF(V980&gt;500,"SUPER HIGH",)))))),"")</f>
        <v>MEDIUM</v>
      </c>
    </row>
    <row r="981" ht="29.25" customHeight="1" outlineLevel="1" spans="1:43">
      <c r="A981" s="363"/>
      <c r="B981" s="383"/>
      <c r="C981" s="434"/>
      <c r="D981" s="434"/>
      <c r="E981" s="434"/>
      <c r="F981" s="434"/>
      <c r="G981" s="434"/>
      <c r="H981" s="434"/>
      <c r="I981" s="434"/>
      <c r="J981" s="344"/>
      <c r="K981" s="367"/>
      <c r="L981" s="367"/>
      <c r="M981" s="435"/>
      <c r="N981" s="436"/>
      <c r="O981" s="437"/>
      <c r="P981" s="437"/>
      <c r="Q981" s="436"/>
      <c r="R981" s="436"/>
      <c r="S981" s="436"/>
      <c r="T981" s="438"/>
      <c r="U981" s="436"/>
      <c r="V981" s="436"/>
      <c r="W981" s="436"/>
      <c r="X981" s="436"/>
      <c r="Y981" s="366"/>
      <c r="Z981" s="439"/>
      <c r="AA981" s="439"/>
      <c r="AB981" s="439"/>
      <c r="AC981" s="438"/>
      <c r="AD981" s="438"/>
      <c r="AE981" s="366"/>
      <c r="AF981" s="439"/>
      <c r="AG981" s="366"/>
      <c r="AH981" s="366"/>
      <c r="AI981" s="366"/>
      <c r="AJ981" s="366"/>
      <c r="AK981" s="440"/>
      <c r="AL981" s="440"/>
      <c r="AM981" s="440"/>
      <c r="AN981" s="440"/>
      <c r="AO981" s="383"/>
      <c r="AP981" s="374"/>
      <c r="AQ981" s="383"/>
    </row>
    <row r="982" ht="29.25" customHeight="1" outlineLevel="1" spans="1:43">
      <c r="A982" s="363"/>
      <c r="B982" s="583"/>
      <c r="C982" s="293" t="str">
        <f t="shared" ref="C982:G982" si="2051">TEXT(IF($B982=0," ",$B982-C$6),"hh:mm am/pm")</f>
        <v> </v>
      </c>
      <c r="D982" s="293" t="str">
        <f t="shared" si="2051"/>
        <v> </v>
      </c>
      <c r="E982" s="293" t="str">
        <f t="shared" si="2051"/>
        <v> </v>
      </c>
      <c r="F982" s="293" t="str">
        <f t="shared" si="2051"/>
        <v> </v>
      </c>
      <c r="G982" s="293" t="str">
        <f t="shared" si="2051"/>
        <v> </v>
      </c>
      <c r="H982" s="293" t="str">
        <f t="shared" ref="H982:I982" si="2052">TEXT(IF($B982=0," ",$B982+H$6),"hh:mm am/pm")</f>
        <v> </v>
      </c>
      <c r="I982" s="293" t="str">
        <f t="shared" si="2052"/>
        <v> </v>
      </c>
      <c r="J982" s="423" t="s">
        <v>219</v>
      </c>
      <c r="K982" s="424"/>
      <c r="L982" s="576"/>
      <c r="M982" s="387" t="s">
        <v>196</v>
      </c>
      <c r="N982" s="442" t="s">
        <v>57</v>
      </c>
      <c r="O982" s="443" t="s">
        <v>74</v>
      </c>
      <c r="P982" s="444" t="s">
        <v>59</v>
      </c>
      <c r="Q982" s="584"/>
      <c r="R982" s="446" t="s">
        <v>60</v>
      </c>
      <c r="S982" s="447"/>
      <c r="T982" s="446">
        <v>0.1</v>
      </c>
      <c r="U982" s="442" t="s">
        <v>62</v>
      </c>
      <c r="V982" s="442">
        <v>0.2</v>
      </c>
      <c r="W982" s="442">
        <v>0.8</v>
      </c>
      <c r="X982" s="448">
        <v>25000</v>
      </c>
      <c r="Y982" s="449" t="s">
        <v>79</v>
      </c>
      <c r="Z982" s="442">
        <v>2</v>
      </c>
      <c r="AA982" s="450">
        <v>50000</v>
      </c>
      <c r="AB982" s="450" t="s">
        <v>65</v>
      </c>
      <c r="AC982" s="446">
        <v>0.05</v>
      </c>
      <c r="AD982" s="446">
        <v>0</v>
      </c>
      <c r="AE982" s="451" t="s">
        <v>66</v>
      </c>
      <c r="AF982" s="448">
        <v>20000</v>
      </c>
      <c r="AG982" s="452">
        <v>7</v>
      </c>
      <c r="AH982" s="452">
        <v>6</v>
      </c>
      <c r="AI982" s="452">
        <v>5</v>
      </c>
      <c r="AJ982" s="451">
        <v>13</v>
      </c>
      <c r="AK982" s="453" t="s">
        <v>67</v>
      </c>
      <c r="AL982" s="454" t="s">
        <v>68</v>
      </c>
      <c r="AM982" s="455" t="s">
        <v>197</v>
      </c>
      <c r="AN982" s="455" t="s">
        <v>170</v>
      </c>
      <c r="AO982" s="314" t="str">
        <f t="shared" ref="AO982:AO989" si="2053">IF(B982=0," ",TIME(,ROUNDDOWN(AG982*AJ982/60,0)*5+(AG982*AJ982),)+B982)</f>
        <v> </v>
      </c>
      <c r="AP982" s="374">
        <f t="shared" ref="AP982:AP989" si="2054">IF(Q982=0,,ROUNDUP(Q982/(V982*(1-AC982-AD982)),0))</f>
        <v>0</v>
      </c>
      <c r="AQ982" s="316" t="str">
        <f t="shared" ref="AQ982:AQ989" si="2055">IFERROR(IF(V982=0," ",IF(V982&lt;=5,"MICRO",IF(V982&lt;=19.8,"LOW",IF(V982&lt;=99.8,"MEDIUM",IF(V982&lt;=500,"HIGH",IF(V982&gt;500,"SUPER HIGH",)))))),"")</f>
        <v>MICRO</v>
      </c>
    </row>
    <row r="983" ht="29.25" customHeight="1" outlineLevel="1" spans="1:43">
      <c r="A983" s="363" t="s">
        <v>438</v>
      </c>
      <c r="B983" s="583"/>
      <c r="C983" s="293" t="str">
        <f t="shared" ref="C983:G983" si="2056">TEXT(IF($B983=0," ",$B983-C$6),"hh:mm am/pm")</f>
        <v> </v>
      </c>
      <c r="D983" s="293" t="str">
        <f t="shared" si="2056"/>
        <v> </v>
      </c>
      <c r="E983" s="293" t="str">
        <f t="shared" si="2056"/>
        <v> </v>
      </c>
      <c r="F983" s="293" t="str">
        <f t="shared" si="2056"/>
        <v> </v>
      </c>
      <c r="G983" s="293" t="str">
        <f t="shared" si="2056"/>
        <v> </v>
      </c>
      <c r="H983" s="293" t="str">
        <f t="shared" ref="H983:I983" si="2057">TEXT(IF($B983=0," ",$B983+H$6),"hh:mm am/pm")</f>
        <v> </v>
      </c>
      <c r="I983" s="293" t="str">
        <f t="shared" si="2057"/>
        <v> </v>
      </c>
      <c r="J983" s="29"/>
      <c r="K983" s="431"/>
      <c r="L983" s="585"/>
      <c r="M983" s="387" t="s">
        <v>196</v>
      </c>
      <c r="N983" s="442" t="s">
        <v>57</v>
      </c>
      <c r="O983" s="443" t="s">
        <v>74</v>
      </c>
      <c r="P983" s="444" t="s">
        <v>59</v>
      </c>
      <c r="Q983" s="584"/>
      <c r="R983" s="446" t="s">
        <v>60</v>
      </c>
      <c r="S983" s="447"/>
      <c r="T983" s="446">
        <v>0.1</v>
      </c>
      <c r="U983" s="442" t="s">
        <v>62</v>
      </c>
      <c r="V983" s="442">
        <v>0.2</v>
      </c>
      <c r="W983" s="442">
        <v>0.8</v>
      </c>
      <c r="X983" s="448">
        <v>25000</v>
      </c>
      <c r="Y983" s="449" t="s">
        <v>79</v>
      </c>
      <c r="Z983" s="442">
        <v>2</v>
      </c>
      <c r="AA983" s="450">
        <v>50000</v>
      </c>
      <c r="AB983" s="450" t="s">
        <v>65</v>
      </c>
      <c r="AC983" s="446">
        <v>0.05</v>
      </c>
      <c r="AD983" s="446">
        <v>0</v>
      </c>
      <c r="AE983" s="451" t="s">
        <v>66</v>
      </c>
      <c r="AF983" s="448">
        <v>20000</v>
      </c>
      <c r="AG983" s="452">
        <v>7</v>
      </c>
      <c r="AH983" s="452">
        <v>6</v>
      </c>
      <c r="AI983" s="452">
        <v>5</v>
      </c>
      <c r="AJ983" s="451">
        <v>13</v>
      </c>
      <c r="AK983" s="453" t="s">
        <v>67</v>
      </c>
      <c r="AL983" s="454" t="s">
        <v>68</v>
      </c>
      <c r="AM983" s="455" t="s">
        <v>197</v>
      </c>
      <c r="AN983" s="455" t="s">
        <v>170</v>
      </c>
      <c r="AO983" s="314" t="str">
        <f t="shared" si="2053"/>
        <v> </v>
      </c>
      <c r="AP983" s="374">
        <f t="shared" si="2054"/>
        <v>0</v>
      </c>
      <c r="AQ983" s="316" t="str">
        <f t="shared" si="2055"/>
        <v>MICRO</v>
      </c>
    </row>
    <row r="984" ht="29.25" customHeight="1" outlineLevel="1" spans="1:43">
      <c r="B984" s="577"/>
      <c r="C984" s="293" t="str">
        <f t="shared" ref="C984:G984" si="2058">TEXT(IF($B984=0," ",$B984-C$6),"hh:mm am/pm")</f>
        <v> </v>
      </c>
      <c r="D984" s="293" t="str">
        <f t="shared" si="2058"/>
        <v> </v>
      </c>
      <c r="E984" s="293" t="str">
        <f t="shared" si="2058"/>
        <v> </v>
      </c>
      <c r="F984" s="293" t="str">
        <f t="shared" si="2058"/>
        <v> </v>
      </c>
      <c r="G984" s="293" t="str">
        <f t="shared" si="2058"/>
        <v> </v>
      </c>
      <c r="H984" s="293" t="str">
        <f t="shared" ref="H984:I984" si="2059">TEXT(IF($B984=0," ",$B984+H$6),"hh:mm am/pm")</f>
        <v> </v>
      </c>
      <c r="I984" s="293" t="str">
        <f t="shared" si="2059"/>
        <v> </v>
      </c>
      <c r="J984" s="29"/>
      <c r="K984" s="431"/>
      <c r="L984" s="585"/>
      <c r="M984" s="387" t="s">
        <v>196</v>
      </c>
      <c r="N984" s="442" t="s">
        <v>57</v>
      </c>
      <c r="O984" s="443" t="s">
        <v>74</v>
      </c>
      <c r="P984" s="444" t="s">
        <v>59</v>
      </c>
      <c r="Q984" s="584"/>
      <c r="R984" s="414" t="s">
        <v>60</v>
      </c>
      <c r="S984" s="413"/>
      <c r="T984" s="414">
        <v>0.1</v>
      </c>
      <c r="U984" s="409" t="s">
        <v>62</v>
      </c>
      <c r="V984" s="442">
        <v>1</v>
      </c>
      <c r="W984" s="442">
        <v>1</v>
      </c>
      <c r="X984" s="415"/>
      <c r="Y984" s="416" t="s">
        <v>79</v>
      </c>
      <c r="Z984" s="409">
        <v>2</v>
      </c>
      <c r="AA984" s="417">
        <v>50000</v>
      </c>
      <c r="AB984" s="417" t="s">
        <v>65</v>
      </c>
      <c r="AC984" s="414">
        <v>0.05</v>
      </c>
      <c r="AD984" s="414">
        <v>0</v>
      </c>
      <c r="AE984" s="418" t="s">
        <v>66</v>
      </c>
      <c r="AF984" s="419">
        <v>30000</v>
      </c>
      <c r="AG984" s="420">
        <v>7</v>
      </c>
      <c r="AH984" s="452">
        <v>6</v>
      </c>
      <c r="AI984" s="452">
        <v>5</v>
      </c>
      <c r="AJ984" s="418">
        <v>13</v>
      </c>
      <c r="AK984" s="421" t="s">
        <v>67</v>
      </c>
      <c r="AL984" s="428" t="s">
        <v>68</v>
      </c>
      <c r="AM984" s="422" t="s">
        <v>197</v>
      </c>
      <c r="AN984" s="422" t="s">
        <v>170</v>
      </c>
      <c r="AO984" s="314" t="str">
        <f t="shared" si="2053"/>
        <v> </v>
      </c>
      <c r="AP984" s="374">
        <f t="shared" si="2054"/>
        <v>0</v>
      </c>
      <c r="AQ984" s="316" t="str">
        <f t="shared" si="2055"/>
        <v>MICRO</v>
      </c>
    </row>
    <row r="985" ht="29.25" customHeight="1" outlineLevel="1" spans="1:43">
      <c r="B985" s="577"/>
      <c r="C985" s="293" t="str">
        <f t="shared" ref="C985:G985" si="2060">TEXT(IF($B985=0," ",$B985-C$6),"hh:mm am/pm")</f>
        <v> </v>
      </c>
      <c r="D985" s="293" t="str">
        <f t="shared" si="2060"/>
        <v> </v>
      </c>
      <c r="E985" s="293" t="str">
        <f t="shared" si="2060"/>
        <v> </v>
      </c>
      <c r="F985" s="293" t="str">
        <f t="shared" si="2060"/>
        <v> </v>
      </c>
      <c r="G985" s="293" t="str">
        <f t="shared" si="2060"/>
        <v> </v>
      </c>
      <c r="H985" s="293" t="str">
        <f t="shared" ref="H985:I985" si="2061">TEXT(IF($B985=0," ",$B985+H$6),"hh:mm am/pm")</f>
        <v> </v>
      </c>
      <c r="I985" s="293" t="str">
        <f t="shared" si="2061"/>
        <v> </v>
      </c>
      <c r="J985" s="29"/>
      <c r="K985" s="431"/>
      <c r="L985" s="585"/>
      <c r="M985" s="387" t="s">
        <v>196</v>
      </c>
      <c r="N985" s="442" t="s">
        <v>57</v>
      </c>
      <c r="O985" s="443" t="s">
        <v>74</v>
      </c>
      <c r="P985" s="444" t="s">
        <v>59</v>
      </c>
      <c r="Q985" s="584"/>
      <c r="R985" s="414" t="s">
        <v>60</v>
      </c>
      <c r="S985" s="413"/>
      <c r="T985" s="414">
        <v>0.1</v>
      </c>
      <c r="U985" s="409" t="s">
        <v>62</v>
      </c>
      <c r="V985" s="442">
        <v>1</v>
      </c>
      <c r="W985" s="442">
        <v>1</v>
      </c>
      <c r="X985" s="415"/>
      <c r="Y985" s="416" t="s">
        <v>79</v>
      </c>
      <c r="Z985" s="409">
        <v>2</v>
      </c>
      <c r="AA985" s="417">
        <v>50000</v>
      </c>
      <c r="AB985" s="417" t="s">
        <v>65</v>
      </c>
      <c r="AC985" s="414">
        <v>0.05</v>
      </c>
      <c r="AD985" s="414">
        <v>0</v>
      </c>
      <c r="AE985" s="418" t="s">
        <v>66</v>
      </c>
      <c r="AF985" s="419">
        <v>30000</v>
      </c>
      <c r="AG985" s="420">
        <v>7</v>
      </c>
      <c r="AH985" s="452">
        <v>6</v>
      </c>
      <c r="AI985" s="452">
        <v>5</v>
      </c>
      <c r="AJ985" s="418">
        <v>13</v>
      </c>
      <c r="AK985" s="421" t="s">
        <v>67</v>
      </c>
      <c r="AL985" s="428" t="s">
        <v>68</v>
      </c>
      <c r="AM985" s="422" t="s">
        <v>197</v>
      </c>
      <c r="AN985" s="422" t="s">
        <v>170</v>
      </c>
      <c r="AO985" s="314" t="str">
        <f t="shared" si="2053"/>
        <v> </v>
      </c>
      <c r="AP985" s="374">
        <f t="shared" si="2054"/>
        <v>0</v>
      </c>
      <c r="AQ985" s="316" t="str">
        <f t="shared" si="2055"/>
        <v>MICRO</v>
      </c>
    </row>
    <row r="986" ht="29.25" customHeight="1" outlineLevel="1" spans="1:43">
      <c r="A986" s="363" t="s">
        <v>438</v>
      </c>
      <c r="B986" s="577"/>
      <c r="C986" s="293" t="str">
        <f t="shared" ref="C986:G986" si="2062">TEXT(IF($B986=0," ",$B986-C$6),"hh:mm am/pm")</f>
        <v> </v>
      </c>
      <c r="D986" s="293" t="str">
        <f t="shared" si="2062"/>
        <v> </v>
      </c>
      <c r="E986" s="293" t="str">
        <f t="shared" si="2062"/>
        <v> </v>
      </c>
      <c r="F986" s="293" t="str">
        <f t="shared" si="2062"/>
        <v> </v>
      </c>
      <c r="G986" s="293" t="str">
        <f t="shared" si="2062"/>
        <v> </v>
      </c>
      <c r="H986" s="293" t="str">
        <f t="shared" ref="H986:I986" si="2063">TEXT(IF($B986=0," ",$B986+H$6),"hh:mm am/pm")</f>
        <v> </v>
      </c>
      <c r="I986" s="293" t="str">
        <f t="shared" si="2063"/>
        <v> </v>
      </c>
      <c r="J986" s="29"/>
      <c r="K986" s="431"/>
      <c r="L986" s="585"/>
      <c r="M986" s="387" t="s">
        <v>196</v>
      </c>
      <c r="N986" s="442" t="s">
        <v>57</v>
      </c>
      <c r="O986" s="443" t="s">
        <v>74</v>
      </c>
      <c r="P986" s="444" t="s">
        <v>59</v>
      </c>
      <c r="Q986" s="584"/>
      <c r="R986" s="414" t="s">
        <v>60</v>
      </c>
      <c r="S986" s="413"/>
      <c r="T986" s="414">
        <v>0.1</v>
      </c>
      <c r="U986" s="409" t="s">
        <v>62</v>
      </c>
      <c r="V986" s="442">
        <v>1</v>
      </c>
      <c r="W986" s="442">
        <v>1</v>
      </c>
      <c r="X986" s="415"/>
      <c r="Y986" s="416" t="s">
        <v>79</v>
      </c>
      <c r="Z986" s="409">
        <v>2</v>
      </c>
      <c r="AA986" s="417">
        <v>50000</v>
      </c>
      <c r="AB986" s="417" t="s">
        <v>65</v>
      </c>
      <c r="AC986" s="414">
        <v>0.05</v>
      </c>
      <c r="AD986" s="414">
        <v>0</v>
      </c>
      <c r="AE986" s="418" t="s">
        <v>66</v>
      </c>
      <c r="AF986" s="419">
        <v>30000</v>
      </c>
      <c r="AG986" s="420">
        <v>7</v>
      </c>
      <c r="AH986" s="452">
        <v>6</v>
      </c>
      <c r="AI986" s="452">
        <v>5</v>
      </c>
      <c r="AJ986" s="418">
        <v>13</v>
      </c>
      <c r="AK986" s="421" t="s">
        <v>67</v>
      </c>
      <c r="AL986" s="428" t="s">
        <v>68</v>
      </c>
      <c r="AM986" s="422" t="s">
        <v>197</v>
      </c>
      <c r="AN986" s="422" t="s">
        <v>170</v>
      </c>
      <c r="AO986" s="314" t="str">
        <f t="shared" si="2053"/>
        <v> </v>
      </c>
      <c r="AP986" s="374">
        <f t="shared" si="2054"/>
        <v>0</v>
      </c>
      <c r="AQ986" s="316" t="str">
        <f t="shared" si="2055"/>
        <v>MICRO</v>
      </c>
    </row>
    <row r="987" ht="29.25" customHeight="1" outlineLevel="1" spans="1:43">
      <c r="B987" s="317">
        <v>0.791678240740741</v>
      </c>
      <c r="C987" s="293" t="str">
        <f t="shared" ref="C987:G987" si="2064">TEXT(IF($B987=0," ",$B987-C$6),"hh:mm am/pm")</f>
        <v>17:00 001/p1</v>
      </c>
      <c r="D987" s="293" t="str">
        <f t="shared" si="2064"/>
        <v>15:00 001/p1</v>
      </c>
      <c r="E987" s="293" t="str">
        <f t="shared" si="2064"/>
        <v>16:00 001/p1</v>
      </c>
      <c r="F987" s="293" t="str">
        <f t="shared" si="2064"/>
        <v>17:00 001/p1</v>
      </c>
      <c r="G987" s="293" t="str">
        <f t="shared" si="2064"/>
        <v>18:00 001/p1</v>
      </c>
      <c r="H987" s="293" t="str">
        <f t="shared" ref="H987:I987" si="2065">TEXT(IF($B987=0," ",$B987+H$6),"hh:mm am/pm")</f>
        <v>01:00 001/p1</v>
      </c>
      <c r="I987" s="293" t="str">
        <f t="shared" si="2065"/>
        <v>06:00 001/p1</v>
      </c>
      <c r="J987" s="29"/>
      <c r="K987" s="431"/>
      <c r="L987" s="432" t="s">
        <v>223</v>
      </c>
      <c r="M987" s="387" t="s">
        <v>196</v>
      </c>
      <c r="N987" s="442" t="s">
        <v>57</v>
      </c>
      <c r="O987" s="443" t="s">
        <v>74</v>
      </c>
      <c r="P987" s="444" t="s">
        <v>59</v>
      </c>
      <c r="Q987" s="445">
        <f t="shared" ref="Q987:Q989" si="2066">30*5</f>
        <v>150</v>
      </c>
      <c r="R987" s="414" t="s">
        <v>60</v>
      </c>
      <c r="S987" s="413"/>
      <c r="T987" s="414">
        <v>0.1</v>
      </c>
      <c r="U987" s="409" t="s">
        <v>62</v>
      </c>
      <c r="V987" s="442">
        <v>1</v>
      </c>
      <c r="W987" s="442">
        <v>1</v>
      </c>
      <c r="X987" s="415"/>
      <c r="Y987" s="416" t="s">
        <v>79</v>
      </c>
      <c r="Z987" s="409">
        <v>2</v>
      </c>
      <c r="AA987" s="417">
        <v>50000</v>
      </c>
      <c r="AB987" s="417" t="s">
        <v>65</v>
      </c>
      <c r="AC987" s="414">
        <v>0.05</v>
      </c>
      <c r="AD987" s="414">
        <v>0</v>
      </c>
      <c r="AE987" s="418" t="s">
        <v>66</v>
      </c>
      <c r="AF987" s="419">
        <v>30000</v>
      </c>
      <c r="AG987" s="420">
        <v>7</v>
      </c>
      <c r="AH987" s="452">
        <v>6</v>
      </c>
      <c r="AI987" s="452">
        <v>5</v>
      </c>
      <c r="AJ987" s="418">
        <v>13</v>
      </c>
      <c r="AK987" s="421" t="s">
        <v>67</v>
      </c>
      <c r="AL987" s="428" t="s">
        <v>68</v>
      </c>
      <c r="AM987" s="422" t="s">
        <v>197</v>
      </c>
      <c r="AN987" s="422" t="s">
        <v>170</v>
      </c>
      <c r="AO987" s="314">
        <f t="shared" si="2053"/>
        <v>0.858344907407407</v>
      </c>
      <c r="AP987" s="315">
        <f t="shared" si="2054"/>
        <v>158</v>
      </c>
      <c r="AQ987" s="316" t="str">
        <f t="shared" si="2055"/>
        <v>MICRO</v>
      </c>
    </row>
    <row r="988" ht="29.25" customHeight="1" outlineLevel="1" spans="1:43">
      <c r="B988" s="317">
        <v>0.875011574074074</v>
      </c>
      <c r="C988" s="293" t="str">
        <f t="shared" ref="C988:G988" si="2067">TEXT(IF($B988=0," ",$B988-C$6),"hh:mm am/pm")</f>
        <v>19:00 001/p1</v>
      </c>
      <c r="D988" s="293" t="str">
        <f t="shared" si="2067"/>
        <v>17:00 001/p1</v>
      </c>
      <c r="E988" s="293" t="str">
        <f t="shared" si="2067"/>
        <v>18:00 001/p1</v>
      </c>
      <c r="F988" s="293" t="str">
        <f t="shared" si="2067"/>
        <v>19:00 001/p1</v>
      </c>
      <c r="G988" s="293" t="str">
        <f t="shared" si="2067"/>
        <v>20:00 001/p1</v>
      </c>
      <c r="H988" s="293" t="str">
        <f t="shared" ref="H988:I988" si="2068">TEXT(IF($B988=0," ",$B988+H$6),"hh:mm am/pm")</f>
        <v>03:00 001/p1</v>
      </c>
      <c r="I988" s="293" t="str">
        <f t="shared" si="2068"/>
        <v>08:00 001/p1</v>
      </c>
      <c r="J988" s="29"/>
      <c r="K988" s="431"/>
      <c r="L988" s="432" t="s">
        <v>223</v>
      </c>
      <c r="M988" s="387" t="s">
        <v>196</v>
      </c>
      <c r="N988" s="442" t="s">
        <v>57</v>
      </c>
      <c r="O988" s="443" t="s">
        <v>74</v>
      </c>
      <c r="P988" s="444" t="s">
        <v>59</v>
      </c>
      <c r="Q988" s="445">
        <f t="shared" si="2066"/>
        <v>150</v>
      </c>
      <c r="R988" s="414" t="s">
        <v>60</v>
      </c>
      <c r="S988" s="413"/>
      <c r="T988" s="414">
        <v>0.1</v>
      </c>
      <c r="U988" s="409" t="s">
        <v>62</v>
      </c>
      <c r="V988" s="442">
        <v>1</v>
      </c>
      <c r="W988" s="442">
        <v>1</v>
      </c>
      <c r="X988" s="415"/>
      <c r="Y988" s="416" t="s">
        <v>79</v>
      </c>
      <c r="Z988" s="409">
        <v>2</v>
      </c>
      <c r="AA988" s="417">
        <v>50000</v>
      </c>
      <c r="AB988" s="417" t="s">
        <v>65</v>
      </c>
      <c r="AC988" s="414">
        <v>0.05</v>
      </c>
      <c r="AD988" s="414">
        <v>0</v>
      </c>
      <c r="AE988" s="418" t="s">
        <v>66</v>
      </c>
      <c r="AF988" s="419">
        <v>20000</v>
      </c>
      <c r="AG988" s="420">
        <v>8</v>
      </c>
      <c r="AH988" s="420">
        <v>6</v>
      </c>
      <c r="AI988" s="420">
        <v>5</v>
      </c>
      <c r="AJ988" s="418">
        <v>13</v>
      </c>
      <c r="AK988" s="421" t="s">
        <v>67</v>
      </c>
      <c r="AL988" s="428" t="s">
        <v>68</v>
      </c>
      <c r="AM988" s="422" t="s">
        <v>197</v>
      </c>
      <c r="AN988" s="422" t="s">
        <v>170</v>
      </c>
      <c r="AO988" s="314">
        <f t="shared" si="2053"/>
        <v>0.950706018518518</v>
      </c>
      <c r="AP988" s="315">
        <f t="shared" si="2054"/>
        <v>158</v>
      </c>
      <c r="AQ988" s="316" t="str">
        <f t="shared" si="2055"/>
        <v>MICRO</v>
      </c>
    </row>
    <row r="989" ht="29.25" customHeight="1" outlineLevel="1" spans="1:43">
      <c r="B989" s="317">
        <v>0.958344907407407</v>
      </c>
      <c r="C989" s="293" t="str">
        <f t="shared" ref="C989:G989" si="2069">TEXT(IF($B989=0," ",$B989-C$6),"hh:mm am/pm")</f>
        <v>21:00 001/p1</v>
      </c>
      <c r="D989" s="293" t="str">
        <f t="shared" si="2069"/>
        <v>19:00 001/p1</v>
      </c>
      <c r="E989" s="293" t="str">
        <f t="shared" si="2069"/>
        <v>20:00 001/p1</v>
      </c>
      <c r="F989" s="293" t="str">
        <f t="shared" si="2069"/>
        <v>21:00 001/p1</v>
      </c>
      <c r="G989" s="293" t="str">
        <f t="shared" si="2069"/>
        <v>22:00 001/p1</v>
      </c>
      <c r="H989" s="293" t="str">
        <f t="shared" ref="H989:I989" si="2070">TEXT(IF($B989=0," ",$B989+H$6),"hh:mm am/pm")</f>
        <v>05:00 001/p1</v>
      </c>
      <c r="I989" s="293" t="str">
        <f t="shared" si="2070"/>
        <v>10:00 001/p1</v>
      </c>
      <c r="J989" s="124"/>
      <c r="K989" s="406"/>
      <c r="L989" s="407" t="s">
        <v>223</v>
      </c>
      <c r="M989" s="387" t="s">
        <v>196</v>
      </c>
      <c r="N989" s="442" t="s">
        <v>57</v>
      </c>
      <c r="O989" s="443" t="s">
        <v>74</v>
      </c>
      <c r="P989" s="444" t="s">
        <v>59</v>
      </c>
      <c r="Q989" s="445">
        <f t="shared" si="2066"/>
        <v>150</v>
      </c>
      <c r="R989" s="446" t="s">
        <v>60</v>
      </c>
      <c r="S989" s="447"/>
      <c r="T989" s="446">
        <v>0.1</v>
      </c>
      <c r="U989" s="442" t="s">
        <v>62</v>
      </c>
      <c r="V989" s="442">
        <v>1</v>
      </c>
      <c r="W989" s="442">
        <v>1</v>
      </c>
      <c r="X989" s="415"/>
      <c r="Y989" s="416" t="s">
        <v>79</v>
      </c>
      <c r="Z989" s="409">
        <v>2</v>
      </c>
      <c r="AA989" s="417">
        <v>50000</v>
      </c>
      <c r="AB989" s="417" t="s">
        <v>65</v>
      </c>
      <c r="AC989" s="414">
        <v>0.05</v>
      </c>
      <c r="AD989" s="414">
        <v>0</v>
      </c>
      <c r="AE989" s="418" t="s">
        <v>66</v>
      </c>
      <c r="AF989" s="448">
        <v>20000</v>
      </c>
      <c r="AG989" s="452">
        <v>6</v>
      </c>
      <c r="AH989" s="452">
        <v>5</v>
      </c>
      <c r="AI989" s="452">
        <v>5</v>
      </c>
      <c r="AJ989" s="451">
        <v>13</v>
      </c>
      <c r="AK989" s="421" t="s">
        <v>67</v>
      </c>
      <c r="AL989" s="428" t="s">
        <v>68</v>
      </c>
      <c r="AM989" s="422" t="s">
        <v>197</v>
      </c>
      <c r="AN989" s="422" t="s">
        <v>170</v>
      </c>
      <c r="AO989" s="314">
        <f t="shared" si="2053"/>
        <v>1.0159837962963</v>
      </c>
      <c r="AP989" s="315">
        <f t="shared" si="2054"/>
        <v>158</v>
      </c>
      <c r="AQ989" s="316" t="str">
        <f t="shared" si="2055"/>
        <v>MICRO</v>
      </c>
    </row>
    <row r="990" ht="29.25" customHeight="1" outlineLevel="1" spans="1:43">
      <c r="B990" s="383"/>
      <c r="C990" s="293" t="str">
        <f t="shared" ref="C990:G990" si="2071">TEXT(IF($B990=0," ",$B990-C$6),"hh:mm am/pm")</f>
        <v> </v>
      </c>
      <c r="D990" s="293" t="str">
        <f t="shared" si="2071"/>
        <v> </v>
      </c>
      <c r="E990" s="293" t="str">
        <f t="shared" si="2071"/>
        <v> </v>
      </c>
      <c r="F990" s="293" t="str">
        <f t="shared" si="2071"/>
        <v> </v>
      </c>
      <c r="G990" s="293" t="str">
        <f t="shared" si="2071"/>
        <v> </v>
      </c>
      <c r="H990" s="293" t="str">
        <f t="shared" ref="H990:I990" si="2072">TEXT(IF($B990=0," ",$B990+H$6),"hh:mm am/pm")</f>
        <v> </v>
      </c>
      <c r="I990" s="293" t="str">
        <f t="shared" si="2072"/>
        <v> </v>
      </c>
      <c r="J990" s="485"/>
      <c r="K990" s="366"/>
      <c r="L990" s="586"/>
      <c r="M990" s="587"/>
      <c r="N990" s="588"/>
      <c r="O990" s="589"/>
      <c r="P990" s="589"/>
      <c r="Q990" s="588"/>
      <c r="R990" s="588"/>
      <c r="S990" s="588"/>
      <c r="T990" s="438"/>
      <c r="U990" s="436"/>
      <c r="V990" s="436"/>
      <c r="W990" s="436"/>
      <c r="X990" s="436"/>
      <c r="Y990" s="366"/>
      <c r="Z990" s="439"/>
      <c r="AA990" s="439"/>
      <c r="AB990" s="439"/>
      <c r="AC990" s="438"/>
      <c r="AD990" s="438"/>
      <c r="AE990" s="366"/>
      <c r="AF990" s="439"/>
      <c r="AG990" s="366"/>
      <c r="AH990" s="366"/>
      <c r="AI990" s="366"/>
      <c r="AJ990" s="366"/>
      <c r="AK990" s="440"/>
      <c r="AL990" s="440"/>
      <c r="AM990" s="440"/>
      <c r="AN990" s="440"/>
      <c r="AO990" s="383"/>
      <c r="AP990" s="374"/>
      <c r="AQ990" s="383"/>
    </row>
    <row r="991" ht="24" customHeight="1" spans="1:43">
      <c r="A991" s="458" t="s">
        <v>487</v>
      </c>
      <c r="C991" s="459"/>
      <c r="D991" s="459"/>
      <c r="E991" s="459"/>
      <c r="F991" s="459"/>
      <c r="G991" s="459"/>
      <c r="H991" s="459"/>
      <c r="I991" s="460"/>
      <c r="J991" s="380" t="s">
        <v>487</v>
      </c>
      <c r="K991" s="380"/>
      <c r="L991" s="380" t="s">
        <v>487</v>
      </c>
      <c r="O991" s="380"/>
      <c r="Q991" s="380" t="s">
        <v>487</v>
      </c>
      <c r="V991" s="380" t="s">
        <v>487</v>
      </c>
      <c r="AB991" s="380" t="s">
        <v>487</v>
      </c>
      <c r="AE991" s="380" t="s">
        <v>487</v>
      </c>
      <c r="AF991" s="380"/>
      <c r="AG991" s="380"/>
      <c r="AH991" s="380"/>
      <c r="AI991" s="380"/>
      <c r="AJ991" s="380" t="s">
        <v>487</v>
      </c>
      <c r="AM991" s="314"/>
      <c r="AN991" s="314"/>
      <c r="AO991" s="314"/>
      <c r="AP991" s="314"/>
      <c r="AQ991" s="314"/>
    </row>
    <row r="992" ht="29.25" customHeight="1" outlineLevel="1" spans="1:43">
      <c r="A992" s="291" t="s">
        <v>488</v>
      </c>
      <c r="B992" s="590">
        <v>0.750011574074074</v>
      </c>
      <c r="C992" s="293" t="str">
        <f t="shared" ref="C992:C1131" si="2073">TEXT(IF($B992=0," ",$B992-$C$6),"hh:mm am/pm")</f>
        <v>16:00 001/p1</v>
      </c>
      <c r="D992" s="293" t="str">
        <f t="shared" ref="D992:D1131" si="2074">TEXT(IF($B992=0," ",$B992-$D$6),"hh:mm am/pm")</f>
        <v>14:00 001/p1</v>
      </c>
      <c r="E992" s="293" t="str">
        <f t="shared" ref="E992:E1131" si="2075">TEXT(IF($B992=0," ",$B992-$E$6),"hh:mm am/pm")</f>
        <v>15:00 001/p1</v>
      </c>
      <c r="F992" s="293" t="str">
        <f t="shared" ref="F992:F1131" si="2076">TEXT(IF($B992=0," ",$B992-$F$6),"hh:mm am/pm")</f>
        <v>16:00 001/p1</v>
      </c>
      <c r="G992" s="293" t="str">
        <f t="shared" ref="G992:G1131" si="2077">TEXT(IF($B992=0," ",$B992-$G$6),"hh:mm am/pm")</f>
        <v>17:00 001/p1</v>
      </c>
      <c r="H992" s="293" t="str">
        <f t="shared" ref="H992:I992" si="2078">TEXT(IF($B992=0," ",$B992+H$6),"hh:mm am/pm")</f>
        <v>00:00 001/p1</v>
      </c>
      <c r="I992" s="293" t="str">
        <f t="shared" si="2078"/>
        <v>05:00 001/p1</v>
      </c>
      <c r="J992" s="591" t="s">
        <v>489</v>
      </c>
      <c r="K992" s="381"/>
      <c r="L992" s="591" t="s">
        <v>490</v>
      </c>
      <c r="M992" s="592" t="s">
        <v>71</v>
      </c>
      <c r="N992" s="593" t="s">
        <v>57</v>
      </c>
      <c r="O992" s="594" t="s">
        <v>74</v>
      </c>
      <c r="P992" s="595" t="s">
        <v>75</v>
      </c>
      <c r="Q992" s="596">
        <v>2000</v>
      </c>
      <c r="R992" s="596" t="s">
        <v>60</v>
      </c>
      <c r="S992" s="436"/>
      <c r="T992" s="597" t="s">
        <v>61</v>
      </c>
      <c r="U992" s="593" t="s">
        <v>78</v>
      </c>
      <c r="V992" s="593">
        <v>10</v>
      </c>
      <c r="W992" s="593">
        <v>10</v>
      </c>
      <c r="X992" s="598"/>
      <c r="Y992" s="599" t="s">
        <v>79</v>
      </c>
      <c r="Z992" s="593"/>
      <c r="AA992" s="600" t="s">
        <v>64</v>
      </c>
      <c r="AB992" s="600" t="s">
        <v>65</v>
      </c>
      <c r="AC992" s="601">
        <v>0.1</v>
      </c>
      <c r="AD992" s="601">
        <v>0</v>
      </c>
      <c r="AE992" s="597" t="s">
        <v>88</v>
      </c>
      <c r="AF992" s="598">
        <v>10000</v>
      </c>
      <c r="AG992" s="602">
        <v>45</v>
      </c>
      <c r="AH992" s="602">
        <v>10</v>
      </c>
      <c r="AI992" s="602">
        <v>10</v>
      </c>
      <c r="AJ992" s="603">
        <v>2</v>
      </c>
      <c r="AK992" s="604" t="s">
        <v>257</v>
      </c>
      <c r="AL992" s="605" t="s">
        <v>68</v>
      </c>
      <c r="AM992" s="606" t="s">
        <v>69</v>
      </c>
      <c r="AN992" s="606" t="s">
        <v>70</v>
      </c>
      <c r="AO992" s="314">
        <f t="shared" ref="AO992:AO1131" si="2079">IF(B992=0," ",TIME(,ROUNDDOWN(AG992*AJ992/60,0)*5+(AG992*AJ992),)+B992)</f>
        <v>0.815983796296296</v>
      </c>
      <c r="AP992" s="315">
        <f t="shared" ref="AP992:AP1131" si="2080">IF(Q992=0,,ROUNDUP(Q992/(V992*(1-AC992-AD992)),0))</f>
        <v>223</v>
      </c>
      <c r="AQ992" s="316" t="str">
        <f t="shared" ref="AQ992:AQ1131" si="2081">IFERROR(IF(V992=0," ",IF(V992&lt;=5,"MICRO",IF(V992&lt;=19.8,"LOW",IF(V992&lt;=99.8,"MEDIUM",IF(V992&lt;=500,"HIGH",IF(V992&gt;500,"SUPER HIGH",)))))),"")</f>
        <v>LOW</v>
      </c>
    </row>
    <row r="993" ht="29.25" customHeight="1" outlineLevel="1" spans="1:43">
      <c r="A993" s="291"/>
      <c r="B993" s="590"/>
      <c r="C993" s="293" t="str">
        <f t="shared" si="2073"/>
        <v> </v>
      </c>
      <c r="D993" s="293" t="str">
        <f t="shared" si="2074"/>
        <v> </v>
      </c>
      <c r="E993" s="293" t="str">
        <f t="shared" si="2075"/>
        <v> </v>
      </c>
      <c r="F993" s="293" t="str">
        <f t="shared" si="2076"/>
        <v> </v>
      </c>
      <c r="G993" s="293" t="str">
        <f t="shared" si="2077"/>
        <v> </v>
      </c>
      <c r="H993" s="293" t="str">
        <f t="shared" ref="H993:I993" si="2082">TEXT(IF($B993=0," ",$B993+H$6),"hh:mm am/pm")</f>
        <v> </v>
      </c>
      <c r="I993" s="293" t="str">
        <f t="shared" si="2082"/>
        <v> </v>
      </c>
      <c r="J993" s="591"/>
      <c r="K993" s="381"/>
      <c r="L993" s="591"/>
      <c r="M993" s="592"/>
      <c r="N993" s="593"/>
      <c r="O993" s="594"/>
      <c r="P993" s="595"/>
      <c r="Q993" s="596"/>
      <c r="R993" s="596"/>
      <c r="S993" s="436"/>
      <c r="T993" s="597"/>
      <c r="U993" s="593"/>
      <c r="V993" s="593"/>
      <c r="W993" s="593"/>
      <c r="X993" s="598"/>
      <c r="Y993" s="599"/>
      <c r="Z993" s="593"/>
      <c r="AA993" s="600"/>
      <c r="AB993" s="600"/>
      <c r="AC993" s="601"/>
      <c r="AD993" s="601"/>
      <c r="AE993" s="597"/>
      <c r="AF993" s="598"/>
      <c r="AG993" s="602"/>
      <c r="AH993" s="602"/>
      <c r="AI993" s="602"/>
      <c r="AJ993" s="603"/>
      <c r="AK993" s="605"/>
      <c r="AL993" s="605"/>
      <c r="AM993" s="606"/>
      <c r="AN993" s="606"/>
      <c r="AO993" s="314" t="str">
        <f t="shared" si="2079"/>
        <v> </v>
      </c>
      <c r="AP993" s="315">
        <f t="shared" si="2080"/>
        <v>0</v>
      </c>
      <c r="AQ993" s="316" t="str">
        <f t="shared" si="2081"/>
        <v> </v>
      </c>
    </row>
    <row r="994" ht="29.25" customHeight="1" outlineLevel="1" spans="1:43">
      <c r="A994" s="291"/>
      <c r="B994" s="590"/>
      <c r="C994" s="293" t="str">
        <f t="shared" si="2073"/>
        <v> </v>
      </c>
      <c r="D994" s="293" t="str">
        <f t="shared" si="2074"/>
        <v> </v>
      </c>
      <c r="E994" s="293" t="str">
        <f t="shared" si="2075"/>
        <v> </v>
      </c>
      <c r="F994" s="293" t="str">
        <f t="shared" si="2076"/>
        <v> </v>
      </c>
      <c r="G994" s="293" t="str">
        <f t="shared" si="2077"/>
        <v> </v>
      </c>
      <c r="H994" s="293" t="str">
        <f t="shared" ref="H994:I994" si="2083">TEXT(IF($B994=0," ",$B994+H$6),"hh:mm am/pm")</f>
        <v> </v>
      </c>
      <c r="I994" s="293" t="str">
        <f t="shared" si="2083"/>
        <v> </v>
      </c>
      <c r="J994" s="591"/>
      <c r="K994" s="381"/>
      <c r="L994" s="591"/>
      <c r="M994" s="592"/>
      <c r="N994" s="593"/>
      <c r="O994" s="594"/>
      <c r="P994" s="595"/>
      <c r="Q994" s="596"/>
      <c r="R994" s="596"/>
      <c r="S994" s="436"/>
      <c r="T994" s="597"/>
      <c r="U994" s="593"/>
      <c r="V994" s="593"/>
      <c r="W994" s="593"/>
      <c r="X994" s="598"/>
      <c r="Y994" s="599"/>
      <c r="Z994" s="593"/>
      <c r="AA994" s="600"/>
      <c r="AB994" s="600"/>
      <c r="AC994" s="601"/>
      <c r="AD994" s="601"/>
      <c r="AE994" s="597"/>
      <c r="AF994" s="598"/>
      <c r="AG994" s="602"/>
      <c r="AH994" s="602"/>
      <c r="AI994" s="602"/>
      <c r="AJ994" s="603"/>
      <c r="AK994" s="605"/>
      <c r="AL994" s="605"/>
      <c r="AM994" s="606"/>
      <c r="AN994" s="606"/>
      <c r="AO994" s="314" t="str">
        <f t="shared" si="2079"/>
        <v> </v>
      </c>
      <c r="AP994" s="315">
        <f t="shared" si="2080"/>
        <v>0</v>
      </c>
      <c r="AQ994" s="316" t="str">
        <f t="shared" si="2081"/>
        <v> </v>
      </c>
    </row>
    <row r="995" ht="29.25" customHeight="1" outlineLevel="1" spans="1:43">
      <c r="A995" s="291"/>
      <c r="B995" s="590"/>
      <c r="C995" s="293" t="str">
        <f t="shared" si="2073"/>
        <v> </v>
      </c>
      <c r="D995" s="293" t="str">
        <f t="shared" si="2074"/>
        <v> </v>
      </c>
      <c r="E995" s="293" t="str">
        <f t="shared" si="2075"/>
        <v> </v>
      </c>
      <c r="F995" s="293" t="str">
        <f t="shared" si="2076"/>
        <v> </v>
      </c>
      <c r="G995" s="293" t="str">
        <f t="shared" si="2077"/>
        <v> </v>
      </c>
      <c r="H995" s="293" t="str">
        <f t="shared" ref="H995:I995" si="2084">TEXT(IF($B995=0," ",$B995+H$6),"hh:mm am/pm")</f>
        <v> </v>
      </c>
      <c r="I995" s="293" t="str">
        <f t="shared" si="2084"/>
        <v> </v>
      </c>
      <c r="J995" s="591"/>
      <c r="K995" s="381"/>
      <c r="L995" s="591"/>
      <c r="M995" s="592"/>
      <c r="N995" s="593"/>
      <c r="O995" s="594"/>
      <c r="P995" s="595"/>
      <c r="Q995" s="596"/>
      <c r="R995" s="596"/>
      <c r="S995" s="436"/>
      <c r="T995" s="597"/>
      <c r="U995" s="593"/>
      <c r="V995" s="593"/>
      <c r="W995" s="593"/>
      <c r="X995" s="598"/>
      <c r="Y995" s="599"/>
      <c r="Z995" s="593"/>
      <c r="AA995" s="600"/>
      <c r="AB995" s="600"/>
      <c r="AC995" s="601"/>
      <c r="AD995" s="601"/>
      <c r="AE995" s="597"/>
      <c r="AF995" s="598"/>
      <c r="AG995" s="602"/>
      <c r="AH995" s="602"/>
      <c r="AI995" s="602"/>
      <c r="AJ995" s="603"/>
      <c r="AK995" s="605"/>
      <c r="AL995" s="605"/>
      <c r="AM995" s="606"/>
      <c r="AN995" s="606"/>
      <c r="AO995" s="314" t="str">
        <f t="shared" si="2079"/>
        <v> </v>
      </c>
      <c r="AP995" s="315">
        <f t="shared" si="2080"/>
        <v>0</v>
      </c>
      <c r="AQ995" s="316" t="str">
        <f t="shared" si="2081"/>
        <v> </v>
      </c>
    </row>
    <row r="996" ht="29.25" customHeight="1" outlineLevel="1" spans="1:43">
      <c r="A996" s="291"/>
      <c r="B996" s="590"/>
      <c r="C996" s="293" t="str">
        <f t="shared" si="2073"/>
        <v> </v>
      </c>
      <c r="D996" s="293" t="str">
        <f t="shared" si="2074"/>
        <v> </v>
      </c>
      <c r="E996" s="293" t="str">
        <f t="shared" si="2075"/>
        <v> </v>
      </c>
      <c r="F996" s="293" t="str">
        <f t="shared" si="2076"/>
        <v> </v>
      </c>
      <c r="G996" s="293" t="str">
        <f t="shared" si="2077"/>
        <v> </v>
      </c>
      <c r="H996" s="293" t="str">
        <f t="shared" ref="H996:I996" si="2085">TEXT(IF($B996=0," ",$B996+H$6),"hh:mm am/pm")</f>
        <v> </v>
      </c>
      <c r="I996" s="293" t="str">
        <f t="shared" si="2085"/>
        <v> </v>
      </c>
      <c r="J996" s="591"/>
      <c r="K996" s="381"/>
      <c r="L996" s="591"/>
      <c r="M996" s="592"/>
      <c r="N996" s="593"/>
      <c r="O996" s="594"/>
      <c r="P996" s="595"/>
      <c r="Q996" s="596"/>
      <c r="R996" s="596"/>
      <c r="S996" s="436"/>
      <c r="T996" s="597"/>
      <c r="U996" s="593"/>
      <c r="V996" s="593"/>
      <c r="W996" s="593"/>
      <c r="X996" s="598"/>
      <c r="Y996" s="599"/>
      <c r="Z996" s="593"/>
      <c r="AA996" s="600"/>
      <c r="AB996" s="600"/>
      <c r="AC996" s="601"/>
      <c r="AD996" s="601"/>
      <c r="AE996" s="600"/>
      <c r="AF996" s="598"/>
      <c r="AG996" s="602"/>
      <c r="AH996" s="602"/>
      <c r="AI996" s="602"/>
      <c r="AJ996" s="603"/>
      <c r="AK996" s="605"/>
      <c r="AL996" s="605"/>
      <c r="AM996" s="606"/>
      <c r="AN996" s="606"/>
      <c r="AO996" s="314" t="str">
        <f t="shared" si="2079"/>
        <v> </v>
      </c>
      <c r="AP996" s="315">
        <f t="shared" si="2080"/>
        <v>0</v>
      </c>
      <c r="AQ996" s="316" t="str">
        <f t="shared" si="2081"/>
        <v> </v>
      </c>
    </row>
    <row r="997" ht="29.25" customHeight="1" outlineLevel="1" spans="1:43">
      <c r="A997" s="291"/>
      <c r="B997" s="590"/>
      <c r="C997" s="293" t="str">
        <f t="shared" si="2073"/>
        <v> </v>
      </c>
      <c r="D997" s="293" t="str">
        <f t="shared" si="2074"/>
        <v> </v>
      </c>
      <c r="E997" s="293" t="str">
        <f t="shared" si="2075"/>
        <v> </v>
      </c>
      <c r="F997" s="293" t="str">
        <f t="shared" si="2076"/>
        <v> </v>
      </c>
      <c r="G997" s="293" t="str">
        <f t="shared" si="2077"/>
        <v> </v>
      </c>
      <c r="H997" s="293" t="str">
        <f t="shared" ref="H997:I997" si="2086">TEXT(IF($B997=0," ",$B997+H$6),"hh:mm am/pm")</f>
        <v> </v>
      </c>
      <c r="I997" s="293" t="str">
        <f t="shared" si="2086"/>
        <v> </v>
      </c>
      <c r="J997" s="591"/>
      <c r="K997" s="381"/>
      <c r="L997" s="591"/>
      <c r="M997" s="592"/>
      <c r="N997" s="593"/>
      <c r="O997" s="594"/>
      <c r="P997" s="595"/>
      <c r="Q997" s="596"/>
      <c r="R997" s="596"/>
      <c r="S997" s="436"/>
      <c r="T997" s="597"/>
      <c r="U997" s="593"/>
      <c r="V997" s="593"/>
      <c r="W997" s="593"/>
      <c r="X997" s="598"/>
      <c r="Y997" s="599"/>
      <c r="Z997" s="593"/>
      <c r="AA997" s="600"/>
      <c r="AB997" s="600"/>
      <c r="AC997" s="601"/>
      <c r="AD997" s="601"/>
      <c r="AE997" s="600"/>
      <c r="AF997" s="598"/>
      <c r="AG997" s="602"/>
      <c r="AH997" s="602"/>
      <c r="AI997" s="602"/>
      <c r="AJ997" s="603"/>
      <c r="AK997" s="605"/>
      <c r="AL997" s="605"/>
      <c r="AM997" s="606"/>
      <c r="AN997" s="606"/>
      <c r="AO997" s="314" t="str">
        <f t="shared" si="2079"/>
        <v> </v>
      </c>
      <c r="AP997" s="315">
        <f t="shared" si="2080"/>
        <v>0</v>
      </c>
      <c r="AQ997" s="316" t="str">
        <f t="shared" si="2081"/>
        <v> </v>
      </c>
    </row>
    <row r="998" ht="29.25" customHeight="1" outlineLevel="1" spans="1:43">
      <c r="A998" s="607"/>
      <c r="B998" s="590"/>
      <c r="C998" s="293" t="str">
        <f t="shared" si="2073"/>
        <v> </v>
      </c>
      <c r="D998" s="293" t="str">
        <f t="shared" si="2074"/>
        <v> </v>
      </c>
      <c r="E998" s="293" t="str">
        <f t="shared" si="2075"/>
        <v> </v>
      </c>
      <c r="F998" s="293" t="str">
        <f t="shared" si="2076"/>
        <v> </v>
      </c>
      <c r="G998" s="293" t="str">
        <f t="shared" si="2077"/>
        <v> </v>
      </c>
      <c r="H998" s="293" t="str">
        <f t="shared" ref="H998:I998" si="2087">TEXT(IF($B998=0," ",$B998+H$6),"hh:mm am/pm")</f>
        <v> </v>
      </c>
      <c r="I998" s="293" t="str">
        <f t="shared" si="2087"/>
        <v> </v>
      </c>
      <c r="J998" s="591"/>
      <c r="K998" s="381"/>
      <c r="L998" s="591"/>
      <c r="M998" s="592"/>
      <c r="N998" s="593"/>
      <c r="O998" s="594"/>
      <c r="P998" s="595"/>
      <c r="Q998" s="596"/>
      <c r="R998" s="596"/>
      <c r="S998" s="436"/>
      <c r="T998" s="601"/>
      <c r="U998" s="593"/>
      <c r="V998" s="593"/>
      <c r="W998" s="593"/>
      <c r="X998" s="598"/>
      <c r="Y998" s="599"/>
      <c r="Z998" s="593"/>
      <c r="AA998" s="600"/>
      <c r="AB998" s="600"/>
      <c r="AC998" s="601"/>
      <c r="AD998" s="601"/>
      <c r="AE998" s="597"/>
      <c r="AF998" s="598"/>
      <c r="AG998" s="602"/>
      <c r="AH998" s="602"/>
      <c r="AI998" s="602"/>
      <c r="AJ998" s="603"/>
      <c r="AK998" s="605"/>
      <c r="AL998" s="605"/>
      <c r="AM998" s="606"/>
      <c r="AN998" s="606"/>
      <c r="AO998" s="314" t="str">
        <f t="shared" si="2079"/>
        <v> </v>
      </c>
      <c r="AP998" s="315">
        <f t="shared" si="2080"/>
        <v>0</v>
      </c>
      <c r="AQ998" s="316" t="str">
        <f t="shared" si="2081"/>
        <v> </v>
      </c>
    </row>
    <row r="999" ht="29.25" customHeight="1" outlineLevel="1" spans="1:43">
      <c r="A999" s="291"/>
      <c r="B999" s="590"/>
      <c r="C999" s="293" t="str">
        <f t="shared" si="2073"/>
        <v> </v>
      </c>
      <c r="D999" s="293" t="str">
        <f t="shared" si="2074"/>
        <v> </v>
      </c>
      <c r="E999" s="293" t="str">
        <f t="shared" si="2075"/>
        <v> </v>
      </c>
      <c r="F999" s="293" t="str">
        <f t="shared" si="2076"/>
        <v> </v>
      </c>
      <c r="G999" s="293" t="str">
        <f t="shared" si="2077"/>
        <v> </v>
      </c>
      <c r="H999" s="293" t="str">
        <f t="shared" ref="H999:I999" si="2088">TEXT(IF($B999=0," ",$B999+H$6),"hh:mm am/pm")</f>
        <v> </v>
      </c>
      <c r="I999" s="293" t="str">
        <f t="shared" si="2088"/>
        <v> </v>
      </c>
      <c r="J999" s="591"/>
      <c r="K999" s="381"/>
      <c r="L999" s="591"/>
      <c r="M999" s="592"/>
      <c r="N999" s="593"/>
      <c r="O999" s="594"/>
      <c r="P999" s="595"/>
      <c r="Q999" s="596"/>
      <c r="R999" s="596"/>
      <c r="S999" s="436"/>
      <c r="T999" s="601"/>
      <c r="U999" s="593"/>
      <c r="V999" s="593"/>
      <c r="W999" s="593"/>
      <c r="X999" s="598"/>
      <c r="Y999" s="599"/>
      <c r="Z999" s="593"/>
      <c r="AA999" s="600"/>
      <c r="AB999" s="600"/>
      <c r="AC999" s="601"/>
      <c r="AD999" s="601"/>
      <c r="AE999" s="597"/>
      <c r="AF999" s="598"/>
      <c r="AG999" s="602"/>
      <c r="AH999" s="602"/>
      <c r="AI999" s="602"/>
      <c r="AJ999" s="603"/>
      <c r="AK999" s="604"/>
      <c r="AL999" s="605"/>
      <c r="AM999" s="606"/>
      <c r="AN999" s="606"/>
      <c r="AO999" s="314" t="str">
        <f t="shared" si="2079"/>
        <v> </v>
      </c>
      <c r="AP999" s="315">
        <f t="shared" si="2080"/>
        <v>0</v>
      </c>
      <c r="AQ999" s="316" t="str">
        <f t="shared" si="2081"/>
        <v> </v>
      </c>
    </row>
    <row r="1000" ht="29.25" customHeight="1" outlineLevel="1" spans="1:43">
      <c r="A1000" s="607">
        <v>46210</v>
      </c>
      <c r="B1000" s="608">
        <v>0.875</v>
      </c>
      <c r="C1000" s="293" t="str">
        <f t="shared" si="2073"/>
        <v>19:00 001/p1</v>
      </c>
      <c r="D1000" s="293" t="str">
        <f t="shared" si="2074"/>
        <v>17:00 001/p1</v>
      </c>
      <c r="E1000" s="293" t="str">
        <f t="shared" si="2075"/>
        <v>18:00 001/p1</v>
      </c>
      <c r="F1000" s="293" t="str">
        <f t="shared" si="2076"/>
        <v>19:00 001/p1</v>
      </c>
      <c r="G1000" s="293" t="str">
        <f t="shared" si="2077"/>
        <v>20:00 001/p1</v>
      </c>
      <c r="H1000" s="293" t="str">
        <f t="shared" ref="H1000:I1000" si="2089">TEXT(IF($B1000=0," ",$B1000+H$6),"hh:mm am/pm")</f>
        <v>03:00 001/p1</v>
      </c>
      <c r="I1000" s="293" t="str">
        <f t="shared" si="2089"/>
        <v>08:00 001/p1</v>
      </c>
      <c r="J1000" s="609" t="s">
        <v>292</v>
      </c>
      <c r="K1000" s="610"/>
      <c r="L1000" s="609" t="s">
        <v>292</v>
      </c>
      <c r="M1000" s="592" t="s">
        <v>196</v>
      </c>
      <c r="N1000" s="593" t="s">
        <v>57</v>
      </c>
      <c r="O1000" s="594" t="s">
        <v>74</v>
      </c>
      <c r="P1000" s="595" t="s">
        <v>59</v>
      </c>
      <c r="Q1000" s="596">
        <v>8500</v>
      </c>
      <c r="R1000" s="596" t="s">
        <v>60</v>
      </c>
      <c r="S1000" s="596"/>
      <c r="T1000" s="601">
        <v>0.1</v>
      </c>
      <c r="U1000" s="593" t="s">
        <v>62</v>
      </c>
      <c r="V1000" s="593">
        <v>50</v>
      </c>
      <c r="W1000" s="593">
        <v>50</v>
      </c>
      <c r="X1000" s="598">
        <v>50000</v>
      </c>
      <c r="Y1000" s="599" t="s">
        <v>79</v>
      </c>
      <c r="Z1000" s="593">
        <v>50</v>
      </c>
      <c r="AA1000" s="600">
        <v>120000</v>
      </c>
      <c r="AB1000" s="600" t="s">
        <v>293</v>
      </c>
      <c r="AC1000" s="601">
        <v>0.05</v>
      </c>
      <c r="AD1000" s="601">
        <v>0</v>
      </c>
      <c r="AE1000" s="597" t="s">
        <v>66</v>
      </c>
      <c r="AF1000" s="598">
        <v>40000</v>
      </c>
      <c r="AG1000" s="602">
        <v>8</v>
      </c>
      <c r="AH1000" s="602">
        <v>7</v>
      </c>
      <c r="AI1000" s="602">
        <v>7</v>
      </c>
      <c r="AJ1000" s="603">
        <v>15</v>
      </c>
      <c r="AK1000" s="605" t="s">
        <v>67</v>
      </c>
      <c r="AL1000" s="605" t="s">
        <v>68</v>
      </c>
      <c r="AM1000" s="611" t="s">
        <v>197</v>
      </c>
      <c r="AN1000" s="606" t="s">
        <v>170</v>
      </c>
      <c r="AO1000" s="314">
        <f t="shared" si="2079"/>
        <v>0.965277777777778</v>
      </c>
      <c r="AP1000" s="315">
        <f t="shared" si="2080"/>
        <v>179</v>
      </c>
      <c r="AQ1000" s="316" t="str">
        <f t="shared" si="2081"/>
        <v>MEDIUM</v>
      </c>
    </row>
    <row r="1001" ht="29.25" customHeight="1" outlineLevel="1" spans="1:43">
      <c r="A1001" s="607">
        <v>46215</v>
      </c>
      <c r="B1001" s="608">
        <v>0.833344907407407</v>
      </c>
      <c r="C1001" s="293" t="str">
        <f t="shared" si="2073"/>
        <v>18:00 001/p1</v>
      </c>
      <c r="D1001" s="293" t="str">
        <f t="shared" si="2074"/>
        <v>16:00 001/p1</v>
      </c>
      <c r="E1001" s="293" t="str">
        <f t="shared" si="2075"/>
        <v>17:00 001/p1</v>
      </c>
      <c r="F1001" s="293" t="str">
        <f t="shared" si="2076"/>
        <v>18:00 001/p1</v>
      </c>
      <c r="G1001" s="293" t="str">
        <f t="shared" si="2077"/>
        <v>19:00 001/p1</v>
      </c>
      <c r="H1001" s="293" t="str">
        <f t="shared" ref="H1001:I1001" si="2090">TEXT(IF($B1001=0," ",$B1001+H$6),"hh:mm am/pm")</f>
        <v>02:00 001/p1</v>
      </c>
      <c r="I1001" s="293" t="str">
        <f t="shared" si="2090"/>
        <v>07:00 001/p1</v>
      </c>
      <c r="J1001" s="609" t="s">
        <v>292</v>
      </c>
      <c r="K1001" s="610"/>
      <c r="L1001" s="609" t="s">
        <v>292</v>
      </c>
      <c r="M1001" s="592" t="s">
        <v>196</v>
      </c>
      <c r="N1001" s="593" t="s">
        <v>57</v>
      </c>
      <c r="O1001" s="594" t="s">
        <v>74</v>
      </c>
      <c r="P1001" s="595" t="s">
        <v>59</v>
      </c>
      <c r="Q1001" s="596">
        <v>17000</v>
      </c>
      <c r="R1001" s="596" t="s">
        <v>60</v>
      </c>
      <c r="S1001" s="596"/>
      <c r="T1001" s="601">
        <v>0.1</v>
      </c>
      <c r="U1001" s="593" t="s">
        <v>62</v>
      </c>
      <c r="V1001" s="593">
        <v>40</v>
      </c>
      <c r="W1001" s="593">
        <v>40</v>
      </c>
      <c r="X1001" s="598">
        <v>40000</v>
      </c>
      <c r="Y1001" s="599" t="s">
        <v>79</v>
      </c>
      <c r="Z1001" s="593">
        <v>60</v>
      </c>
      <c r="AA1001" s="600">
        <v>90000</v>
      </c>
      <c r="AB1001" s="600" t="s">
        <v>293</v>
      </c>
      <c r="AC1001" s="601">
        <v>0.05</v>
      </c>
      <c r="AD1001" s="601">
        <v>0</v>
      </c>
      <c r="AE1001" s="597" t="s">
        <v>66</v>
      </c>
      <c r="AF1001" s="598">
        <v>30000</v>
      </c>
      <c r="AG1001" s="602">
        <v>10</v>
      </c>
      <c r="AH1001" s="602">
        <v>8</v>
      </c>
      <c r="AI1001" s="602">
        <v>8</v>
      </c>
      <c r="AJ1001" s="603">
        <v>14</v>
      </c>
      <c r="AK1001" s="605" t="s">
        <v>67</v>
      </c>
      <c r="AL1001" s="605" t="s">
        <v>68</v>
      </c>
      <c r="AM1001" s="611" t="s">
        <v>197</v>
      </c>
      <c r="AN1001" s="606" t="s">
        <v>170</v>
      </c>
      <c r="AO1001" s="314">
        <f t="shared" si="2079"/>
        <v>0.937511574074074</v>
      </c>
      <c r="AP1001" s="315">
        <f t="shared" si="2080"/>
        <v>448</v>
      </c>
      <c r="AQ1001" s="316" t="str">
        <f t="shared" si="2081"/>
        <v>MEDIUM</v>
      </c>
    </row>
    <row r="1002" ht="29.25" customHeight="1" outlineLevel="1" spans="1:43">
      <c r="A1002" s="607">
        <v>46217</v>
      </c>
      <c r="B1002" s="608">
        <v>0.875</v>
      </c>
      <c r="C1002" s="293" t="str">
        <f t="shared" si="2073"/>
        <v>19:00 001/p1</v>
      </c>
      <c r="D1002" s="293" t="str">
        <f t="shared" si="2074"/>
        <v>17:00 001/p1</v>
      </c>
      <c r="E1002" s="293" t="str">
        <f t="shared" si="2075"/>
        <v>18:00 001/p1</v>
      </c>
      <c r="F1002" s="293" t="str">
        <f t="shared" si="2076"/>
        <v>19:00 001/p1</v>
      </c>
      <c r="G1002" s="293" t="str">
        <f t="shared" si="2077"/>
        <v>20:00 001/p1</v>
      </c>
      <c r="H1002" s="293" t="str">
        <f t="shared" ref="H1002:I1002" si="2091">TEXT(IF($B1002=0," ",$B1002+H$6),"hh:mm am/pm")</f>
        <v>03:00 001/p1</v>
      </c>
      <c r="I1002" s="293" t="str">
        <f t="shared" si="2091"/>
        <v>08:00 001/p1</v>
      </c>
      <c r="J1002" s="609" t="s">
        <v>219</v>
      </c>
      <c r="K1002" s="610"/>
      <c r="L1002" s="609" t="s">
        <v>219</v>
      </c>
      <c r="M1002" s="592" t="s">
        <v>196</v>
      </c>
      <c r="N1002" s="593" t="s">
        <v>57</v>
      </c>
      <c r="O1002" s="594" t="s">
        <v>74</v>
      </c>
      <c r="P1002" s="595" t="s">
        <v>256</v>
      </c>
      <c r="Q1002" s="596">
        <v>3400</v>
      </c>
      <c r="R1002" s="596" t="s">
        <v>60</v>
      </c>
      <c r="S1002" s="596"/>
      <c r="T1002" s="601">
        <v>0.1</v>
      </c>
      <c r="U1002" s="593" t="s">
        <v>62</v>
      </c>
      <c r="V1002" s="593">
        <v>30</v>
      </c>
      <c r="W1002" s="593">
        <v>30</v>
      </c>
      <c r="X1002" s="598">
        <v>50000</v>
      </c>
      <c r="Y1002" s="599" t="s">
        <v>79</v>
      </c>
      <c r="Z1002" s="593">
        <v>40</v>
      </c>
      <c r="AA1002" s="600">
        <v>120000</v>
      </c>
      <c r="AB1002" s="600" t="s">
        <v>293</v>
      </c>
      <c r="AC1002" s="601">
        <v>0.05</v>
      </c>
      <c r="AD1002" s="601">
        <v>0</v>
      </c>
      <c r="AE1002" s="597" t="s">
        <v>66</v>
      </c>
      <c r="AF1002" s="598">
        <v>40000</v>
      </c>
      <c r="AG1002" s="602">
        <v>8</v>
      </c>
      <c r="AH1002" s="602">
        <v>7</v>
      </c>
      <c r="AI1002" s="602">
        <v>7</v>
      </c>
      <c r="AJ1002" s="603">
        <v>15</v>
      </c>
      <c r="AK1002" s="605" t="s">
        <v>67</v>
      </c>
      <c r="AL1002" s="605" t="s">
        <v>68</v>
      </c>
      <c r="AM1002" s="611" t="s">
        <v>197</v>
      </c>
      <c r="AN1002" s="606" t="s">
        <v>170</v>
      </c>
      <c r="AO1002" s="314">
        <f t="shared" si="2079"/>
        <v>0.965277777777778</v>
      </c>
      <c r="AP1002" s="315">
        <f t="shared" si="2080"/>
        <v>120</v>
      </c>
      <c r="AQ1002" s="316" t="str">
        <f t="shared" si="2081"/>
        <v>MEDIUM</v>
      </c>
    </row>
    <row r="1003" ht="29.25" customHeight="1" outlineLevel="1" spans="1:43">
      <c r="A1003" s="607">
        <v>46221</v>
      </c>
      <c r="B1003" s="608">
        <v>0.875</v>
      </c>
      <c r="C1003" s="293" t="str">
        <f t="shared" si="2073"/>
        <v>19:00 001/p1</v>
      </c>
      <c r="D1003" s="293" t="str">
        <f t="shared" si="2074"/>
        <v>17:00 001/p1</v>
      </c>
      <c r="E1003" s="293" t="str">
        <f t="shared" si="2075"/>
        <v>18:00 001/p1</v>
      </c>
      <c r="F1003" s="293" t="str">
        <f t="shared" si="2076"/>
        <v>19:00 001/p1</v>
      </c>
      <c r="G1003" s="293" t="str">
        <f t="shared" si="2077"/>
        <v>20:00 001/p1</v>
      </c>
      <c r="H1003" s="293" t="str">
        <f t="shared" ref="H1003:I1003" si="2092">TEXT(IF($B1003=0," ",$B1003+H$6),"hh:mm am/pm")</f>
        <v>03:00 001/p1</v>
      </c>
      <c r="I1003" s="293" t="str">
        <f t="shared" si="2092"/>
        <v>08:00 001/p1</v>
      </c>
      <c r="J1003" s="609" t="s">
        <v>219</v>
      </c>
      <c r="K1003" s="610"/>
      <c r="L1003" s="609" t="s">
        <v>219</v>
      </c>
      <c r="M1003" s="592" t="s">
        <v>196</v>
      </c>
      <c r="N1003" s="593" t="s">
        <v>57</v>
      </c>
      <c r="O1003" s="594" t="s">
        <v>74</v>
      </c>
      <c r="P1003" s="595" t="s">
        <v>256</v>
      </c>
      <c r="Q1003" s="596">
        <v>5100</v>
      </c>
      <c r="R1003" s="596" t="s">
        <v>60</v>
      </c>
      <c r="S1003" s="596"/>
      <c r="T1003" s="601">
        <v>0.1</v>
      </c>
      <c r="U1003" s="593" t="s">
        <v>62</v>
      </c>
      <c r="V1003" s="593">
        <v>30</v>
      </c>
      <c r="W1003" s="593">
        <v>30</v>
      </c>
      <c r="X1003" s="598">
        <v>50000</v>
      </c>
      <c r="Y1003" s="599" t="s">
        <v>79</v>
      </c>
      <c r="Z1003" s="593">
        <v>40</v>
      </c>
      <c r="AA1003" s="600">
        <v>120000</v>
      </c>
      <c r="AB1003" s="600" t="s">
        <v>293</v>
      </c>
      <c r="AC1003" s="601">
        <v>0.05</v>
      </c>
      <c r="AD1003" s="601">
        <v>0</v>
      </c>
      <c r="AE1003" s="597" t="s">
        <v>66</v>
      </c>
      <c r="AF1003" s="598">
        <v>40000</v>
      </c>
      <c r="AG1003" s="602">
        <v>8</v>
      </c>
      <c r="AH1003" s="602">
        <v>7</v>
      </c>
      <c r="AI1003" s="602">
        <v>7</v>
      </c>
      <c r="AJ1003" s="603">
        <v>15</v>
      </c>
      <c r="AK1003" s="605" t="s">
        <v>67</v>
      </c>
      <c r="AL1003" s="605" t="s">
        <v>68</v>
      </c>
      <c r="AM1003" s="611" t="s">
        <v>197</v>
      </c>
      <c r="AN1003" s="606" t="s">
        <v>170</v>
      </c>
      <c r="AO1003" s="314">
        <f t="shared" si="2079"/>
        <v>0.965277777777778</v>
      </c>
      <c r="AP1003" s="315">
        <f t="shared" si="2080"/>
        <v>179</v>
      </c>
      <c r="AQ1003" s="316" t="str">
        <f t="shared" si="2081"/>
        <v>MEDIUM</v>
      </c>
    </row>
    <row r="1004" ht="29.25" customHeight="1" outlineLevel="1" spans="1:43">
      <c r="A1004" s="607">
        <v>46215</v>
      </c>
      <c r="B1004" s="608">
        <v>0.625011574074074</v>
      </c>
      <c r="C1004" s="293" t="str">
        <f t="shared" si="2073"/>
        <v>13:00 001/p1</v>
      </c>
      <c r="D1004" s="293" t="str">
        <f t="shared" si="2074"/>
        <v>11:00 001/p1</v>
      </c>
      <c r="E1004" s="293" t="str">
        <f t="shared" si="2075"/>
        <v>12:00 001/p1</v>
      </c>
      <c r="F1004" s="293" t="str">
        <f t="shared" si="2076"/>
        <v>13:00 001/p1</v>
      </c>
      <c r="G1004" s="293" t="str">
        <f t="shared" si="2077"/>
        <v>14:00 001/p1</v>
      </c>
      <c r="H1004" s="293" t="str">
        <f t="shared" ref="H1004:I1004" si="2093">TEXT(IF($B1004=0," ",$B1004+H$6),"hh:mm am/pm")</f>
        <v>21:00 001/p1</v>
      </c>
      <c r="I1004" s="293" t="str">
        <f t="shared" si="2093"/>
        <v>02:00 001/p1</v>
      </c>
      <c r="J1004" s="609" t="s">
        <v>441</v>
      </c>
      <c r="K1004" s="612"/>
      <c r="L1004" s="609" t="s">
        <v>382</v>
      </c>
      <c r="M1004" s="592" t="s">
        <v>56</v>
      </c>
      <c r="N1004" s="593" t="s">
        <v>57</v>
      </c>
      <c r="O1004" s="594" t="s">
        <v>82</v>
      </c>
      <c r="P1004" s="595" t="s">
        <v>59</v>
      </c>
      <c r="Q1004" s="596">
        <v>204400</v>
      </c>
      <c r="R1004" s="596" t="s">
        <v>442</v>
      </c>
      <c r="S1004" s="613"/>
      <c r="T1004" s="597" t="s">
        <v>92</v>
      </c>
      <c r="U1004" s="593" t="s">
        <v>62</v>
      </c>
      <c r="V1004" s="593">
        <v>110</v>
      </c>
      <c r="W1004" s="593">
        <v>110</v>
      </c>
      <c r="X1004" s="598">
        <v>60000</v>
      </c>
      <c r="Y1004" s="599" t="s">
        <v>63</v>
      </c>
      <c r="Z1004" s="593"/>
      <c r="AA1004" s="600" t="s">
        <v>64</v>
      </c>
      <c r="AB1004" s="600" t="s">
        <v>65</v>
      </c>
      <c r="AC1004" s="601">
        <v>0.1</v>
      </c>
      <c r="AD1004" s="601">
        <v>0.02</v>
      </c>
      <c r="AE1004" s="597" t="s">
        <v>66</v>
      </c>
      <c r="AF1004" s="598">
        <v>50000</v>
      </c>
      <c r="AG1004" s="602">
        <v>15</v>
      </c>
      <c r="AH1004" s="602">
        <v>12</v>
      </c>
      <c r="AI1004" s="602">
        <v>12</v>
      </c>
      <c r="AJ1004" s="603">
        <v>15</v>
      </c>
      <c r="AK1004" s="605" t="s">
        <v>67</v>
      </c>
      <c r="AL1004" s="605" t="s">
        <v>68</v>
      </c>
      <c r="AM1004" s="611" t="s">
        <v>69</v>
      </c>
      <c r="AN1004" s="606" t="s">
        <v>70</v>
      </c>
      <c r="AO1004" s="314">
        <f t="shared" si="2079"/>
        <v>0.791678240740741</v>
      </c>
      <c r="AP1004" s="315">
        <f t="shared" si="2080"/>
        <v>2112</v>
      </c>
      <c r="AQ1004" s="316" t="str">
        <f t="shared" si="2081"/>
        <v>HIGH</v>
      </c>
    </row>
    <row r="1005" ht="29.25" customHeight="1" outlineLevel="1" spans="1:43">
      <c r="A1005" s="607">
        <v>46215</v>
      </c>
      <c r="B1005" s="608">
        <v>0.583344907407407</v>
      </c>
      <c r="C1005" s="293" t="str">
        <f t="shared" si="2073"/>
        <v>12:00 001/p1</v>
      </c>
      <c r="D1005" s="293" t="str">
        <f t="shared" si="2074"/>
        <v>10:00 001/p1</v>
      </c>
      <c r="E1005" s="293" t="str">
        <f t="shared" si="2075"/>
        <v>11:00 001/p1</v>
      </c>
      <c r="F1005" s="293" t="str">
        <f t="shared" si="2076"/>
        <v>12:00 001/p1</v>
      </c>
      <c r="G1005" s="293" t="str">
        <f t="shared" si="2077"/>
        <v>13:00 001/p1</v>
      </c>
      <c r="H1005" s="293" t="str">
        <f t="shared" ref="H1005:I1005" si="2094">TEXT(IF($B1005=0," ",$B1005+H$6),"hh:mm am/pm")</f>
        <v>20:00 001/p1</v>
      </c>
      <c r="I1005" s="293" t="str">
        <f t="shared" si="2094"/>
        <v>01:00 001/p1</v>
      </c>
      <c r="J1005" s="609" t="s">
        <v>460</v>
      </c>
      <c r="K1005" s="612"/>
      <c r="L1005" s="609" t="s">
        <v>461</v>
      </c>
      <c r="M1005" s="592" t="s">
        <v>71</v>
      </c>
      <c r="N1005" s="593" t="s">
        <v>57</v>
      </c>
      <c r="O1005" s="594" t="s">
        <v>74</v>
      </c>
      <c r="P1005" s="595" t="s">
        <v>75</v>
      </c>
      <c r="Q1005" s="596">
        <v>21700</v>
      </c>
      <c r="R1005" s="596" t="s">
        <v>87</v>
      </c>
      <c r="S1005" s="613"/>
      <c r="T1005" s="597" t="s">
        <v>61</v>
      </c>
      <c r="U1005" s="593" t="s">
        <v>78</v>
      </c>
      <c r="V1005" s="593">
        <v>1</v>
      </c>
      <c r="W1005" s="593">
        <v>1</v>
      </c>
      <c r="X1005" s="598">
        <v>40000</v>
      </c>
      <c r="Y1005" s="599" t="s">
        <v>79</v>
      </c>
      <c r="Z1005" s="593">
        <v>3</v>
      </c>
      <c r="AA1005" s="600">
        <v>120000</v>
      </c>
      <c r="AB1005" s="600" t="s">
        <v>293</v>
      </c>
      <c r="AC1005" s="601">
        <v>0.1</v>
      </c>
      <c r="AD1005" s="601">
        <v>0.02</v>
      </c>
      <c r="AE1005" s="597" t="s">
        <v>66</v>
      </c>
      <c r="AF1005" s="598">
        <v>30000</v>
      </c>
      <c r="AG1005" s="602">
        <v>10</v>
      </c>
      <c r="AH1005" s="602">
        <v>8</v>
      </c>
      <c r="AI1005" s="602">
        <v>8</v>
      </c>
      <c r="AJ1005" s="603">
        <v>15</v>
      </c>
      <c r="AK1005" s="605" t="s">
        <v>67</v>
      </c>
      <c r="AL1005" s="605" t="s">
        <v>462</v>
      </c>
      <c r="AM1005" s="611" t="s">
        <v>69</v>
      </c>
      <c r="AN1005" s="606" t="s">
        <v>70</v>
      </c>
      <c r="AO1005" s="314">
        <f t="shared" si="2079"/>
        <v>0.694456018518518</v>
      </c>
      <c r="AP1005" s="315">
        <f t="shared" si="2080"/>
        <v>24660</v>
      </c>
      <c r="AQ1005" s="316" t="str">
        <f t="shared" si="2081"/>
        <v>MICRO</v>
      </c>
    </row>
    <row r="1006" ht="29.25" customHeight="1" outlineLevel="1" spans="1:43">
      <c r="A1006" s="607">
        <v>46229</v>
      </c>
      <c r="B1006" s="608">
        <v>0.625011574074074</v>
      </c>
      <c r="C1006" s="293" t="str">
        <f t="shared" si="2073"/>
        <v>13:00 001/p1</v>
      </c>
      <c r="D1006" s="293" t="str">
        <f t="shared" si="2074"/>
        <v>11:00 001/p1</v>
      </c>
      <c r="E1006" s="293" t="str">
        <f t="shared" si="2075"/>
        <v>12:00 001/p1</v>
      </c>
      <c r="F1006" s="293" t="str">
        <f t="shared" si="2076"/>
        <v>13:00 001/p1</v>
      </c>
      <c r="G1006" s="293" t="str">
        <f t="shared" si="2077"/>
        <v>14:00 001/p1</v>
      </c>
      <c r="H1006" s="293" t="str">
        <f t="shared" ref="H1006:I1006" si="2095">TEXT(IF($B1006=0," ",$B1006+H$6),"hh:mm am/pm")</f>
        <v>21:00 001/p1</v>
      </c>
      <c r="I1006" s="293" t="str">
        <f t="shared" si="2095"/>
        <v>02:00 001/p1</v>
      </c>
      <c r="J1006" s="609" t="s">
        <v>491</v>
      </c>
      <c r="K1006" s="612"/>
      <c r="L1006" s="609" t="s">
        <v>492</v>
      </c>
      <c r="M1006" s="592" t="s">
        <v>56</v>
      </c>
      <c r="N1006" s="593" t="s">
        <v>57</v>
      </c>
      <c r="O1006" s="594" t="s">
        <v>82</v>
      </c>
      <c r="P1006" s="595" t="s">
        <v>59</v>
      </c>
      <c r="Q1006" s="596">
        <v>101700</v>
      </c>
      <c r="R1006" s="596" t="s">
        <v>493</v>
      </c>
      <c r="S1006" s="613"/>
      <c r="T1006" s="597" t="s">
        <v>92</v>
      </c>
      <c r="U1006" s="593" t="s">
        <v>62</v>
      </c>
      <c r="V1006" s="593">
        <v>30</v>
      </c>
      <c r="W1006" s="593">
        <v>30</v>
      </c>
      <c r="X1006" s="598">
        <v>60000</v>
      </c>
      <c r="Y1006" s="599" t="s">
        <v>63</v>
      </c>
      <c r="Z1006" s="593"/>
      <c r="AA1006" s="600" t="s">
        <v>64</v>
      </c>
      <c r="AB1006" s="600" t="s">
        <v>65</v>
      </c>
      <c r="AC1006" s="601">
        <v>0.1</v>
      </c>
      <c r="AD1006" s="601">
        <v>0.02</v>
      </c>
      <c r="AE1006" s="597" t="s">
        <v>66</v>
      </c>
      <c r="AF1006" s="598">
        <v>50000</v>
      </c>
      <c r="AG1006" s="602">
        <v>15</v>
      </c>
      <c r="AH1006" s="602">
        <v>12</v>
      </c>
      <c r="AI1006" s="602">
        <v>12</v>
      </c>
      <c r="AJ1006" s="603">
        <v>15</v>
      </c>
      <c r="AK1006" s="605" t="s">
        <v>67</v>
      </c>
      <c r="AL1006" s="605" t="s">
        <v>68</v>
      </c>
      <c r="AM1006" s="611" t="s">
        <v>69</v>
      </c>
      <c r="AN1006" s="606" t="s">
        <v>70</v>
      </c>
      <c r="AO1006" s="314">
        <f t="shared" si="2079"/>
        <v>0.791678240740741</v>
      </c>
      <c r="AP1006" s="315">
        <f t="shared" si="2080"/>
        <v>3853</v>
      </c>
      <c r="AQ1006" s="316" t="str">
        <f t="shared" si="2081"/>
        <v>MEDIUM</v>
      </c>
    </row>
    <row r="1007" ht="29.25" customHeight="1" outlineLevel="1" spans="1:43">
      <c r="A1007" s="607"/>
      <c r="B1007" s="608"/>
      <c r="C1007" s="293" t="str">
        <f t="shared" si="2073"/>
        <v> </v>
      </c>
      <c r="D1007" s="293" t="str">
        <f t="shared" si="2074"/>
        <v> </v>
      </c>
      <c r="E1007" s="293" t="str">
        <f t="shared" si="2075"/>
        <v> </v>
      </c>
      <c r="F1007" s="293" t="str">
        <f t="shared" si="2076"/>
        <v> </v>
      </c>
      <c r="G1007" s="293" t="str">
        <f t="shared" si="2077"/>
        <v> </v>
      </c>
      <c r="H1007" s="293" t="str">
        <f t="shared" ref="H1007:I1007" si="2096">TEXT(IF($B1007=0," ",$B1007+H$6),"hh:mm am/pm")</f>
        <v> </v>
      </c>
      <c r="I1007" s="293" t="str">
        <f t="shared" si="2096"/>
        <v> </v>
      </c>
      <c r="J1007" s="609"/>
      <c r="K1007" s="612"/>
      <c r="L1007" s="609"/>
      <c r="M1007" s="592"/>
      <c r="N1007" s="593"/>
      <c r="O1007" s="594"/>
      <c r="P1007" s="595"/>
      <c r="Q1007" s="596"/>
      <c r="R1007" s="596"/>
      <c r="S1007" s="613"/>
      <c r="T1007" s="597"/>
      <c r="U1007" s="593"/>
      <c r="V1007" s="593"/>
      <c r="W1007" s="593"/>
      <c r="X1007" s="598"/>
      <c r="Y1007" s="599"/>
      <c r="Z1007" s="593"/>
      <c r="AA1007" s="600"/>
      <c r="AB1007" s="600"/>
      <c r="AC1007" s="601"/>
      <c r="AD1007" s="601"/>
      <c r="AE1007" s="597"/>
      <c r="AF1007" s="598"/>
      <c r="AG1007" s="602"/>
      <c r="AH1007" s="602"/>
      <c r="AI1007" s="602"/>
      <c r="AJ1007" s="603"/>
      <c r="AK1007" s="605"/>
      <c r="AL1007" s="605"/>
      <c r="AM1007" s="611"/>
      <c r="AN1007" s="606"/>
      <c r="AO1007" s="314" t="str">
        <f t="shared" si="2079"/>
        <v> </v>
      </c>
      <c r="AP1007" s="315">
        <f t="shared" si="2080"/>
        <v>0</v>
      </c>
      <c r="AQ1007" s="316" t="str">
        <f t="shared" si="2081"/>
        <v> </v>
      </c>
    </row>
    <row r="1008" ht="29.25" customHeight="1" outlineLevel="1" spans="1:43">
      <c r="A1008" s="607"/>
      <c r="B1008" s="608"/>
      <c r="C1008" s="293" t="str">
        <f t="shared" si="2073"/>
        <v> </v>
      </c>
      <c r="D1008" s="293" t="str">
        <f t="shared" si="2074"/>
        <v> </v>
      </c>
      <c r="E1008" s="293" t="str">
        <f t="shared" si="2075"/>
        <v> </v>
      </c>
      <c r="F1008" s="293" t="str">
        <f t="shared" si="2076"/>
        <v> </v>
      </c>
      <c r="G1008" s="293" t="str">
        <f t="shared" si="2077"/>
        <v> </v>
      </c>
      <c r="H1008" s="293" t="str">
        <f t="shared" ref="H1008:I1008" si="2097">TEXT(IF($B1008=0," ",$B1008+H$6),"hh:mm am/pm")</f>
        <v> </v>
      </c>
      <c r="I1008" s="293" t="str">
        <f t="shared" si="2097"/>
        <v> </v>
      </c>
      <c r="J1008" s="609"/>
      <c r="K1008" s="612"/>
      <c r="L1008" s="609"/>
      <c r="M1008" s="592"/>
      <c r="N1008" s="593"/>
      <c r="O1008" s="594"/>
      <c r="P1008" s="595"/>
      <c r="Q1008" s="596"/>
      <c r="R1008" s="596"/>
      <c r="S1008" s="613"/>
      <c r="T1008" s="597"/>
      <c r="U1008" s="593"/>
      <c r="V1008" s="593"/>
      <c r="W1008" s="593"/>
      <c r="X1008" s="598"/>
      <c r="Y1008" s="599"/>
      <c r="Z1008" s="593"/>
      <c r="AA1008" s="600"/>
      <c r="AB1008" s="600"/>
      <c r="AC1008" s="601"/>
      <c r="AD1008" s="601"/>
      <c r="AE1008" s="597"/>
      <c r="AF1008" s="598"/>
      <c r="AG1008" s="602"/>
      <c r="AH1008" s="602"/>
      <c r="AI1008" s="602"/>
      <c r="AJ1008" s="603"/>
      <c r="AK1008" s="605"/>
      <c r="AL1008" s="605"/>
      <c r="AM1008" s="611"/>
      <c r="AN1008" s="606"/>
      <c r="AO1008" s="314" t="str">
        <f t="shared" si="2079"/>
        <v> </v>
      </c>
      <c r="AP1008" s="315">
        <f t="shared" si="2080"/>
        <v>0</v>
      </c>
      <c r="AQ1008" s="316" t="str">
        <f t="shared" si="2081"/>
        <v> </v>
      </c>
    </row>
    <row r="1009" ht="29.25" customHeight="1" outlineLevel="1" spans="1:43">
      <c r="A1009" s="607"/>
      <c r="B1009" s="608"/>
      <c r="C1009" s="293" t="str">
        <f t="shared" si="2073"/>
        <v> </v>
      </c>
      <c r="D1009" s="293" t="str">
        <f t="shared" si="2074"/>
        <v> </v>
      </c>
      <c r="E1009" s="293" t="str">
        <f t="shared" si="2075"/>
        <v> </v>
      </c>
      <c r="F1009" s="293" t="str">
        <f t="shared" si="2076"/>
        <v> </v>
      </c>
      <c r="G1009" s="293" t="str">
        <f t="shared" si="2077"/>
        <v> </v>
      </c>
      <c r="H1009" s="293" t="str">
        <f t="shared" ref="H1009:I1009" si="2098">TEXT(IF($B1009=0," ",$B1009+H$6),"hh:mm am/pm")</f>
        <v> </v>
      </c>
      <c r="I1009" s="293" t="str">
        <f t="shared" si="2098"/>
        <v> </v>
      </c>
      <c r="J1009" s="609"/>
      <c r="K1009" s="612"/>
      <c r="L1009" s="609"/>
      <c r="M1009" s="592"/>
      <c r="N1009" s="593"/>
      <c r="O1009" s="594"/>
      <c r="P1009" s="595"/>
      <c r="Q1009" s="596"/>
      <c r="R1009" s="596"/>
      <c r="S1009" s="613"/>
      <c r="T1009" s="597"/>
      <c r="U1009" s="593"/>
      <c r="V1009" s="593"/>
      <c r="W1009" s="593"/>
      <c r="X1009" s="598"/>
      <c r="Y1009" s="599"/>
      <c r="Z1009" s="593"/>
      <c r="AA1009" s="600"/>
      <c r="AB1009" s="600"/>
      <c r="AC1009" s="601"/>
      <c r="AD1009" s="601"/>
      <c r="AE1009" s="597"/>
      <c r="AF1009" s="598"/>
      <c r="AG1009" s="602"/>
      <c r="AH1009" s="602"/>
      <c r="AI1009" s="602"/>
      <c r="AJ1009" s="603"/>
      <c r="AK1009" s="605"/>
      <c r="AL1009" s="605"/>
      <c r="AM1009" s="611"/>
      <c r="AN1009" s="606"/>
      <c r="AO1009" s="314" t="str">
        <f t="shared" si="2079"/>
        <v> </v>
      </c>
      <c r="AP1009" s="315">
        <f t="shared" si="2080"/>
        <v>0</v>
      </c>
      <c r="AQ1009" s="316" t="str">
        <f t="shared" si="2081"/>
        <v> </v>
      </c>
    </row>
    <row r="1010" ht="29.25" customHeight="1" outlineLevel="1" spans="1:43">
      <c r="A1010" s="607">
        <v>46222</v>
      </c>
      <c r="B1010" s="608">
        <v>0.833344907407407</v>
      </c>
      <c r="C1010" s="293" t="str">
        <f t="shared" si="2073"/>
        <v>18:00 001/p1</v>
      </c>
      <c r="D1010" s="293" t="str">
        <f t="shared" si="2074"/>
        <v>16:00 001/p1</v>
      </c>
      <c r="E1010" s="293" t="str">
        <f t="shared" si="2075"/>
        <v>17:00 001/p1</v>
      </c>
      <c r="F1010" s="293" t="str">
        <f t="shared" si="2076"/>
        <v>18:00 001/p1</v>
      </c>
      <c r="G1010" s="293" t="str">
        <f t="shared" si="2077"/>
        <v>19:00 001/p1</v>
      </c>
      <c r="H1010" s="293" t="str">
        <f t="shared" ref="H1010:I1010" si="2099">TEXT(IF($B1010=0," ",$B1010+H$6),"hh:mm am/pm")</f>
        <v>02:00 001/p1</v>
      </c>
      <c r="I1010" s="293" t="str">
        <f t="shared" si="2099"/>
        <v>07:00 001/p1</v>
      </c>
      <c r="J1010" s="609" t="s">
        <v>215</v>
      </c>
      <c r="K1010" s="612"/>
      <c r="L1010" s="609" t="s">
        <v>215</v>
      </c>
      <c r="M1010" s="592" t="s">
        <v>196</v>
      </c>
      <c r="N1010" s="593" t="s">
        <v>57</v>
      </c>
      <c r="O1010" s="594" t="s">
        <v>74</v>
      </c>
      <c r="P1010" s="595" t="s">
        <v>59</v>
      </c>
      <c r="Q1010" s="596">
        <v>6000</v>
      </c>
      <c r="R1010" s="596" t="s">
        <v>60</v>
      </c>
      <c r="S1010" s="613"/>
      <c r="T1010" s="601">
        <v>0.1</v>
      </c>
      <c r="U1010" s="593" t="s">
        <v>62</v>
      </c>
      <c r="V1010" s="593">
        <v>15</v>
      </c>
      <c r="W1010" s="593">
        <v>15</v>
      </c>
      <c r="X1010" s="598">
        <v>50000</v>
      </c>
      <c r="Y1010" s="599" t="s">
        <v>79</v>
      </c>
      <c r="Z1010" s="593">
        <v>15</v>
      </c>
      <c r="AA1010" s="600">
        <v>120000</v>
      </c>
      <c r="AB1010" s="600" t="s">
        <v>65</v>
      </c>
      <c r="AC1010" s="601">
        <v>0.05</v>
      </c>
      <c r="AD1010" s="601">
        <v>0</v>
      </c>
      <c r="AE1010" s="597" t="s">
        <v>66</v>
      </c>
      <c r="AF1010" s="598">
        <v>40000</v>
      </c>
      <c r="AG1010" s="602">
        <v>8</v>
      </c>
      <c r="AH1010" s="602">
        <v>6</v>
      </c>
      <c r="AI1010" s="602">
        <v>6</v>
      </c>
      <c r="AJ1010" s="603">
        <v>15</v>
      </c>
      <c r="AK1010" s="605" t="s">
        <v>67</v>
      </c>
      <c r="AL1010" s="605" t="s">
        <v>68</v>
      </c>
      <c r="AM1010" s="611" t="s">
        <v>197</v>
      </c>
      <c r="AN1010" s="606" t="s">
        <v>198</v>
      </c>
      <c r="AO1010" s="314">
        <f t="shared" si="2079"/>
        <v>0.923622685185185</v>
      </c>
      <c r="AP1010" s="315">
        <f t="shared" si="2080"/>
        <v>422</v>
      </c>
      <c r="AQ1010" s="316" t="str">
        <f t="shared" si="2081"/>
        <v>LOW</v>
      </c>
    </row>
    <row r="1011" ht="29.25" customHeight="1" outlineLevel="1" spans="1:43">
      <c r="A1011" s="607">
        <v>46250</v>
      </c>
      <c r="B1011" s="608">
        <v>0.625011574074074</v>
      </c>
      <c r="C1011" s="293" t="str">
        <f t="shared" si="2073"/>
        <v>13:00 001/p1</v>
      </c>
      <c r="D1011" s="293" t="str">
        <f t="shared" si="2074"/>
        <v>11:00 001/p1</v>
      </c>
      <c r="E1011" s="293" t="str">
        <f t="shared" si="2075"/>
        <v>12:00 001/p1</v>
      </c>
      <c r="F1011" s="293" t="str">
        <f t="shared" si="2076"/>
        <v>13:00 001/p1</v>
      </c>
      <c r="G1011" s="293" t="str">
        <f t="shared" si="2077"/>
        <v>14:00 001/p1</v>
      </c>
      <c r="H1011" s="293" t="str">
        <f t="shared" ref="H1011:I1011" si="2100">TEXT(IF($B1011=0," ",$B1011+H$6),"hh:mm am/pm")</f>
        <v>21:00 001/p1</v>
      </c>
      <c r="I1011" s="293" t="str">
        <f t="shared" si="2100"/>
        <v>02:00 001/p1</v>
      </c>
      <c r="J1011" s="609" t="s">
        <v>494</v>
      </c>
      <c r="K1011" s="612"/>
      <c r="L1011" s="609" t="s">
        <v>217</v>
      </c>
      <c r="M1011" s="592" t="s">
        <v>56</v>
      </c>
      <c r="N1011" s="593" t="s">
        <v>57</v>
      </c>
      <c r="O1011" s="594" t="s">
        <v>82</v>
      </c>
      <c r="P1011" s="595" t="s">
        <v>75</v>
      </c>
      <c r="Q1011" s="596">
        <v>1000000</v>
      </c>
      <c r="R1011" s="596" t="s">
        <v>495</v>
      </c>
      <c r="S1011" s="613"/>
      <c r="T1011" s="597" t="s">
        <v>92</v>
      </c>
      <c r="U1011" s="593" t="s">
        <v>62</v>
      </c>
      <c r="V1011" s="593">
        <v>200</v>
      </c>
      <c r="W1011" s="593">
        <v>200</v>
      </c>
      <c r="X1011" s="598">
        <v>60000</v>
      </c>
      <c r="Y1011" s="599" t="s">
        <v>63</v>
      </c>
      <c r="Z1011" s="593"/>
      <c r="AA1011" s="600" t="s">
        <v>64</v>
      </c>
      <c r="AB1011" s="600" t="s">
        <v>293</v>
      </c>
      <c r="AC1011" s="601">
        <v>0.08</v>
      </c>
      <c r="AD1011" s="601">
        <v>0.02</v>
      </c>
      <c r="AE1011" s="597" t="s">
        <v>66</v>
      </c>
      <c r="AF1011" s="598">
        <v>50000</v>
      </c>
      <c r="AG1011" s="602">
        <v>20</v>
      </c>
      <c r="AH1011" s="602">
        <v>15</v>
      </c>
      <c r="AI1011" s="602">
        <v>15</v>
      </c>
      <c r="AJ1011" s="603">
        <v>14</v>
      </c>
      <c r="AK1011" s="605" t="s">
        <v>67</v>
      </c>
      <c r="AL1011" s="605" t="s">
        <v>68</v>
      </c>
      <c r="AM1011" s="611" t="s">
        <v>69</v>
      </c>
      <c r="AN1011" s="606" t="s">
        <v>496</v>
      </c>
      <c r="AO1011" s="314">
        <f t="shared" si="2079"/>
        <v>0.833344907407407</v>
      </c>
      <c r="AP1011" s="315">
        <f t="shared" si="2080"/>
        <v>5556</v>
      </c>
      <c r="AQ1011" s="316" t="str">
        <f t="shared" si="2081"/>
        <v>HIGH</v>
      </c>
    </row>
    <row r="1012" ht="29.25" customHeight="1" outlineLevel="1" spans="1:43">
      <c r="A1012" s="607"/>
      <c r="B1012" s="590"/>
      <c r="C1012" s="293" t="str">
        <f t="shared" si="2073"/>
        <v> </v>
      </c>
      <c r="D1012" s="293" t="str">
        <f t="shared" si="2074"/>
        <v> </v>
      </c>
      <c r="E1012" s="293" t="str">
        <f t="shared" si="2075"/>
        <v> </v>
      </c>
      <c r="F1012" s="293" t="str">
        <f t="shared" si="2076"/>
        <v> </v>
      </c>
      <c r="G1012" s="293" t="str">
        <f t="shared" si="2077"/>
        <v> </v>
      </c>
      <c r="H1012" s="293" t="str">
        <f t="shared" ref="H1012:I1012" si="2101">TEXT(IF($B1012=0," ",$B1012+H$6),"hh:mm am/pm")</f>
        <v> </v>
      </c>
      <c r="I1012" s="293" t="str">
        <f t="shared" si="2101"/>
        <v> </v>
      </c>
      <c r="J1012" s="609"/>
      <c r="K1012" s="612"/>
      <c r="L1012" s="609"/>
      <c r="M1012" s="592"/>
      <c r="N1012" s="593"/>
      <c r="O1012" s="594"/>
      <c r="P1012" s="595"/>
      <c r="Q1012" s="596"/>
      <c r="R1012" s="596"/>
      <c r="S1012" s="613"/>
      <c r="T1012" s="597"/>
      <c r="U1012" s="593"/>
      <c r="V1012" s="593"/>
      <c r="W1012" s="593"/>
      <c r="X1012" s="598"/>
      <c r="Y1012" s="599"/>
      <c r="Z1012" s="593"/>
      <c r="AA1012" s="600"/>
      <c r="AB1012" s="600"/>
      <c r="AC1012" s="601"/>
      <c r="AD1012" s="601"/>
      <c r="AE1012" s="597"/>
      <c r="AF1012" s="598"/>
      <c r="AG1012" s="602"/>
      <c r="AH1012" s="602"/>
      <c r="AI1012" s="602"/>
      <c r="AJ1012" s="603"/>
      <c r="AK1012" s="605"/>
      <c r="AL1012" s="605"/>
      <c r="AM1012" s="611"/>
      <c r="AN1012" s="606"/>
      <c r="AO1012" s="314" t="str">
        <f t="shared" si="2079"/>
        <v> </v>
      </c>
      <c r="AP1012" s="315">
        <f t="shared" si="2080"/>
        <v>0</v>
      </c>
      <c r="AQ1012" s="316" t="str">
        <f t="shared" si="2081"/>
        <v> </v>
      </c>
    </row>
    <row r="1013" ht="29.25" customHeight="1" outlineLevel="1" spans="1:43">
      <c r="A1013" s="607"/>
      <c r="B1013" s="608"/>
      <c r="C1013" s="293" t="str">
        <f t="shared" si="2073"/>
        <v> </v>
      </c>
      <c r="D1013" s="293" t="str">
        <f t="shared" si="2074"/>
        <v> </v>
      </c>
      <c r="E1013" s="293" t="str">
        <f t="shared" si="2075"/>
        <v> </v>
      </c>
      <c r="F1013" s="293" t="str">
        <f t="shared" si="2076"/>
        <v> </v>
      </c>
      <c r="G1013" s="293" t="str">
        <f t="shared" si="2077"/>
        <v> </v>
      </c>
      <c r="H1013" s="293" t="str">
        <f t="shared" ref="H1013:I1013" si="2102">TEXT(IF($B1013=0," ",$B1013+H$6),"hh:mm am/pm")</f>
        <v> </v>
      </c>
      <c r="I1013" s="293" t="str">
        <f t="shared" si="2102"/>
        <v> </v>
      </c>
      <c r="J1013" s="609"/>
      <c r="K1013" s="612"/>
      <c r="L1013" s="609"/>
      <c r="M1013" s="592"/>
      <c r="N1013" s="593"/>
      <c r="O1013" s="594"/>
      <c r="P1013" s="595"/>
      <c r="Q1013" s="596"/>
      <c r="R1013" s="596"/>
      <c r="S1013" s="613"/>
      <c r="T1013" s="597"/>
      <c r="U1013" s="593"/>
      <c r="V1013" s="593"/>
      <c r="W1013" s="593"/>
      <c r="X1013" s="598"/>
      <c r="Y1013" s="599"/>
      <c r="Z1013" s="593"/>
      <c r="AA1013" s="600"/>
      <c r="AB1013" s="600"/>
      <c r="AC1013" s="601"/>
      <c r="AD1013" s="601"/>
      <c r="AE1013" s="597"/>
      <c r="AF1013" s="598"/>
      <c r="AG1013" s="602"/>
      <c r="AH1013" s="602"/>
      <c r="AI1013" s="602"/>
      <c r="AJ1013" s="603"/>
      <c r="AK1013" s="605"/>
      <c r="AL1013" s="605"/>
      <c r="AM1013" s="611"/>
      <c r="AN1013" s="606"/>
      <c r="AO1013" s="314" t="str">
        <f t="shared" si="2079"/>
        <v> </v>
      </c>
      <c r="AP1013" s="315">
        <f t="shared" si="2080"/>
        <v>0</v>
      </c>
      <c r="AQ1013" s="316" t="str">
        <f t="shared" si="2081"/>
        <v> </v>
      </c>
    </row>
    <row r="1014" ht="29.25" customHeight="1" outlineLevel="1" spans="1:43">
      <c r="A1014" s="607"/>
      <c r="B1014" s="608"/>
      <c r="C1014" s="293" t="str">
        <f t="shared" si="2073"/>
        <v> </v>
      </c>
      <c r="D1014" s="293" t="str">
        <f t="shared" si="2074"/>
        <v> </v>
      </c>
      <c r="E1014" s="293" t="str">
        <f t="shared" si="2075"/>
        <v> </v>
      </c>
      <c r="F1014" s="293" t="str">
        <f t="shared" si="2076"/>
        <v> </v>
      </c>
      <c r="G1014" s="293" t="str">
        <f t="shared" si="2077"/>
        <v> </v>
      </c>
      <c r="H1014" s="293" t="str">
        <f t="shared" ref="H1014:I1014" si="2103">TEXT(IF($B1014=0," ",$B1014+H$6),"hh:mm am/pm")</f>
        <v> </v>
      </c>
      <c r="I1014" s="293" t="str">
        <f t="shared" si="2103"/>
        <v> </v>
      </c>
      <c r="J1014" s="609"/>
      <c r="K1014" s="612"/>
      <c r="L1014" s="609"/>
      <c r="M1014" s="592"/>
      <c r="N1014" s="593"/>
      <c r="O1014" s="594"/>
      <c r="P1014" s="595"/>
      <c r="Q1014" s="596"/>
      <c r="R1014" s="596"/>
      <c r="S1014" s="613"/>
      <c r="T1014" s="597"/>
      <c r="U1014" s="593"/>
      <c r="V1014" s="593"/>
      <c r="W1014" s="593"/>
      <c r="X1014" s="598"/>
      <c r="Y1014" s="599"/>
      <c r="Z1014" s="593"/>
      <c r="AA1014" s="600"/>
      <c r="AB1014" s="600"/>
      <c r="AC1014" s="601"/>
      <c r="AD1014" s="601"/>
      <c r="AE1014" s="597"/>
      <c r="AF1014" s="598"/>
      <c r="AG1014" s="602"/>
      <c r="AH1014" s="602"/>
      <c r="AI1014" s="602"/>
      <c r="AJ1014" s="603"/>
      <c r="AK1014" s="605"/>
      <c r="AL1014" s="605"/>
      <c r="AM1014" s="611"/>
      <c r="AN1014" s="606"/>
      <c r="AO1014" s="314" t="str">
        <f t="shared" si="2079"/>
        <v> </v>
      </c>
      <c r="AP1014" s="315">
        <f t="shared" si="2080"/>
        <v>0</v>
      </c>
      <c r="AQ1014" s="316" t="str">
        <f t="shared" si="2081"/>
        <v> </v>
      </c>
    </row>
    <row r="1015" ht="29.25" customHeight="1" outlineLevel="1" spans="1:43">
      <c r="A1015" s="607"/>
      <c r="B1015" s="608"/>
      <c r="C1015" s="293" t="str">
        <f t="shared" si="2073"/>
        <v> </v>
      </c>
      <c r="D1015" s="293" t="str">
        <f t="shared" si="2074"/>
        <v> </v>
      </c>
      <c r="E1015" s="293" t="str">
        <f t="shared" si="2075"/>
        <v> </v>
      </c>
      <c r="F1015" s="293" t="str">
        <f t="shared" si="2076"/>
        <v> </v>
      </c>
      <c r="G1015" s="293" t="str">
        <f t="shared" si="2077"/>
        <v> </v>
      </c>
      <c r="H1015" s="293" t="str">
        <f t="shared" ref="H1015:I1015" si="2104">TEXT(IF($B1015=0," ",$B1015+H$6),"hh:mm am/pm")</f>
        <v> </v>
      </c>
      <c r="I1015" s="293" t="str">
        <f t="shared" si="2104"/>
        <v> </v>
      </c>
      <c r="J1015" s="609"/>
      <c r="K1015" s="612"/>
      <c r="L1015" s="609"/>
      <c r="M1015" s="592"/>
      <c r="N1015" s="593"/>
      <c r="O1015" s="594"/>
      <c r="P1015" s="595"/>
      <c r="Q1015" s="596"/>
      <c r="R1015" s="596"/>
      <c r="S1015" s="613"/>
      <c r="T1015" s="597"/>
      <c r="U1015" s="593"/>
      <c r="V1015" s="593"/>
      <c r="W1015" s="593"/>
      <c r="X1015" s="598"/>
      <c r="Y1015" s="599"/>
      <c r="Z1015" s="593"/>
      <c r="AA1015" s="600"/>
      <c r="AB1015" s="600"/>
      <c r="AC1015" s="601"/>
      <c r="AD1015" s="601"/>
      <c r="AE1015" s="597"/>
      <c r="AF1015" s="598"/>
      <c r="AG1015" s="602"/>
      <c r="AH1015" s="602"/>
      <c r="AI1015" s="602"/>
      <c r="AJ1015" s="603"/>
      <c r="AK1015" s="605"/>
      <c r="AL1015" s="605"/>
      <c r="AM1015" s="611"/>
      <c r="AN1015" s="606"/>
      <c r="AO1015" s="314" t="str">
        <f t="shared" si="2079"/>
        <v> </v>
      </c>
      <c r="AP1015" s="315">
        <f t="shared" si="2080"/>
        <v>0</v>
      </c>
      <c r="AQ1015" s="316" t="str">
        <f t="shared" si="2081"/>
        <v> </v>
      </c>
    </row>
    <row r="1016" ht="29.25" customHeight="1" outlineLevel="1" spans="1:43">
      <c r="A1016" s="607"/>
      <c r="B1016" s="608"/>
      <c r="C1016" s="293" t="str">
        <f t="shared" si="2073"/>
        <v> </v>
      </c>
      <c r="D1016" s="293" t="str">
        <f t="shared" si="2074"/>
        <v> </v>
      </c>
      <c r="E1016" s="293" t="str">
        <f t="shared" si="2075"/>
        <v> </v>
      </c>
      <c r="F1016" s="293" t="str">
        <f t="shared" si="2076"/>
        <v> </v>
      </c>
      <c r="G1016" s="293" t="str">
        <f t="shared" si="2077"/>
        <v> </v>
      </c>
      <c r="H1016" s="293" t="str">
        <f t="shared" ref="H1016:I1016" si="2105">TEXT(IF($B1016=0," ",$B1016+H$6),"hh:mm am/pm")</f>
        <v> </v>
      </c>
      <c r="I1016" s="293" t="str">
        <f t="shared" si="2105"/>
        <v> </v>
      </c>
      <c r="J1016" s="609"/>
      <c r="K1016" s="612"/>
      <c r="L1016" s="609"/>
      <c r="M1016" s="592"/>
      <c r="N1016" s="593"/>
      <c r="O1016" s="594"/>
      <c r="P1016" s="595"/>
      <c r="Q1016" s="596"/>
      <c r="R1016" s="596"/>
      <c r="S1016" s="613"/>
      <c r="T1016" s="597"/>
      <c r="U1016" s="593"/>
      <c r="V1016" s="593"/>
      <c r="W1016" s="593"/>
      <c r="X1016" s="598"/>
      <c r="Y1016" s="599"/>
      <c r="Z1016" s="593"/>
      <c r="AA1016" s="600"/>
      <c r="AB1016" s="600"/>
      <c r="AC1016" s="601"/>
      <c r="AD1016" s="601"/>
      <c r="AE1016" s="597"/>
      <c r="AF1016" s="598"/>
      <c r="AG1016" s="602"/>
      <c r="AH1016" s="602"/>
      <c r="AI1016" s="602"/>
      <c r="AJ1016" s="603"/>
      <c r="AK1016" s="605"/>
      <c r="AL1016" s="605"/>
      <c r="AM1016" s="611"/>
      <c r="AN1016" s="606"/>
      <c r="AO1016" s="314" t="str">
        <f t="shared" si="2079"/>
        <v> </v>
      </c>
      <c r="AP1016" s="315">
        <f t="shared" si="2080"/>
        <v>0</v>
      </c>
      <c r="AQ1016" s="316" t="str">
        <f t="shared" si="2081"/>
        <v> </v>
      </c>
    </row>
    <row r="1017" ht="29.25" customHeight="1" outlineLevel="1" spans="1:43">
      <c r="A1017" s="607"/>
      <c r="B1017" s="608"/>
      <c r="C1017" s="293" t="str">
        <f t="shared" si="2073"/>
        <v> </v>
      </c>
      <c r="D1017" s="293" t="str">
        <f t="shared" si="2074"/>
        <v> </v>
      </c>
      <c r="E1017" s="293" t="str">
        <f t="shared" si="2075"/>
        <v> </v>
      </c>
      <c r="F1017" s="293" t="str">
        <f t="shared" si="2076"/>
        <v> </v>
      </c>
      <c r="G1017" s="293" t="str">
        <f t="shared" si="2077"/>
        <v> </v>
      </c>
      <c r="H1017" s="293" t="str">
        <f t="shared" ref="H1017:I1017" si="2106">TEXT(IF($B1017=0," ",$B1017+H$6),"hh:mm am/pm")</f>
        <v> </v>
      </c>
      <c r="I1017" s="293" t="str">
        <f t="shared" si="2106"/>
        <v> </v>
      </c>
      <c r="J1017" s="609"/>
      <c r="K1017" s="612"/>
      <c r="L1017" s="609"/>
      <c r="M1017" s="592"/>
      <c r="N1017" s="593"/>
      <c r="O1017" s="594"/>
      <c r="P1017" s="595"/>
      <c r="Q1017" s="596"/>
      <c r="R1017" s="596"/>
      <c r="S1017" s="613"/>
      <c r="T1017" s="597"/>
      <c r="U1017" s="593"/>
      <c r="V1017" s="593"/>
      <c r="W1017" s="593"/>
      <c r="X1017" s="598"/>
      <c r="Y1017" s="599"/>
      <c r="Z1017" s="593"/>
      <c r="AA1017" s="600"/>
      <c r="AB1017" s="600"/>
      <c r="AC1017" s="601"/>
      <c r="AD1017" s="601"/>
      <c r="AE1017" s="597"/>
      <c r="AF1017" s="598"/>
      <c r="AG1017" s="602"/>
      <c r="AH1017" s="602"/>
      <c r="AI1017" s="602"/>
      <c r="AJ1017" s="603"/>
      <c r="AK1017" s="605"/>
      <c r="AL1017" s="605"/>
      <c r="AM1017" s="611"/>
      <c r="AN1017" s="606"/>
      <c r="AO1017" s="314" t="str">
        <f t="shared" si="2079"/>
        <v> </v>
      </c>
      <c r="AP1017" s="315">
        <f t="shared" si="2080"/>
        <v>0</v>
      </c>
      <c r="AQ1017" s="316" t="str">
        <f t="shared" si="2081"/>
        <v> </v>
      </c>
    </row>
    <row r="1018" ht="29.25" customHeight="1" outlineLevel="1" spans="1:43">
      <c r="A1018" s="607"/>
      <c r="B1018" s="608"/>
      <c r="C1018" s="293" t="str">
        <f t="shared" si="2073"/>
        <v> </v>
      </c>
      <c r="D1018" s="293" t="str">
        <f t="shared" si="2074"/>
        <v> </v>
      </c>
      <c r="E1018" s="293" t="str">
        <f t="shared" si="2075"/>
        <v> </v>
      </c>
      <c r="F1018" s="293" t="str">
        <f t="shared" si="2076"/>
        <v> </v>
      </c>
      <c r="G1018" s="293" t="str">
        <f t="shared" si="2077"/>
        <v> </v>
      </c>
      <c r="H1018" s="293" t="str">
        <f t="shared" ref="H1018:I1018" si="2107">TEXT(IF($B1018=0," ",$B1018+H$6),"hh:mm am/pm")</f>
        <v> </v>
      </c>
      <c r="I1018" s="293" t="str">
        <f t="shared" si="2107"/>
        <v> </v>
      </c>
      <c r="J1018" s="609"/>
      <c r="K1018" s="612"/>
      <c r="L1018" s="609"/>
      <c r="M1018" s="592"/>
      <c r="N1018" s="593"/>
      <c r="O1018" s="594"/>
      <c r="P1018" s="595"/>
      <c r="Q1018" s="596"/>
      <c r="R1018" s="596"/>
      <c r="S1018" s="613"/>
      <c r="T1018" s="597"/>
      <c r="U1018" s="593"/>
      <c r="V1018" s="593"/>
      <c r="W1018" s="593"/>
      <c r="X1018" s="598"/>
      <c r="Y1018" s="599"/>
      <c r="Z1018" s="593"/>
      <c r="AA1018" s="600"/>
      <c r="AB1018" s="600"/>
      <c r="AC1018" s="601"/>
      <c r="AD1018" s="601"/>
      <c r="AE1018" s="597"/>
      <c r="AF1018" s="598"/>
      <c r="AG1018" s="602"/>
      <c r="AH1018" s="602"/>
      <c r="AI1018" s="602"/>
      <c r="AJ1018" s="603"/>
      <c r="AK1018" s="605"/>
      <c r="AL1018" s="605"/>
      <c r="AM1018" s="611"/>
      <c r="AN1018" s="606"/>
      <c r="AO1018" s="314" t="str">
        <f t="shared" si="2079"/>
        <v> </v>
      </c>
      <c r="AP1018" s="315">
        <f t="shared" si="2080"/>
        <v>0</v>
      </c>
      <c r="AQ1018" s="316" t="str">
        <f t="shared" si="2081"/>
        <v> </v>
      </c>
    </row>
    <row r="1019" ht="29.25" customHeight="1" outlineLevel="1" spans="1:43">
      <c r="A1019" s="607"/>
      <c r="B1019" s="608"/>
      <c r="C1019" s="293" t="str">
        <f t="shared" si="2073"/>
        <v> </v>
      </c>
      <c r="D1019" s="293" t="str">
        <f t="shared" si="2074"/>
        <v> </v>
      </c>
      <c r="E1019" s="293" t="str">
        <f t="shared" si="2075"/>
        <v> </v>
      </c>
      <c r="F1019" s="293" t="str">
        <f t="shared" si="2076"/>
        <v> </v>
      </c>
      <c r="G1019" s="293" t="str">
        <f t="shared" si="2077"/>
        <v> </v>
      </c>
      <c r="H1019" s="293" t="str">
        <f t="shared" ref="H1019:I1019" si="2108">TEXT(IF($B1019=0," ",$B1019+H$6),"hh:mm am/pm")</f>
        <v> </v>
      </c>
      <c r="I1019" s="293" t="str">
        <f t="shared" si="2108"/>
        <v> </v>
      </c>
      <c r="J1019" s="609"/>
      <c r="K1019" s="612"/>
      <c r="L1019" s="609"/>
      <c r="M1019" s="592"/>
      <c r="N1019" s="593"/>
      <c r="O1019" s="594"/>
      <c r="P1019" s="595"/>
      <c r="Q1019" s="596"/>
      <c r="R1019" s="596"/>
      <c r="S1019" s="613"/>
      <c r="T1019" s="597"/>
      <c r="U1019" s="593"/>
      <c r="V1019" s="593"/>
      <c r="W1019" s="593"/>
      <c r="X1019" s="598"/>
      <c r="Y1019" s="599"/>
      <c r="Z1019" s="593"/>
      <c r="AA1019" s="600"/>
      <c r="AB1019" s="600"/>
      <c r="AC1019" s="601"/>
      <c r="AD1019" s="601"/>
      <c r="AE1019" s="597"/>
      <c r="AF1019" s="598"/>
      <c r="AG1019" s="602"/>
      <c r="AH1019" s="602"/>
      <c r="AI1019" s="602"/>
      <c r="AJ1019" s="603"/>
      <c r="AK1019" s="605"/>
      <c r="AL1019" s="605"/>
      <c r="AM1019" s="611"/>
      <c r="AN1019" s="606"/>
      <c r="AO1019" s="314" t="str">
        <f t="shared" si="2079"/>
        <v> </v>
      </c>
      <c r="AP1019" s="315">
        <f t="shared" si="2080"/>
        <v>0</v>
      </c>
      <c r="AQ1019" s="316" t="str">
        <f t="shared" si="2081"/>
        <v> </v>
      </c>
    </row>
    <row r="1020" ht="29.25" customHeight="1" outlineLevel="1" spans="1:43">
      <c r="A1020" s="607"/>
      <c r="B1020" s="608"/>
      <c r="C1020" s="293" t="str">
        <f t="shared" si="2073"/>
        <v> </v>
      </c>
      <c r="D1020" s="293" t="str">
        <f t="shared" si="2074"/>
        <v> </v>
      </c>
      <c r="E1020" s="293" t="str">
        <f t="shared" si="2075"/>
        <v> </v>
      </c>
      <c r="F1020" s="293" t="str">
        <f t="shared" si="2076"/>
        <v> </v>
      </c>
      <c r="G1020" s="293" t="str">
        <f t="shared" si="2077"/>
        <v> </v>
      </c>
      <c r="H1020" s="293" t="str">
        <f t="shared" ref="H1020:I1020" si="2109">TEXT(IF($B1020=0," ",$B1020+H$6),"hh:mm am/pm")</f>
        <v> </v>
      </c>
      <c r="I1020" s="293" t="str">
        <f t="shared" si="2109"/>
        <v> </v>
      </c>
      <c r="J1020" s="609"/>
      <c r="K1020" s="612"/>
      <c r="L1020" s="609"/>
      <c r="M1020" s="592"/>
      <c r="N1020" s="593"/>
      <c r="O1020" s="594"/>
      <c r="P1020" s="595"/>
      <c r="Q1020" s="596"/>
      <c r="R1020" s="596"/>
      <c r="S1020" s="613"/>
      <c r="T1020" s="597"/>
      <c r="U1020" s="593"/>
      <c r="V1020" s="593"/>
      <c r="W1020" s="593"/>
      <c r="X1020" s="598"/>
      <c r="Y1020" s="599"/>
      <c r="Z1020" s="593"/>
      <c r="AA1020" s="600"/>
      <c r="AB1020" s="600"/>
      <c r="AC1020" s="601"/>
      <c r="AD1020" s="601"/>
      <c r="AE1020" s="597"/>
      <c r="AF1020" s="598"/>
      <c r="AG1020" s="602"/>
      <c r="AH1020" s="602"/>
      <c r="AI1020" s="602"/>
      <c r="AJ1020" s="603"/>
      <c r="AK1020" s="605"/>
      <c r="AL1020" s="605"/>
      <c r="AM1020" s="611"/>
      <c r="AN1020" s="606"/>
      <c r="AO1020" s="314" t="str">
        <f t="shared" si="2079"/>
        <v> </v>
      </c>
      <c r="AP1020" s="315">
        <f t="shared" si="2080"/>
        <v>0</v>
      </c>
      <c r="AQ1020" s="316" t="str">
        <f t="shared" si="2081"/>
        <v> </v>
      </c>
    </row>
    <row r="1021" ht="29.25" customHeight="1" outlineLevel="1" spans="1:43">
      <c r="A1021" s="607"/>
      <c r="B1021" s="608"/>
      <c r="C1021" s="293" t="str">
        <f t="shared" si="2073"/>
        <v> </v>
      </c>
      <c r="D1021" s="293" t="str">
        <f t="shared" si="2074"/>
        <v> </v>
      </c>
      <c r="E1021" s="293" t="str">
        <f t="shared" si="2075"/>
        <v> </v>
      </c>
      <c r="F1021" s="293" t="str">
        <f t="shared" si="2076"/>
        <v> </v>
      </c>
      <c r="G1021" s="293" t="str">
        <f t="shared" si="2077"/>
        <v> </v>
      </c>
      <c r="H1021" s="293" t="str">
        <f t="shared" ref="H1021:I1021" si="2110">TEXT(IF($B1021=0," ",$B1021+H$6),"hh:mm am/pm")</f>
        <v> </v>
      </c>
      <c r="I1021" s="293" t="str">
        <f t="shared" si="2110"/>
        <v> </v>
      </c>
      <c r="J1021" s="609"/>
      <c r="K1021" s="612"/>
      <c r="L1021" s="609"/>
      <c r="M1021" s="592"/>
      <c r="N1021" s="593"/>
      <c r="O1021" s="594"/>
      <c r="P1021" s="595"/>
      <c r="Q1021" s="596"/>
      <c r="R1021" s="596"/>
      <c r="S1021" s="613"/>
      <c r="T1021" s="597"/>
      <c r="U1021" s="593"/>
      <c r="V1021" s="593"/>
      <c r="W1021" s="593"/>
      <c r="X1021" s="598"/>
      <c r="Y1021" s="599"/>
      <c r="Z1021" s="593"/>
      <c r="AA1021" s="600"/>
      <c r="AB1021" s="600"/>
      <c r="AC1021" s="601"/>
      <c r="AD1021" s="601"/>
      <c r="AE1021" s="597"/>
      <c r="AF1021" s="598"/>
      <c r="AG1021" s="602"/>
      <c r="AH1021" s="602"/>
      <c r="AI1021" s="602"/>
      <c r="AJ1021" s="603"/>
      <c r="AK1021" s="605"/>
      <c r="AL1021" s="605"/>
      <c r="AM1021" s="611"/>
      <c r="AN1021" s="606"/>
      <c r="AO1021" s="314" t="str">
        <f t="shared" si="2079"/>
        <v> </v>
      </c>
      <c r="AP1021" s="315">
        <f t="shared" si="2080"/>
        <v>0</v>
      </c>
      <c r="AQ1021" s="316" t="str">
        <f t="shared" si="2081"/>
        <v> </v>
      </c>
    </row>
    <row r="1022" ht="29.25" customHeight="1" outlineLevel="1" spans="1:43">
      <c r="A1022" s="607"/>
      <c r="B1022" s="608"/>
      <c r="C1022" s="293" t="str">
        <f t="shared" si="2073"/>
        <v> </v>
      </c>
      <c r="D1022" s="293" t="str">
        <f t="shared" si="2074"/>
        <v> </v>
      </c>
      <c r="E1022" s="293" t="str">
        <f t="shared" si="2075"/>
        <v> </v>
      </c>
      <c r="F1022" s="293" t="str">
        <f t="shared" si="2076"/>
        <v> </v>
      </c>
      <c r="G1022" s="293" t="str">
        <f t="shared" si="2077"/>
        <v> </v>
      </c>
      <c r="H1022" s="293" t="str">
        <f t="shared" ref="H1022:I1022" si="2111">TEXT(IF($B1022=0," ",$B1022+H$6),"hh:mm am/pm")</f>
        <v> </v>
      </c>
      <c r="I1022" s="293" t="str">
        <f t="shared" si="2111"/>
        <v> </v>
      </c>
      <c r="J1022" s="609"/>
      <c r="K1022" s="612"/>
      <c r="L1022" s="609"/>
      <c r="M1022" s="592"/>
      <c r="N1022" s="593"/>
      <c r="O1022" s="594"/>
      <c r="P1022" s="595"/>
      <c r="Q1022" s="596"/>
      <c r="R1022" s="596"/>
      <c r="S1022" s="613"/>
      <c r="T1022" s="597"/>
      <c r="U1022" s="593"/>
      <c r="V1022" s="593"/>
      <c r="W1022" s="593"/>
      <c r="X1022" s="598"/>
      <c r="Y1022" s="599"/>
      <c r="Z1022" s="593"/>
      <c r="AA1022" s="600"/>
      <c r="AB1022" s="600"/>
      <c r="AC1022" s="601"/>
      <c r="AD1022" s="601"/>
      <c r="AE1022" s="597"/>
      <c r="AF1022" s="598"/>
      <c r="AG1022" s="602"/>
      <c r="AH1022" s="602"/>
      <c r="AI1022" s="602"/>
      <c r="AJ1022" s="603"/>
      <c r="AK1022" s="605"/>
      <c r="AL1022" s="605"/>
      <c r="AM1022" s="611"/>
      <c r="AN1022" s="606"/>
      <c r="AO1022" s="314" t="str">
        <f t="shared" si="2079"/>
        <v> </v>
      </c>
      <c r="AP1022" s="315">
        <f t="shared" si="2080"/>
        <v>0</v>
      </c>
      <c r="AQ1022" s="316" t="str">
        <f t="shared" si="2081"/>
        <v> </v>
      </c>
    </row>
    <row r="1023" ht="29.25" customHeight="1" outlineLevel="1" spans="1:43">
      <c r="A1023" s="607"/>
      <c r="B1023" s="608"/>
      <c r="C1023" s="293" t="str">
        <f t="shared" si="2073"/>
        <v> </v>
      </c>
      <c r="D1023" s="293" t="str">
        <f t="shared" si="2074"/>
        <v> </v>
      </c>
      <c r="E1023" s="293" t="str">
        <f t="shared" si="2075"/>
        <v> </v>
      </c>
      <c r="F1023" s="293" t="str">
        <f t="shared" si="2076"/>
        <v> </v>
      </c>
      <c r="G1023" s="293" t="str">
        <f t="shared" si="2077"/>
        <v> </v>
      </c>
      <c r="H1023" s="293" t="str">
        <f t="shared" ref="H1023:I1023" si="2112">TEXT(IF($B1023=0," ",$B1023+H$6),"hh:mm am/pm")</f>
        <v> </v>
      </c>
      <c r="I1023" s="293" t="str">
        <f t="shared" si="2112"/>
        <v> </v>
      </c>
      <c r="J1023" s="609"/>
      <c r="K1023" s="612"/>
      <c r="L1023" s="609"/>
      <c r="M1023" s="592"/>
      <c r="N1023" s="593"/>
      <c r="O1023" s="594"/>
      <c r="P1023" s="595"/>
      <c r="Q1023" s="596"/>
      <c r="R1023" s="596"/>
      <c r="S1023" s="613"/>
      <c r="T1023" s="597"/>
      <c r="U1023" s="593"/>
      <c r="V1023" s="593"/>
      <c r="W1023" s="593"/>
      <c r="X1023" s="598"/>
      <c r="Y1023" s="599"/>
      <c r="Z1023" s="593"/>
      <c r="AA1023" s="600"/>
      <c r="AB1023" s="600"/>
      <c r="AC1023" s="601"/>
      <c r="AD1023" s="601"/>
      <c r="AE1023" s="597"/>
      <c r="AF1023" s="598"/>
      <c r="AG1023" s="602"/>
      <c r="AH1023" s="602"/>
      <c r="AI1023" s="602"/>
      <c r="AJ1023" s="603"/>
      <c r="AK1023" s="605"/>
      <c r="AL1023" s="605"/>
      <c r="AM1023" s="611"/>
      <c r="AN1023" s="606"/>
      <c r="AO1023" s="314" t="str">
        <f t="shared" si="2079"/>
        <v> </v>
      </c>
      <c r="AP1023" s="315">
        <f t="shared" si="2080"/>
        <v>0</v>
      </c>
      <c r="AQ1023" s="316" t="str">
        <f t="shared" si="2081"/>
        <v> </v>
      </c>
    </row>
    <row r="1024" ht="29.25" customHeight="1" outlineLevel="1" spans="1:43">
      <c r="A1024" s="607"/>
      <c r="B1024" s="608"/>
      <c r="C1024" s="293" t="str">
        <f t="shared" si="2073"/>
        <v> </v>
      </c>
      <c r="D1024" s="293" t="str">
        <f t="shared" si="2074"/>
        <v> </v>
      </c>
      <c r="E1024" s="293" t="str">
        <f t="shared" si="2075"/>
        <v> </v>
      </c>
      <c r="F1024" s="293" t="str">
        <f t="shared" si="2076"/>
        <v> </v>
      </c>
      <c r="G1024" s="293" t="str">
        <f t="shared" si="2077"/>
        <v> </v>
      </c>
      <c r="H1024" s="293" t="str">
        <f t="shared" ref="H1024:I1024" si="2113">TEXT(IF($B1024=0," ",$B1024+H$6),"hh:mm am/pm")</f>
        <v> </v>
      </c>
      <c r="I1024" s="293" t="str">
        <f t="shared" si="2113"/>
        <v> </v>
      </c>
      <c r="J1024" s="609"/>
      <c r="K1024" s="612"/>
      <c r="L1024" s="609"/>
      <c r="M1024" s="592"/>
      <c r="N1024" s="593"/>
      <c r="O1024" s="594"/>
      <c r="P1024" s="595"/>
      <c r="Q1024" s="596"/>
      <c r="R1024" s="596"/>
      <c r="S1024" s="613"/>
      <c r="T1024" s="597"/>
      <c r="U1024" s="593"/>
      <c r="V1024" s="593"/>
      <c r="W1024" s="593"/>
      <c r="X1024" s="598"/>
      <c r="Y1024" s="599"/>
      <c r="Z1024" s="593"/>
      <c r="AA1024" s="600"/>
      <c r="AB1024" s="600"/>
      <c r="AC1024" s="601"/>
      <c r="AD1024" s="601"/>
      <c r="AE1024" s="597"/>
      <c r="AF1024" s="598"/>
      <c r="AG1024" s="602"/>
      <c r="AH1024" s="602"/>
      <c r="AI1024" s="602"/>
      <c r="AJ1024" s="603"/>
      <c r="AK1024" s="605"/>
      <c r="AL1024" s="605"/>
      <c r="AM1024" s="611"/>
      <c r="AN1024" s="606"/>
      <c r="AO1024" s="314" t="str">
        <f t="shared" si="2079"/>
        <v> </v>
      </c>
      <c r="AP1024" s="315">
        <f t="shared" si="2080"/>
        <v>0</v>
      </c>
      <c r="AQ1024" s="316" t="str">
        <f t="shared" si="2081"/>
        <v> </v>
      </c>
    </row>
    <row r="1025" ht="29.25" customHeight="1" outlineLevel="1" spans="1:43">
      <c r="A1025" s="607"/>
      <c r="B1025" s="608"/>
      <c r="C1025" s="293" t="str">
        <f t="shared" si="2073"/>
        <v> </v>
      </c>
      <c r="D1025" s="293" t="str">
        <f t="shared" si="2074"/>
        <v> </v>
      </c>
      <c r="E1025" s="293" t="str">
        <f t="shared" si="2075"/>
        <v> </v>
      </c>
      <c r="F1025" s="293" t="str">
        <f t="shared" si="2076"/>
        <v> </v>
      </c>
      <c r="G1025" s="293" t="str">
        <f t="shared" si="2077"/>
        <v> </v>
      </c>
      <c r="H1025" s="293" t="str">
        <f t="shared" ref="H1025:I1025" si="2114">TEXT(IF($B1025=0," ",$B1025+H$6),"hh:mm am/pm")</f>
        <v> </v>
      </c>
      <c r="I1025" s="293" t="str">
        <f t="shared" si="2114"/>
        <v> </v>
      </c>
      <c r="J1025" s="609"/>
      <c r="K1025" s="612"/>
      <c r="L1025" s="609"/>
      <c r="M1025" s="592"/>
      <c r="N1025" s="593"/>
      <c r="O1025" s="594"/>
      <c r="P1025" s="595"/>
      <c r="Q1025" s="596"/>
      <c r="R1025" s="596"/>
      <c r="S1025" s="613"/>
      <c r="T1025" s="597"/>
      <c r="U1025" s="593"/>
      <c r="V1025" s="593"/>
      <c r="W1025" s="593"/>
      <c r="X1025" s="598"/>
      <c r="Y1025" s="599"/>
      <c r="Z1025" s="593"/>
      <c r="AA1025" s="600"/>
      <c r="AB1025" s="600"/>
      <c r="AC1025" s="601"/>
      <c r="AD1025" s="601"/>
      <c r="AE1025" s="597"/>
      <c r="AF1025" s="598"/>
      <c r="AG1025" s="602"/>
      <c r="AH1025" s="602"/>
      <c r="AI1025" s="602"/>
      <c r="AJ1025" s="603"/>
      <c r="AK1025" s="605"/>
      <c r="AL1025" s="605"/>
      <c r="AM1025" s="611"/>
      <c r="AN1025" s="606"/>
      <c r="AO1025" s="314" t="str">
        <f t="shared" si="2079"/>
        <v> </v>
      </c>
      <c r="AP1025" s="315">
        <f t="shared" si="2080"/>
        <v>0</v>
      </c>
      <c r="AQ1025" s="316" t="str">
        <f t="shared" si="2081"/>
        <v> </v>
      </c>
    </row>
    <row r="1026" ht="29.25" customHeight="1" outlineLevel="1" spans="1:43">
      <c r="A1026" s="607"/>
      <c r="B1026" s="608"/>
      <c r="C1026" s="293" t="str">
        <f t="shared" si="2073"/>
        <v> </v>
      </c>
      <c r="D1026" s="293" t="str">
        <f t="shared" si="2074"/>
        <v> </v>
      </c>
      <c r="E1026" s="293" t="str">
        <f t="shared" si="2075"/>
        <v> </v>
      </c>
      <c r="F1026" s="293" t="str">
        <f t="shared" si="2076"/>
        <v> </v>
      </c>
      <c r="G1026" s="293" t="str">
        <f t="shared" si="2077"/>
        <v> </v>
      </c>
      <c r="H1026" s="293" t="str">
        <f t="shared" ref="H1026:I1026" si="2115">TEXT(IF($B1026=0," ",$B1026+H$6),"hh:mm am/pm")</f>
        <v> </v>
      </c>
      <c r="I1026" s="293" t="str">
        <f t="shared" si="2115"/>
        <v> </v>
      </c>
      <c r="J1026" s="609"/>
      <c r="K1026" s="612"/>
      <c r="L1026" s="609"/>
      <c r="M1026" s="592"/>
      <c r="N1026" s="593"/>
      <c r="O1026" s="594"/>
      <c r="P1026" s="595"/>
      <c r="Q1026" s="596"/>
      <c r="R1026" s="596"/>
      <c r="S1026" s="613"/>
      <c r="T1026" s="597"/>
      <c r="U1026" s="593"/>
      <c r="V1026" s="593"/>
      <c r="W1026" s="593"/>
      <c r="X1026" s="598"/>
      <c r="Y1026" s="599"/>
      <c r="Z1026" s="593"/>
      <c r="AA1026" s="600"/>
      <c r="AB1026" s="600"/>
      <c r="AC1026" s="601"/>
      <c r="AD1026" s="601"/>
      <c r="AE1026" s="597"/>
      <c r="AF1026" s="598"/>
      <c r="AG1026" s="602"/>
      <c r="AH1026" s="602"/>
      <c r="AI1026" s="602"/>
      <c r="AJ1026" s="603"/>
      <c r="AK1026" s="605"/>
      <c r="AL1026" s="605"/>
      <c r="AM1026" s="611"/>
      <c r="AN1026" s="606"/>
      <c r="AO1026" s="314" t="str">
        <f t="shared" si="2079"/>
        <v> </v>
      </c>
      <c r="AP1026" s="315">
        <f t="shared" si="2080"/>
        <v>0</v>
      </c>
      <c r="AQ1026" s="316" t="str">
        <f t="shared" si="2081"/>
        <v> </v>
      </c>
    </row>
    <row r="1027" ht="29.25" customHeight="1" outlineLevel="1" spans="1:43">
      <c r="A1027" s="607"/>
      <c r="B1027" s="608"/>
      <c r="C1027" s="293" t="str">
        <f t="shared" si="2073"/>
        <v> </v>
      </c>
      <c r="D1027" s="293" t="str">
        <f t="shared" si="2074"/>
        <v> </v>
      </c>
      <c r="E1027" s="293" t="str">
        <f t="shared" si="2075"/>
        <v> </v>
      </c>
      <c r="F1027" s="293" t="str">
        <f t="shared" si="2076"/>
        <v> </v>
      </c>
      <c r="G1027" s="293" t="str">
        <f t="shared" si="2077"/>
        <v> </v>
      </c>
      <c r="H1027" s="293" t="str">
        <f t="shared" ref="H1027:I1027" si="2116">TEXT(IF($B1027=0," ",$B1027+H$6),"hh:mm am/pm")</f>
        <v> </v>
      </c>
      <c r="I1027" s="293" t="str">
        <f t="shared" si="2116"/>
        <v> </v>
      </c>
      <c r="J1027" s="609"/>
      <c r="K1027" s="612"/>
      <c r="L1027" s="609"/>
      <c r="M1027" s="592"/>
      <c r="N1027" s="593"/>
      <c r="O1027" s="594"/>
      <c r="P1027" s="595"/>
      <c r="Q1027" s="596"/>
      <c r="R1027" s="596"/>
      <c r="S1027" s="613"/>
      <c r="T1027" s="597"/>
      <c r="U1027" s="593"/>
      <c r="V1027" s="593"/>
      <c r="W1027" s="593"/>
      <c r="X1027" s="598"/>
      <c r="Y1027" s="599"/>
      <c r="Z1027" s="593"/>
      <c r="AA1027" s="600"/>
      <c r="AB1027" s="600"/>
      <c r="AC1027" s="601"/>
      <c r="AD1027" s="601"/>
      <c r="AE1027" s="597"/>
      <c r="AF1027" s="598"/>
      <c r="AG1027" s="602"/>
      <c r="AH1027" s="602"/>
      <c r="AI1027" s="602"/>
      <c r="AJ1027" s="603"/>
      <c r="AK1027" s="605"/>
      <c r="AL1027" s="605"/>
      <c r="AM1027" s="611"/>
      <c r="AN1027" s="606"/>
      <c r="AO1027" s="314" t="str">
        <f t="shared" si="2079"/>
        <v> </v>
      </c>
      <c r="AP1027" s="315">
        <f t="shared" si="2080"/>
        <v>0</v>
      </c>
      <c r="AQ1027" s="316" t="str">
        <f t="shared" si="2081"/>
        <v> </v>
      </c>
    </row>
    <row r="1028" ht="29.25" customHeight="1" outlineLevel="1" spans="1:43">
      <c r="A1028" s="607"/>
      <c r="B1028" s="608"/>
      <c r="C1028" s="293" t="str">
        <f t="shared" si="2073"/>
        <v> </v>
      </c>
      <c r="D1028" s="293" t="str">
        <f t="shared" si="2074"/>
        <v> </v>
      </c>
      <c r="E1028" s="293" t="str">
        <f t="shared" si="2075"/>
        <v> </v>
      </c>
      <c r="F1028" s="293" t="str">
        <f t="shared" si="2076"/>
        <v> </v>
      </c>
      <c r="G1028" s="293" t="str">
        <f t="shared" si="2077"/>
        <v> </v>
      </c>
      <c r="H1028" s="293" t="str">
        <f t="shared" ref="H1028:I1028" si="2117">TEXT(IF($B1028=0," ",$B1028+H$6),"hh:mm am/pm")</f>
        <v> </v>
      </c>
      <c r="I1028" s="293" t="str">
        <f t="shared" si="2117"/>
        <v> </v>
      </c>
      <c r="J1028" s="609"/>
      <c r="K1028" s="612"/>
      <c r="L1028" s="609"/>
      <c r="M1028" s="592"/>
      <c r="N1028" s="593"/>
      <c r="O1028" s="594"/>
      <c r="P1028" s="595"/>
      <c r="Q1028" s="596"/>
      <c r="R1028" s="596"/>
      <c r="S1028" s="613"/>
      <c r="T1028" s="597"/>
      <c r="U1028" s="593"/>
      <c r="V1028" s="593"/>
      <c r="W1028" s="593"/>
      <c r="X1028" s="598"/>
      <c r="Y1028" s="599"/>
      <c r="Z1028" s="593"/>
      <c r="AA1028" s="600"/>
      <c r="AB1028" s="600"/>
      <c r="AC1028" s="601"/>
      <c r="AD1028" s="601"/>
      <c r="AE1028" s="597"/>
      <c r="AF1028" s="598"/>
      <c r="AG1028" s="602"/>
      <c r="AH1028" s="602"/>
      <c r="AI1028" s="602"/>
      <c r="AJ1028" s="603"/>
      <c r="AK1028" s="605"/>
      <c r="AL1028" s="605"/>
      <c r="AM1028" s="611"/>
      <c r="AN1028" s="606"/>
      <c r="AO1028" s="314" t="str">
        <f t="shared" si="2079"/>
        <v> </v>
      </c>
      <c r="AP1028" s="315">
        <f t="shared" si="2080"/>
        <v>0</v>
      </c>
      <c r="AQ1028" s="316" t="str">
        <f t="shared" si="2081"/>
        <v> </v>
      </c>
    </row>
    <row r="1029" ht="29.25" customHeight="1" outlineLevel="1" spans="1:43">
      <c r="A1029" s="607"/>
      <c r="B1029" s="590"/>
      <c r="C1029" s="293" t="str">
        <f t="shared" si="2073"/>
        <v> </v>
      </c>
      <c r="D1029" s="293" t="str">
        <f t="shared" si="2074"/>
        <v> </v>
      </c>
      <c r="E1029" s="293" t="str">
        <f t="shared" si="2075"/>
        <v> </v>
      </c>
      <c r="F1029" s="293" t="str">
        <f t="shared" si="2076"/>
        <v> </v>
      </c>
      <c r="G1029" s="293" t="str">
        <f t="shared" si="2077"/>
        <v> </v>
      </c>
      <c r="H1029" s="293" t="str">
        <f t="shared" ref="H1029:I1029" si="2118">TEXT(IF($B1029=0," ",$B1029+H$6),"hh:mm am/pm")</f>
        <v> </v>
      </c>
      <c r="I1029" s="293" t="str">
        <f t="shared" si="2118"/>
        <v> </v>
      </c>
      <c r="J1029" s="609"/>
      <c r="K1029" s="612"/>
      <c r="L1029" s="609"/>
      <c r="M1029" s="592"/>
      <c r="N1029" s="593"/>
      <c r="O1029" s="594"/>
      <c r="P1029" s="595"/>
      <c r="Q1029" s="596"/>
      <c r="R1029" s="596"/>
      <c r="S1029" s="613"/>
      <c r="T1029" s="597"/>
      <c r="U1029" s="593"/>
      <c r="V1029" s="593"/>
      <c r="W1029" s="593"/>
      <c r="X1029" s="598"/>
      <c r="Y1029" s="599"/>
      <c r="Z1029" s="593"/>
      <c r="AA1029" s="600"/>
      <c r="AB1029" s="600"/>
      <c r="AC1029" s="601"/>
      <c r="AD1029" s="601"/>
      <c r="AE1029" s="597"/>
      <c r="AF1029" s="598"/>
      <c r="AG1029" s="602"/>
      <c r="AH1029" s="602"/>
      <c r="AI1029" s="602"/>
      <c r="AJ1029" s="603"/>
      <c r="AK1029" s="605"/>
      <c r="AL1029" s="605"/>
      <c r="AM1029" s="611"/>
      <c r="AN1029" s="606"/>
      <c r="AO1029" s="314" t="str">
        <f t="shared" si="2079"/>
        <v> </v>
      </c>
      <c r="AP1029" s="315">
        <f t="shared" si="2080"/>
        <v>0</v>
      </c>
      <c r="AQ1029" s="316" t="str">
        <f t="shared" si="2081"/>
        <v> </v>
      </c>
    </row>
    <row r="1030" ht="29.25" customHeight="1" outlineLevel="1" spans="1:43">
      <c r="A1030" s="607"/>
      <c r="B1030" s="608"/>
      <c r="C1030" s="293" t="str">
        <f t="shared" si="2073"/>
        <v> </v>
      </c>
      <c r="D1030" s="293" t="str">
        <f t="shared" si="2074"/>
        <v> </v>
      </c>
      <c r="E1030" s="293" t="str">
        <f t="shared" si="2075"/>
        <v> </v>
      </c>
      <c r="F1030" s="293" t="str">
        <f t="shared" si="2076"/>
        <v> </v>
      </c>
      <c r="G1030" s="293" t="str">
        <f t="shared" si="2077"/>
        <v> </v>
      </c>
      <c r="H1030" s="293" t="str">
        <f t="shared" ref="H1030:I1030" si="2119">TEXT(IF($B1030=0," ",$B1030+H$6),"hh:mm am/pm")</f>
        <v> </v>
      </c>
      <c r="I1030" s="293" t="str">
        <f t="shared" si="2119"/>
        <v> </v>
      </c>
      <c r="J1030" s="609"/>
      <c r="K1030" s="612"/>
      <c r="L1030" s="609"/>
      <c r="M1030" s="592"/>
      <c r="N1030" s="593"/>
      <c r="O1030" s="594"/>
      <c r="P1030" s="595"/>
      <c r="Q1030" s="596"/>
      <c r="R1030" s="596"/>
      <c r="S1030" s="613"/>
      <c r="T1030" s="597"/>
      <c r="U1030" s="593"/>
      <c r="V1030" s="593"/>
      <c r="W1030" s="593"/>
      <c r="X1030" s="598"/>
      <c r="Y1030" s="599"/>
      <c r="Z1030" s="593"/>
      <c r="AA1030" s="600"/>
      <c r="AB1030" s="600"/>
      <c r="AC1030" s="601"/>
      <c r="AD1030" s="601"/>
      <c r="AE1030" s="597"/>
      <c r="AF1030" s="598"/>
      <c r="AG1030" s="602"/>
      <c r="AH1030" s="602"/>
      <c r="AI1030" s="602"/>
      <c r="AJ1030" s="603"/>
      <c r="AK1030" s="605"/>
      <c r="AL1030" s="605"/>
      <c r="AM1030" s="611"/>
      <c r="AN1030" s="606"/>
      <c r="AO1030" s="314" t="str">
        <f t="shared" si="2079"/>
        <v> </v>
      </c>
      <c r="AP1030" s="315">
        <f t="shared" si="2080"/>
        <v>0</v>
      </c>
      <c r="AQ1030" s="316" t="str">
        <f t="shared" si="2081"/>
        <v> </v>
      </c>
    </row>
    <row r="1031" ht="29.25" customHeight="1" outlineLevel="1" spans="1:43">
      <c r="A1031" s="607"/>
      <c r="B1031" s="608"/>
      <c r="C1031" s="293" t="str">
        <f t="shared" si="2073"/>
        <v> </v>
      </c>
      <c r="D1031" s="293" t="str">
        <f t="shared" si="2074"/>
        <v> </v>
      </c>
      <c r="E1031" s="293" t="str">
        <f t="shared" si="2075"/>
        <v> </v>
      </c>
      <c r="F1031" s="293" t="str">
        <f t="shared" si="2076"/>
        <v> </v>
      </c>
      <c r="G1031" s="293" t="str">
        <f t="shared" si="2077"/>
        <v> </v>
      </c>
      <c r="H1031" s="293" t="str">
        <f t="shared" ref="H1031:I1031" si="2120">TEXT(IF($B1031=0," ",$B1031+H$6),"hh:mm am/pm")</f>
        <v> </v>
      </c>
      <c r="I1031" s="293" t="str">
        <f t="shared" si="2120"/>
        <v> </v>
      </c>
      <c r="J1031" s="609"/>
      <c r="K1031" s="612"/>
      <c r="L1031" s="609"/>
      <c r="M1031" s="592"/>
      <c r="N1031" s="593"/>
      <c r="O1031" s="594"/>
      <c r="P1031" s="595"/>
      <c r="Q1031" s="596"/>
      <c r="R1031" s="596"/>
      <c r="S1031" s="613"/>
      <c r="T1031" s="597"/>
      <c r="U1031" s="593"/>
      <c r="V1031" s="593"/>
      <c r="W1031" s="593"/>
      <c r="X1031" s="598"/>
      <c r="Y1031" s="599"/>
      <c r="Z1031" s="593"/>
      <c r="AA1031" s="600"/>
      <c r="AB1031" s="600"/>
      <c r="AC1031" s="601"/>
      <c r="AD1031" s="601"/>
      <c r="AE1031" s="597"/>
      <c r="AF1031" s="598"/>
      <c r="AG1031" s="602"/>
      <c r="AH1031" s="602"/>
      <c r="AI1031" s="602"/>
      <c r="AJ1031" s="603"/>
      <c r="AK1031" s="605"/>
      <c r="AL1031" s="605"/>
      <c r="AM1031" s="611"/>
      <c r="AN1031" s="606"/>
      <c r="AO1031" s="314" t="str">
        <f t="shared" si="2079"/>
        <v> </v>
      </c>
      <c r="AP1031" s="315">
        <f t="shared" si="2080"/>
        <v>0</v>
      </c>
      <c r="AQ1031" s="316" t="str">
        <f t="shared" si="2081"/>
        <v> </v>
      </c>
    </row>
    <row r="1032" ht="29.25" customHeight="1" outlineLevel="1" spans="1:43">
      <c r="A1032" s="607"/>
      <c r="B1032" s="608"/>
      <c r="C1032" s="293" t="str">
        <f t="shared" si="2073"/>
        <v> </v>
      </c>
      <c r="D1032" s="293" t="str">
        <f t="shared" si="2074"/>
        <v> </v>
      </c>
      <c r="E1032" s="293" t="str">
        <f t="shared" si="2075"/>
        <v> </v>
      </c>
      <c r="F1032" s="293" t="str">
        <f t="shared" si="2076"/>
        <v> </v>
      </c>
      <c r="G1032" s="293" t="str">
        <f t="shared" si="2077"/>
        <v> </v>
      </c>
      <c r="H1032" s="293" t="str">
        <f t="shared" ref="H1032:I1032" si="2121">TEXT(IF($B1032=0," ",$B1032+H$6),"hh:mm am/pm")</f>
        <v> </v>
      </c>
      <c r="I1032" s="293" t="str">
        <f t="shared" si="2121"/>
        <v> </v>
      </c>
      <c r="J1032" s="609"/>
      <c r="K1032" s="612"/>
      <c r="L1032" s="609"/>
      <c r="M1032" s="592"/>
      <c r="N1032" s="593"/>
      <c r="O1032" s="594"/>
      <c r="P1032" s="595"/>
      <c r="Q1032" s="596"/>
      <c r="R1032" s="596"/>
      <c r="S1032" s="613"/>
      <c r="T1032" s="597"/>
      <c r="U1032" s="593"/>
      <c r="V1032" s="593"/>
      <c r="W1032" s="593"/>
      <c r="X1032" s="598"/>
      <c r="Y1032" s="599"/>
      <c r="Z1032" s="593"/>
      <c r="AA1032" s="600"/>
      <c r="AB1032" s="600"/>
      <c r="AC1032" s="601"/>
      <c r="AD1032" s="601"/>
      <c r="AE1032" s="597"/>
      <c r="AF1032" s="598"/>
      <c r="AG1032" s="602"/>
      <c r="AH1032" s="602"/>
      <c r="AI1032" s="602"/>
      <c r="AJ1032" s="603"/>
      <c r="AK1032" s="605"/>
      <c r="AL1032" s="605"/>
      <c r="AM1032" s="611"/>
      <c r="AN1032" s="606"/>
      <c r="AO1032" s="314" t="str">
        <f t="shared" si="2079"/>
        <v> </v>
      </c>
      <c r="AP1032" s="315">
        <f t="shared" si="2080"/>
        <v>0</v>
      </c>
      <c r="AQ1032" s="316" t="str">
        <f t="shared" si="2081"/>
        <v> </v>
      </c>
    </row>
    <row r="1033" ht="29.25" customHeight="1" outlineLevel="1" spans="1:43">
      <c r="A1033" s="607"/>
      <c r="B1033" s="608"/>
      <c r="C1033" s="293" t="str">
        <f t="shared" si="2073"/>
        <v> </v>
      </c>
      <c r="D1033" s="293" t="str">
        <f t="shared" si="2074"/>
        <v> </v>
      </c>
      <c r="E1033" s="293" t="str">
        <f t="shared" si="2075"/>
        <v> </v>
      </c>
      <c r="F1033" s="293" t="str">
        <f t="shared" si="2076"/>
        <v> </v>
      </c>
      <c r="G1033" s="293" t="str">
        <f t="shared" si="2077"/>
        <v> </v>
      </c>
      <c r="H1033" s="293" t="str">
        <f t="shared" ref="H1033:I1033" si="2122">TEXT(IF($B1033=0," ",$B1033+H$6),"hh:mm am/pm")</f>
        <v> </v>
      </c>
      <c r="I1033" s="293" t="str">
        <f t="shared" si="2122"/>
        <v> </v>
      </c>
      <c r="J1033" s="609"/>
      <c r="K1033" s="612"/>
      <c r="L1033" s="609"/>
      <c r="M1033" s="592"/>
      <c r="N1033" s="593"/>
      <c r="O1033" s="594"/>
      <c r="P1033" s="595"/>
      <c r="Q1033" s="596"/>
      <c r="R1033" s="596"/>
      <c r="S1033" s="613"/>
      <c r="T1033" s="597"/>
      <c r="U1033" s="593"/>
      <c r="V1033" s="593"/>
      <c r="W1033" s="593"/>
      <c r="X1033" s="598"/>
      <c r="Y1033" s="599"/>
      <c r="Z1033" s="593"/>
      <c r="AA1033" s="600"/>
      <c r="AB1033" s="600"/>
      <c r="AC1033" s="601"/>
      <c r="AD1033" s="601"/>
      <c r="AE1033" s="597"/>
      <c r="AF1033" s="598"/>
      <c r="AG1033" s="602"/>
      <c r="AH1033" s="602"/>
      <c r="AI1033" s="602"/>
      <c r="AJ1033" s="603"/>
      <c r="AK1033" s="605"/>
      <c r="AL1033" s="605"/>
      <c r="AM1033" s="611"/>
      <c r="AN1033" s="606"/>
      <c r="AO1033" s="314" t="str">
        <f t="shared" si="2079"/>
        <v> </v>
      </c>
      <c r="AP1033" s="315">
        <f t="shared" si="2080"/>
        <v>0</v>
      </c>
      <c r="AQ1033" s="316" t="str">
        <f t="shared" si="2081"/>
        <v> </v>
      </c>
    </row>
    <row r="1034" ht="29.25" customHeight="1" outlineLevel="1" spans="1:43">
      <c r="A1034" s="607"/>
      <c r="B1034" s="608"/>
      <c r="C1034" s="293" t="str">
        <f t="shared" si="2073"/>
        <v> </v>
      </c>
      <c r="D1034" s="293" t="str">
        <f t="shared" si="2074"/>
        <v> </v>
      </c>
      <c r="E1034" s="293" t="str">
        <f t="shared" si="2075"/>
        <v> </v>
      </c>
      <c r="F1034" s="293" t="str">
        <f t="shared" si="2076"/>
        <v> </v>
      </c>
      <c r="G1034" s="293" t="str">
        <f t="shared" si="2077"/>
        <v> </v>
      </c>
      <c r="H1034" s="293" t="str">
        <f t="shared" ref="H1034:I1034" si="2123">TEXT(IF($B1034=0," ",$B1034+H$6),"hh:mm am/pm")</f>
        <v> </v>
      </c>
      <c r="I1034" s="293" t="str">
        <f t="shared" si="2123"/>
        <v> </v>
      </c>
      <c r="J1034" s="609"/>
      <c r="K1034" s="612"/>
      <c r="L1034" s="609"/>
      <c r="M1034" s="592"/>
      <c r="N1034" s="593"/>
      <c r="O1034" s="594"/>
      <c r="P1034" s="595"/>
      <c r="Q1034" s="596"/>
      <c r="R1034" s="596"/>
      <c r="S1034" s="613"/>
      <c r="T1034" s="597"/>
      <c r="U1034" s="593"/>
      <c r="V1034" s="593"/>
      <c r="W1034" s="593"/>
      <c r="X1034" s="598"/>
      <c r="Y1034" s="599"/>
      <c r="Z1034" s="593"/>
      <c r="AA1034" s="600"/>
      <c r="AB1034" s="600"/>
      <c r="AC1034" s="601"/>
      <c r="AD1034" s="601"/>
      <c r="AE1034" s="597"/>
      <c r="AF1034" s="598"/>
      <c r="AG1034" s="602"/>
      <c r="AH1034" s="602"/>
      <c r="AI1034" s="602"/>
      <c r="AJ1034" s="603"/>
      <c r="AK1034" s="605"/>
      <c r="AL1034" s="605"/>
      <c r="AM1034" s="611"/>
      <c r="AN1034" s="606"/>
      <c r="AO1034" s="314" t="str">
        <f t="shared" si="2079"/>
        <v> </v>
      </c>
      <c r="AP1034" s="315">
        <f t="shared" si="2080"/>
        <v>0</v>
      </c>
      <c r="AQ1034" s="316" t="str">
        <f t="shared" si="2081"/>
        <v> </v>
      </c>
    </row>
    <row r="1035" ht="29.25" customHeight="1" outlineLevel="1" spans="1:43">
      <c r="A1035" s="607"/>
      <c r="B1035" s="608"/>
      <c r="C1035" s="293" t="str">
        <f t="shared" si="2073"/>
        <v> </v>
      </c>
      <c r="D1035" s="293" t="str">
        <f t="shared" si="2074"/>
        <v> </v>
      </c>
      <c r="E1035" s="293" t="str">
        <f t="shared" si="2075"/>
        <v> </v>
      </c>
      <c r="F1035" s="293" t="str">
        <f t="shared" si="2076"/>
        <v> </v>
      </c>
      <c r="G1035" s="293" t="str">
        <f t="shared" si="2077"/>
        <v> </v>
      </c>
      <c r="H1035" s="293" t="str">
        <f t="shared" ref="H1035:I1035" si="2124">TEXT(IF($B1035=0," ",$B1035+H$6),"hh:mm am/pm")</f>
        <v> </v>
      </c>
      <c r="I1035" s="293" t="str">
        <f t="shared" si="2124"/>
        <v> </v>
      </c>
      <c r="J1035" s="609"/>
      <c r="K1035" s="612"/>
      <c r="L1035" s="609"/>
      <c r="M1035" s="592"/>
      <c r="N1035" s="593"/>
      <c r="O1035" s="594"/>
      <c r="P1035" s="595"/>
      <c r="Q1035" s="596"/>
      <c r="R1035" s="596"/>
      <c r="S1035" s="613"/>
      <c r="T1035" s="597"/>
      <c r="U1035" s="593"/>
      <c r="V1035" s="593"/>
      <c r="W1035" s="593"/>
      <c r="X1035" s="598"/>
      <c r="Y1035" s="599"/>
      <c r="Z1035" s="593"/>
      <c r="AA1035" s="600"/>
      <c r="AB1035" s="600"/>
      <c r="AC1035" s="601"/>
      <c r="AD1035" s="601"/>
      <c r="AE1035" s="597"/>
      <c r="AF1035" s="598"/>
      <c r="AG1035" s="602"/>
      <c r="AH1035" s="602"/>
      <c r="AI1035" s="602"/>
      <c r="AJ1035" s="603"/>
      <c r="AK1035" s="605"/>
      <c r="AL1035" s="605"/>
      <c r="AM1035" s="611"/>
      <c r="AN1035" s="606"/>
      <c r="AO1035" s="314" t="str">
        <f t="shared" si="2079"/>
        <v> </v>
      </c>
      <c r="AP1035" s="315">
        <f t="shared" si="2080"/>
        <v>0</v>
      </c>
      <c r="AQ1035" s="316" t="str">
        <f t="shared" si="2081"/>
        <v> </v>
      </c>
    </row>
    <row r="1036" ht="29.25" customHeight="1" outlineLevel="1" spans="1:43">
      <c r="A1036" s="607"/>
      <c r="B1036" s="608"/>
      <c r="C1036" s="293" t="str">
        <f t="shared" si="2073"/>
        <v> </v>
      </c>
      <c r="D1036" s="293" t="str">
        <f t="shared" si="2074"/>
        <v> </v>
      </c>
      <c r="E1036" s="293" t="str">
        <f t="shared" si="2075"/>
        <v> </v>
      </c>
      <c r="F1036" s="293" t="str">
        <f t="shared" si="2076"/>
        <v> </v>
      </c>
      <c r="G1036" s="293" t="str">
        <f t="shared" si="2077"/>
        <v> </v>
      </c>
      <c r="H1036" s="293" t="str">
        <f t="shared" ref="H1036:I1036" si="2125">TEXT(IF($B1036=0," ",$B1036+H$6),"hh:mm am/pm")</f>
        <v> </v>
      </c>
      <c r="I1036" s="293" t="str">
        <f t="shared" si="2125"/>
        <v> </v>
      </c>
      <c r="J1036" s="609"/>
      <c r="K1036" s="612"/>
      <c r="L1036" s="609"/>
      <c r="M1036" s="592"/>
      <c r="N1036" s="593"/>
      <c r="O1036" s="594"/>
      <c r="P1036" s="595"/>
      <c r="Q1036" s="596"/>
      <c r="R1036" s="596"/>
      <c r="S1036" s="613"/>
      <c r="T1036" s="597"/>
      <c r="U1036" s="593"/>
      <c r="V1036" s="593"/>
      <c r="W1036" s="593"/>
      <c r="X1036" s="598"/>
      <c r="Y1036" s="599"/>
      <c r="Z1036" s="593"/>
      <c r="AA1036" s="600"/>
      <c r="AB1036" s="600"/>
      <c r="AC1036" s="601"/>
      <c r="AD1036" s="601"/>
      <c r="AE1036" s="597"/>
      <c r="AF1036" s="598"/>
      <c r="AG1036" s="602"/>
      <c r="AH1036" s="602"/>
      <c r="AI1036" s="602"/>
      <c r="AJ1036" s="603"/>
      <c r="AK1036" s="605"/>
      <c r="AL1036" s="605"/>
      <c r="AM1036" s="611"/>
      <c r="AN1036" s="606"/>
      <c r="AO1036" s="314" t="str">
        <f t="shared" si="2079"/>
        <v> </v>
      </c>
      <c r="AP1036" s="315">
        <f t="shared" si="2080"/>
        <v>0</v>
      </c>
      <c r="AQ1036" s="316" t="str">
        <f t="shared" si="2081"/>
        <v> </v>
      </c>
    </row>
    <row r="1037" ht="29.25" customHeight="1" outlineLevel="1" spans="1:43">
      <c r="A1037" s="607"/>
      <c r="B1037" s="608"/>
      <c r="C1037" s="293" t="str">
        <f t="shared" si="2073"/>
        <v> </v>
      </c>
      <c r="D1037" s="293" t="str">
        <f t="shared" si="2074"/>
        <v> </v>
      </c>
      <c r="E1037" s="293" t="str">
        <f t="shared" si="2075"/>
        <v> </v>
      </c>
      <c r="F1037" s="293" t="str">
        <f t="shared" si="2076"/>
        <v> </v>
      </c>
      <c r="G1037" s="293" t="str">
        <f t="shared" si="2077"/>
        <v> </v>
      </c>
      <c r="H1037" s="293" t="str">
        <f t="shared" ref="H1037:I1037" si="2126">TEXT(IF($B1037=0," ",$B1037+H$6),"hh:mm am/pm")</f>
        <v> </v>
      </c>
      <c r="I1037" s="293" t="str">
        <f t="shared" si="2126"/>
        <v> </v>
      </c>
      <c r="J1037" s="609"/>
      <c r="K1037" s="612"/>
      <c r="L1037" s="609"/>
      <c r="M1037" s="592"/>
      <c r="N1037" s="593"/>
      <c r="O1037" s="594"/>
      <c r="P1037" s="595"/>
      <c r="Q1037" s="596"/>
      <c r="R1037" s="596"/>
      <c r="S1037" s="613"/>
      <c r="T1037" s="597"/>
      <c r="U1037" s="593"/>
      <c r="V1037" s="593"/>
      <c r="W1037" s="593"/>
      <c r="X1037" s="598"/>
      <c r="Y1037" s="599"/>
      <c r="Z1037" s="593"/>
      <c r="AA1037" s="600"/>
      <c r="AB1037" s="600"/>
      <c r="AC1037" s="601"/>
      <c r="AD1037" s="601"/>
      <c r="AE1037" s="597"/>
      <c r="AF1037" s="598"/>
      <c r="AG1037" s="602"/>
      <c r="AH1037" s="602"/>
      <c r="AI1037" s="602"/>
      <c r="AJ1037" s="603"/>
      <c r="AK1037" s="605"/>
      <c r="AL1037" s="605"/>
      <c r="AM1037" s="611"/>
      <c r="AN1037" s="606"/>
      <c r="AO1037" s="314" t="str">
        <f t="shared" si="2079"/>
        <v> </v>
      </c>
      <c r="AP1037" s="315">
        <f t="shared" si="2080"/>
        <v>0</v>
      </c>
      <c r="AQ1037" s="316" t="str">
        <f t="shared" si="2081"/>
        <v> </v>
      </c>
    </row>
    <row r="1038" ht="29.25" customHeight="1" outlineLevel="1" spans="1:43">
      <c r="A1038" s="607"/>
      <c r="B1038" s="608"/>
      <c r="C1038" s="293" t="str">
        <f t="shared" si="2073"/>
        <v> </v>
      </c>
      <c r="D1038" s="293" t="str">
        <f t="shared" si="2074"/>
        <v> </v>
      </c>
      <c r="E1038" s="293" t="str">
        <f t="shared" si="2075"/>
        <v> </v>
      </c>
      <c r="F1038" s="293" t="str">
        <f t="shared" si="2076"/>
        <v> </v>
      </c>
      <c r="G1038" s="293" t="str">
        <f t="shared" si="2077"/>
        <v> </v>
      </c>
      <c r="H1038" s="293" t="str">
        <f t="shared" ref="H1038:I1038" si="2127">TEXT(IF($B1038=0," ",$B1038+H$6),"hh:mm am/pm")</f>
        <v> </v>
      </c>
      <c r="I1038" s="293" t="str">
        <f t="shared" si="2127"/>
        <v> </v>
      </c>
      <c r="J1038" s="609"/>
      <c r="K1038" s="612"/>
      <c r="L1038" s="609"/>
      <c r="M1038" s="592"/>
      <c r="N1038" s="593"/>
      <c r="O1038" s="594"/>
      <c r="P1038" s="595"/>
      <c r="Q1038" s="596"/>
      <c r="R1038" s="596"/>
      <c r="S1038" s="613"/>
      <c r="T1038" s="597"/>
      <c r="U1038" s="593"/>
      <c r="V1038" s="593"/>
      <c r="W1038" s="593"/>
      <c r="X1038" s="598"/>
      <c r="Y1038" s="599"/>
      <c r="Z1038" s="593"/>
      <c r="AA1038" s="600"/>
      <c r="AB1038" s="600"/>
      <c r="AC1038" s="601"/>
      <c r="AD1038" s="601"/>
      <c r="AE1038" s="597"/>
      <c r="AF1038" s="598"/>
      <c r="AG1038" s="602"/>
      <c r="AH1038" s="602"/>
      <c r="AI1038" s="602"/>
      <c r="AJ1038" s="603"/>
      <c r="AK1038" s="605"/>
      <c r="AL1038" s="605"/>
      <c r="AM1038" s="611"/>
      <c r="AN1038" s="606"/>
      <c r="AO1038" s="314" t="str">
        <f t="shared" si="2079"/>
        <v> </v>
      </c>
      <c r="AP1038" s="315">
        <f t="shared" si="2080"/>
        <v>0</v>
      </c>
      <c r="AQ1038" s="316" t="str">
        <f t="shared" si="2081"/>
        <v> </v>
      </c>
    </row>
    <row r="1039" ht="29.25" customHeight="1" outlineLevel="1" spans="1:43">
      <c r="A1039" s="607"/>
      <c r="B1039" s="608"/>
      <c r="C1039" s="293" t="str">
        <f t="shared" si="2073"/>
        <v> </v>
      </c>
      <c r="D1039" s="293" t="str">
        <f t="shared" si="2074"/>
        <v> </v>
      </c>
      <c r="E1039" s="293" t="str">
        <f t="shared" si="2075"/>
        <v> </v>
      </c>
      <c r="F1039" s="293" t="str">
        <f t="shared" si="2076"/>
        <v> </v>
      </c>
      <c r="G1039" s="293" t="str">
        <f t="shared" si="2077"/>
        <v> </v>
      </c>
      <c r="H1039" s="293" t="str">
        <f t="shared" ref="H1039:I1039" si="2128">TEXT(IF($B1039=0," ",$B1039+H$6),"hh:mm am/pm")</f>
        <v> </v>
      </c>
      <c r="I1039" s="293" t="str">
        <f t="shared" si="2128"/>
        <v> </v>
      </c>
      <c r="J1039" s="609"/>
      <c r="K1039" s="612"/>
      <c r="L1039" s="609"/>
      <c r="M1039" s="592"/>
      <c r="N1039" s="593"/>
      <c r="O1039" s="594"/>
      <c r="P1039" s="595"/>
      <c r="Q1039" s="596"/>
      <c r="R1039" s="596"/>
      <c r="S1039" s="613"/>
      <c r="T1039" s="597"/>
      <c r="U1039" s="593"/>
      <c r="V1039" s="593"/>
      <c r="W1039" s="593"/>
      <c r="X1039" s="598"/>
      <c r="Y1039" s="599"/>
      <c r="Z1039" s="593"/>
      <c r="AA1039" s="600"/>
      <c r="AB1039" s="600"/>
      <c r="AC1039" s="601"/>
      <c r="AD1039" s="601"/>
      <c r="AE1039" s="597"/>
      <c r="AF1039" s="598"/>
      <c r="AG1039" s="602"/>
      <c r="AH1039" s="602"/>
      <c r="AI1039" s="602"/>
      <c r="AJ1039" s="603"/>
      <c r="AK1039" s="605"/>
      <c r="AL1039" s="605"/>
      <c r="AM1039" s="611"/>
      <c r="AN1039" s="606"/>
      <c r="AO1039" s="314" t="str">
        <f t="shared" si="2079"/>
        <v> </v>
      </c>
      <c r="AP1039" s="315">
        <f t="shared" si="2080"/>
        <v>0</v>
      </c>
      <c r="AQ1039" s="316" t="str">
        <f t="shared" si="2081"/>
        <v> </v>
      </c>
    </row>
    <row r="1040" ht="29.25" customHeight="1" outlineLevel="1" spans="1:43">
      <c r="A1040" s="607"/>
      <c r="B1040" s="608"/>
      <c r="C1040" s="293" t="str">
        <f t="shared" si="2073"/>
        <v> </v>
      </c>
      <c r="D1040" s="293" t="str">
        <f t="shared" si="2074"/>
        <v> </v>
      </c>
      <c r="E1040" s="293" t="str">
        <f t="shared" si="2075"/>
        <v> </v>
      </c>
      <c r="F1040" s="293" t="str">
        <f t="shared" si="2076"/>
        <v> </v>
      </c>
      <c r="G1040" s="293" t="str">
        <f t="shared" si="2077"/>
        <v> </v>
      </c>
      <c r="H1040" s="293" t="str">
        <f t="shared" ref="H1040:I1040" si="2129">TEXT(IF($B1040=0," ",$B1040+H$6),"hh:mm am/pm")</f>
        <v> </v>
      </c>
      <c r="I1040" s="293" t="str">
        <f t="shared" si="2129"/>
        <v> </v>
      </c>
      <c r="J1040" s="609"/>
      <c r="K1040" s="612"/>
      <c r="L1040" s="609"/>
      <c r="M1040" s="592"/>
      <c r="N1040" s="593"/>
      <c r="O1040" s="594"/>
      <c r="P1040" s="595"/>
      <c r="Q1040" s="596"/>
      <c r="R1040" s="596"/>
      <c r="S1040" s="613"/>
      <c r="T1040" s="597"/>
      <c r="U1040" s="593"/>
      <c r="V1040" s="593"/>
      <c r="W1040" s="593"/>
      <c r="X1040" s="598"/>
      <c r="Y1040" s="599"/>
      <c r="Z1040" s="593"/>
      <c r="AA1040" s="600"/>
      <c r="AB1040" s="600"/>
      <c r="AC1040" s="601"/>
      <c r="AD1040" s="601"/>
      <c r="AE1040" s="597"/>
      <c r="AF1040" s="598"/>
      <c r="AG1040" s="602"/>
      <c r="AH1040" s="602"/>
      <c r="AI1040" s="602"/>
      <c r="AJ1040" s="603"/>
      <c r="AK1040" s="605"/>
      <c r="AL1040" s="605"/>
      <c r="AM1040" s="611"/>
      <c r="AN1040" s="606"/>
      <c r="AO1040" s="314" t="str">
        <f t="shared" si="2079"/>
        <v> </v>
      </c>
      <c r="AP1040" s="315">
        <f t="shared" si="2080"/>
        <v>0</v>
      </c>
      <c r="AQ1040" s="316" t="str">
        <f t="shared" si="2081"/>
        <v> </v>
      </c>
    </row>
    <row r="1041" ht="29.25" customHeight="1" outlineLevel="1" spans="1:43">
      <c r="A1041" s="607"/>
      <c r="B1041" s="608"/>
      <c r="C1041" s="293" t="str">
        <f t="shared" si="2073"/>
        <v> </v>
      </c>
      <c r="D1041" s="293" t="str">
        <f t="shared" si="2074"/>
        <v> </v>
      </c>
      <c r="E1041" s="293" t="str">
        <f t="shared" si="2075"/>
        <v> </v>
      </c>
      <c r="F1041" s="293" t="str">
        <f t="shared" si="2076"/>
        <v> </v>
      </c>
      <c r="G1041" s="293" t="str">
        <f t="shared" si="2077"/>
        <v> </v>
      </c>
      <c r="H1041" s="293" t="str">
        <f t="shared" ref="H1041:I1041" si="2130">TEXT(IF($B1041=0," ",$B1041+H$6),"hh:mm am/pm")</f>
        <v> </v>
      </c>
      <c r="I1041" s="293" t="str">
        <f t="shared" si="2130"/>
        <v> </v>
      </c>
      <c r="J1041" s="609"/>
      <c r="K1041" s="612"/>
      <c r="L1041" s="609"/>
      <c r="M1041" s="592"/>
      <c r="N1041" s="593"/>
      <c r="O1041" s="594"/>
      <c r="P1041" s="595"/>
      <c r="Q1041" s="596"/>
      <c r="R1041" s="596"/>
      <c r="S1041" s="613"/>
      <c r="T1041" s="597"/>
      <c r="U1041" s="593"/>
      <c r="V1041" s="593"/>
      <c r="W1041" s="593"/>
      <c r="X1041" s="598"/>
      <c r="Y1041" s="599"/>
      <c r="Z1041" s="593"/>
      <c r="AA1041" s="600"/>
      <c r="AB1041" s="600"/>
      <c r="AC1041" s="601"/>
      <c r="AD1041" s="601"/>
      <c r="AE1041" s="597"/>
      <c r="AF1041" s="598"/>
      <c r="AG1041" s="602"/>
      <c r="AH1041" s="602"/>
      <c r="AI1041" s="602"/>
      <c r="AJ1041" s="603"/>
      <c r="AK1041" s="605"/>
      <c r="AL1041" s="605"/>
      <c r="AM1041" s="611"/>
      <c r="AN1041" s="606"/>
      <c r="AO1041" s="314" t="str">
        <f t="shared" si="2079"/>
        <v> </v>
      </c>
      <c r="AP1041" s="315">
        <f t="shared" si="2080"/>
        <v>0</v>
      </c>
      <c r="AQ1041" s="316" t="str">
        <f t="shared" si="2081"/>
        <v> </v>
      </c>
    </row>
    <row r="1042" ht="29.25" customHeight="1" outlineLevel="1" spans="1:43">
      <c r="A1042" s="607"/>
      <c r="B1042" s="608"/>
      <c r="C1042" s="293" t="str">
        <f t="shared" si="2073"/>
        <v> </v>
      </c>
      <c r="D1042" s="293" t="str">
        <f t="shared" si="2074"/>
        <v> </v>
      </c>
      <c r="E1042" s="293" t="str">
        <f t="shared" si="2075"/>
        <v> </v>
      </c>
      <c r="F1042" s="293" t="str">
        <f t="shared" si="2076"/>
        <v> </v>
      </c>
      <c r="G1042" s="293" t="str">
        <f t="shared" si="2077"/>
        <v> </v>
      </c>
      <c r="H1042" s="293" t="str">
        <f t="shared" ref="H1042:I1042" si="2131">TEXT(IF($B1042=0," ",$B1042+H$6),"hh:mm am/pm")</f>
        <v> </v>
      </c>
      <c r="I1042" s="293" t="str">
        <f t="shared" si="2131"/>
        <v> </v>
      </c>
      <c r="J1042" s="609"/>
      <c r="K1042" s="612"/>
      <c r="L1042" s="609"/>
      <c r="M1042" s="592"/>
      <c r="N1042" s="593"/>
      <c r="O1042" s="594"/>
      <c r="P1042" s="595"/>
      <c r="Q1042" s="596"/>
      <c r="R1042" s="596"/>
      <c r="S1042" s="613"/>
      <c r="T1042" s="597"/>
      <c r="U1042" s="593"/>
      <c r="V1042" s="593"/>
      <c r="W1042" s="593"/>
      <c r="X1042" s="598"/>
      <c r="Y1042" s="599"/>
      <c r="Z1042" s="593"/>
      <c r="AA1042" s="600"/>
      <c r="AB1042" s="600"/>
      <c r="AC1042" s="601"/>
      <c r="AD1042" s="601"/>
      <c r="AE1042" s="597"/>
      <c r="AF1042" s="598"/>
      <c r="AG1042" s="602"/>
      <c r="AH1042" s="602"/>
      <c r="AI1042" s="602"/>
      <c r="AJ1042" s="603"/>
      <c r="AK1042" s="605"/>
      <c r="AL1042" s="605"/>
      <c r="AM1042" s="611"/>
      <c r="AN1042" s="606"/>
      <c r="AO1042" s="314" t="str">
        <f t="shared" si="2079"/>
        <v> </v>
      </c>
      <c r="AP1042" s="315">
        <f t="shared" si="2080"/>
        <v>0</v>
      </c>
      <c r="AQ1042" s="316" t="str">
        <f t="shared" si="2081"/>
        <v> </v>
      </c>
    </row>
    <row r="1043" ht="29.25" customHeight="1" outlineLevel="1" spans="1:43">
      <c r="A1043" s="607"/>
      <c r="B1043" s="608"/>
      <c r="C1043" s="293" t="str">
        <f t="shared" si="2073"/>
        <v> </v>
      </c>
      <c r="D1043" s="293" t="str">
        <f t="shared" si="2074"/>
        <v> </v>
      </c>
      <c r="E1043" s="293" t="str">
        <f t="shared" si="2075"/>
        <v> </v>
      </c>
      <c r="F1043" s="293" t="str">
        <f t="shared" si="2076"/>
        <v> </v>
      </c>
      <c r="G1043" s="293" t="str">
        <f t="shared" si="2077"/>
        <v> </v>
      </c>
      <c r="H1043" s="293" t="str">
        <f t="shared" ref="H1043:I1043" si="2132">TEXT(IF($B1043=0," ",$B1043+H$6),"hh:mm am/pm")</f>
        <v> </v>
      </c>
      <c r="I1043" s="293" t="str">
        <f t="shared" si="2132"/>
        <v> </v>
      </c>
      <c r="J1043" s="609"/>
      <c r="K1043" s="612"/>
      <c r="L1043" s="609"/>
      <c r="M1043" s="592"/>
      <c r="N1043" s="593"/>
      <c r="O1043" s="594"/>
      <c r="P1043" s="595"/>
      <c r="Q1043" s="596"/>
      <c r="R1043" s="596"/>
      <c r="S1043" s="613"/>
      <c r="T1043" s="597"/>
      <c r="U1043" s="593"/>
      <c r="V1043" s="593"/>
      <c r="W1043" s="593"/>
      <c r="X1043" s="598"/>
      <c r="Y1043" s="599"/>
      <c r="Z1043" s="593"/>
      <c r="AA1043" s="600"/>
      <c r="AB1043" s="600"/>
      <c r="AC1043" s="601"/>
      <c r="AD1043" s="601"/>
      <c r="AE1043" s="597"/>
      <c r="AF1043" s="598"/>
      <c r="AG1043" s="602"/>
      <c r="AH1043" s="602"/>
      <c r="AI1043" s="602"/>
      <c r="AJ1043" s="603"/>
      <c r="AK1043" s="605"/>
      <c r="AL1043" s="605"/>
      <c r="AM1043" s="611"/>
      <c r="AN1043" s="606"/>
      <c r="AO1043" s="314" t="str">
        <f t="shared" si="2079"/>
        <v> </v>
      </c>
      <c r="AP1043" s="315">
        <f t="shared" si="2080"/>
        <v>0</v>
      </c>
      <c r="AQ1043" s="316" t="str">
        <f t="shared" si="2081"/>
        <v> </v>
      </c>
    </row>
    <row r="1044" ht="29.25" customHeight="1" outlineLevel="1" spans="1:43">
      <c r="A1044" s="607"/>
      <c r="B1044" s="608"/>
      <c r="C1044" s="293" t="str">
        <f t="shared" si="2073"/>
        <v> </v>
      </c>
      <c r="D1044" s="293" t="str">
        <f t="shared" si="2074"/>
        <v> </v>
      </c>
      <c r="E1044" s="293" t="str">
        <f t="shared" si="2075"/>
        <v> </v>
      </c>
      <c r="F1044" s="293" t="str">
        <f t="shared" si="2076"/>
        <v> </v>
      </c>
      <c r="G1044" s="293" t="str">
        <f t="shared" si="2077"/>
        <v> </v>
      </c>
      <c r="H1044" s="293" t="str">
        <f t="shared" ref="H1044:I1044" si="2133">TEXT(IF($B1044=0," ",$B1044+H$6),"hh:mm am/pm")</f>
        <v> </v>
      </c>
      <c r="I1044" s="293" t="str">
        <f t="shared" si="2133"/>
        <v> </v>
      </c>
      <c r="J1044" s="609"/>
      <c r="K1044" s="612"/>
      <c r="L1044" s="609"/>
      <c r="M1044" s="592"/>
      <c r="N1044" s="593"/>
      <c r="O1044" s="594"/>
      <c r="P1044" s="595"/>
      <c r="Q1044" s="596"/>
      <c r="R1044" s="596"/>
      <c r="S1044" s="613"/>
      <c r="T1044" s="597"/>
      <c r="U1044" s="593"/>
      <c r="V1044" s="593"/>
      <c r="W1044" s="593"/>
      <c r="X1044" s="598"/>
      <c r="Y1044" s="599"/>
      <c r="Z1044" s="593"/>
      <c r="AA1044" s="600"/>
      <c r="AB1044" s="600"/>
      <c r="AC1044" s="601"/>
      <c r="AD1044" s="601"/>
      <c r="AE1044" s="597"/>
      <c r="AF1044" s="598"/>
      <c r="AG1044" s="602"/>
      <c r="AH1044" s="602"/>
      <c r="AI1044" s="602"/>
      <c r="AJ1044" s="603"/>
      <c r="AK1044" s="605"/>
      <c r="AL1044" s="605"/>
      <c r="AM1044" s="611"/>
      <c r="AN1044" s="606"/>
      <c r="AO1044" s="314" t="str">
        <f t="shared" si="2079"/>
        <v> </v>
      </c>
      <c r="AP1044" s="315">
        <f t="shared" si="2080"/>
        <v>0</v>
      </c>
      <c r="AQ1044" s="316" t="str">
        <f t="shared" si="2081"/>
        <v> </v>
      </c>
    </row>
    <row r="1045" ht="29.25" customHeight="1" outlineLevel="1" spans="1:43">
      <c r="A1045" s="607"/>
      <c r="B1045" s="608"/>
      <c r="C1045" s="293" t="str">
        <f t="shared" si="2073"/>
        <v> </v>
      </c>
      <c r="D1045" s="293" t="str">
        <f t="shared" si="2074"/>
        <v> </v>
      </c>
      <c r="E1045" s="293" t="str">
        <f t="shared" si="2075"/>
        <v> </v>
      </c>
      <c r="F1045" s="293" t="str">
        <f t="shared" si="2076"/>
        <v> </v>
      </c>
      <c r="G1045" s="293" t="str">
        <f t="shared" si="2077"/>
        <v> </v>
      </c>
      <c r="H1045" s="293" t="str">
        <f t="shared" ref="H1045:I1045" si="2134">TEXT(IF($B1045=0," ",$B1045+H$6),"hh:mm am/pm")</f>
        <v> </v>
      </c>
      <c r="I1045" s="293" t="str">
        <f t="shared" si="2134"/>
        <v> </v>
      </c>
      <c r="J1045" s="609"/>
      <c r="K1045" s="612"/>
      <c r="L1045" s="609"/>
      <c r="M1045" s="592"/>
      <c r="N1045" s="593"/>
      <c r="O1045" s="594"/>
      <c r="P1045" s="595"/>
      <c r="Q1045" s="596"/>
      <c r="R1045" s="596"/>
      <c r="S1045" s="613"/>
      <c r="T1045" s="597"/>
      <c r="U1045" s="593"/>
      <c r="V1045" s="593"/>
      <c r="W1045" s="593"/>
      <c r="X1045" s="598"/>
      <c r="Y1045" s="599"/>
      <c r="Z1045" s="593"/>
      <c r="AA1045" s="600"/>
      <c r="AB1045" s="600"/>
      <c r="AC1045" s="601"/>
      <c r="AD1045" s="601"/>
      <c r="AE1045" s="597"/>
      <c r="AF1045" s="598"/>
      <c r="AG1045" s="602"/>
      <c r="AH1045" s="602"/>
      <c r="AI1045" s="602"/>
      <c r="AJ1045" s="603"/>
      <c r="AK1045" s="605"/>
      <c r="AL1045" s="605"/>
      <c r="AM1045" s="611"/>
      <c r="AN1045" s="606"/>
      <c r="AO1045" s="314" t="str">
        <f t="shared" si="2079"/>
        <v> </v>
      </c>
      <c r="AP1045" s="315">
        <f t="shared" si="2080"/>
        <v>0</v>
      </c>
      <c r="AQ1045" s="316" t="str">
        <f t="shared" si="2081"/>
        <v> </v>
      </c>
    </row>
    <row r="1046" ht="29.25" customHeight="1" outlineLevel="1" spans="1:43">
      <c r="A1046" s="607"/>
      <c r="B1046" s="608"/>
      <c r="C1046" s="293" t="str">
        <f t="shared" si="2073"/>
        <v> </v>
      </c>
      <c r="D1046" s="293" t="str">
        <f t="shared" si="2074"/>
        <v> </v>
      </c>
      <c r="E1046" s="293" t="str">
        <f t="shared" si="2075"/>
        <v> </v>
      </c>
      <c r="F1046" s="293" t="str">
        <f t="shared" si="2076"/>
        <v> </v>
      </c>
      <c r="G1046" s="293" t="str">
        <f t="shared" si="2077"/>
        <v> </v>
      </c>
      <c r="H1046" s="293" t="str">
        <f t="shared" ref="H1046:I1046" si="2135">TEXT(IF($B1046=0," ",$B1046+H$6),"hh:mm am/pm")</f>
        <v> </v>
      </c>
      <c r="I1046" s="293" t="str">
        <f t="shared" si="2135"/>
        <v> </v>
      </c>
      <c r="J1046" s="609"/>
      <c r="K1046" s="612"/>
      <c r="L1046" s="609"/>
      <c r="M1046" s="592"/>
      <c r="N1046" s="593"/>
      <c r="O1046" s="594"/>
      <c r="P1046" s="595"/>
      <c r="Q1046" s="596"/>
      <c r="R1046" s="596"/>
      <c r="S1046" s="613"/>
      <c r="T1046" s="597"/>
      <c r="U1046" s="593"/>
      <c r="V1046" s="593"/>
      <c r="W1046" s="593"/>
      <c r="X1046" s="598"/>
      <c r="Y1046" s="599"/>
      <c r="Z1046" s="593"/>
      <c r="AA1046" s="600"/>
      <c r="AB1046" s="600"/>
      <c r="AC1046" s="601"/>
      <c r="AD1046" s="601"/>
      <c r="AE1046" s="597"/>
      <c r="AF1046" s="598"/>
      <c r="AG1046" s="602"/>
      <c r="AH1046" s="602"/>
      <c r="AI1046" s="602"/>
      <c r="AJ1046" s="603"/>
      <c r="AK1046" s="605"/>
      <c r="AL1046" s="605"/>
      <c r="AM1046" s="611"/>
      <c r="AN1046" s="606"/>
      <c r="AO1046" s="314" t="str">
        <f t="shared" si="2079"/>
        <v> </v>
      </c>
      <c r="AP1046" s="315">
        <f t="shared" si="2080"/>
        <v>0</v>
      </c>
      <c r="AQ1046" s="316" t="str">
        <f t="shared" si="2081"/>
        <v> </v>
      </c>
    </row>
    <row r="1047" ht="29.25" customHeight="1" outlineLevel="1" spans="1:43">
      <c r="A1047" s="607"/>
      <c r="B1047" s="608"/>
      <c r="C1047" s="293" t="str">
        <f t="shared" si="2073"/>
        <v> </v>
      </c>
      <c r="D1047" s="293" t="str">
        <f t="shared" si="2074"/>
        <v> </v>
      </c>
      <c r="E1047" s="293" t="str">
        <f t="shared" si="2075"/>
        <v> </v>
      </c>
      <c r="F1047" s="293" t="str">
        <f t="shared" si="2076"/>
        <v> </v>
      </c>
      <c r="G1047" s="293" t="str">
        <f t="shared" si="2077"/>
        <v> </v>
      </c>
      <c r="H1047" s="293" t="str">
        <f t="shared" ref="H1047:I1047" si="2136">TEXT(IF($B1047=0," ",$B1047+H$6),"hh:mm am/pm")</f>
        <v> </v>
      </c>
      <c r="I1047" s="293" t="str">
        <f t="shared" si="2136"/>
        <v> </v>
      </c>
      <c r="J1047" s="609"/>
      <c r="K1047" s="612"/>
      <c r="L1047" s="609"/>
      <c r="M1047" s="592"/>
      <c r="N1047" s="593"/>
      <c r="O1047" s="594"/>
      <c r="P1047" s="595"/>
      <c r="Q1047" s="596"/>
      <c r="R1047" s="596"/>
      <c r="S1047" s="613"/>
      <c r="T1047" s="597"/>
      <c r="U1047" s="593"/>
      <c r="V1047" s="593"/>
      <c r="W1047" s="593"/>
      <c r="X1047" s="598"/>
      <c r="Y1047" s="599"/>
      <c r="Z1047" s="593"/>
      <c r="AA1047" s="600"/>
      <c r="AB1047" s="600"/>
      <c r="AC1047" s="601"/>
      <c r="AD1047" s="601"/>
      <c r="AE1047" s="597"/>
      <c r="AF1047" s="598"/>
      <c r="AG1047" s="602"/>
      <c r="AH1047" s="602"/>
      <c r="AI1047" s="602"/>
      <c r="AJ1047" s="603"/>
      <c r="AK1047" s="605"/>
      <c r="AL1047" s="605"/>
      <c r="AM1047" s="611"/>
      <c r="AN1047" s="606"/>
      <c r="AO1047" s="314" t="str">
        <f t="shared" si="2079"/>
        <v> </v>
      </c>
      <c r="AP1047" s="315">
        <f t="shared" si="2080"/>
        <v>0</v>
      </c>
      <c r="AQ1047" s="316" t="str">
        <f t="shared" si="2081"/>
        <v> </v>
      </c>
    </row>
    <row r="1048" ht="29.25" customHeight="1" outlineLevel="1" spans="1:43">
      <c r="A1048" s="607"/>
      <c r="B1048" s="608"/>
      <c r="C1048" s="293" t="str">
        <f t="shared" si="2073"/>
        <v> </v>
      </c>
      <c r="D1048" s="293" t="str">
        <f t="shared" si="2074"/>
        <v> </v>
      </c>
      <c r="E1048" s="293" t="str">
        <f t="shared" si="2075"/>
        <v> </v>
      </c>
      <c r="F1048" s="293" t="str">
        <f t="shared" si="2076"/>
        <v> </v>
      </c>
      <c r="G1048" s="293" t="str">
        <f t="shared" si="2077"/>
        <v> </v>
      </c>
      <c r="H1048" s="293" t="str">
        <f t="shared" ref="H1048:I1048" si="2137">TEXT(IF($B1048=0," ",$B1048+H$6),"hh:mm am/pm")</f>
        <v> </v>
      </c>
      <c r="I1048" s="293" t="str">
        <f t="shared" si="2137"/>
        <v> </v>
      </c>
      <c r="J1048" s="609"/>
      <c r="K1048" s="612"/>
      <c r="L1048" s="609"/>
      <c r="M1048" s="592"/>
      <c r="N1048" s="593"/>
      <c r="O1048" s="594"/>
      <c r="P1048" s="595"/>
      <c r="Q1048" s="596"/>
      <c r="R1048" s="596"/>
      <c r="S1048" s="613"/>
      <c r="T1048" s="597"/>
      <c r="U1048" s="593"/>
      <c r="V1048" s="593"/>
      <c r="W1048" s="593"/>
      <c r="X1048" s="598"/>
      <c r="Y1048" s="599"/>
      <c r="Z1048" s="593"/>
      <c r="AA1048" s="600"/>
      <c r="AB1048" s="600"/>
      <c r="AC1048" s="601"/>
      <c r="AD1048" s="601"/>
      <c r="AE1048" s="597"/>
      <c r="AF1048" s="598"/>
      <c r="AG1048" s="602"/>
      <c r="AH1048" s="602"/>
      <c r="AI1048" s="602"/>
      <c r="AJ1048" s="603"/>
      <c r="AK1048" s="605"/>
      <c r="AL1048" s="605"/>
      <c r="AM1048" s="611"/>
      <c r="AN1048" s="606"/>
      <c r="AO1048" s="314" t="str">
        <f t="shared" si="2079"/>
        <v> </v>
      </c>
      <c r="AP1048" s="315">
        <f t="shared" si="2080"/>
        <v>0</v>
      </c>
      <c r="AQ1048" s="316" t="str">
        <f t="shared" si="2081"/>
        <v> </v>
      </c>
    </row>
    <row r="1049" ht="29.25" customHeight="1" outlineLevel="1" spans="1:43">
      <c r="A1049" s="607"/>
      <c r="B1049" s="608"/>
      <c r="C1049" s="293" t="str">
        <f t="shared" si="2073"/>
        <v> </v>
      </c>
      <c r="D1049" s="293" t="str">
        <f t="shared" si="2074"/>
        <v> </v>
      </c>
      <c r="E1049" s="293" t="str">
        <f t="shared" si="2075"/>
        <v> </v>
      </c>
      <c r="F1049" s="293" t="str">
        <f t="shared" si="2076"/>
        <v> </v>
      </c>
      <c r="G1049" s="293" t="str">
        <f t="shared" si="2077"/>
        <v> </v>
      </c>
      <c r="H1049" s="293" t="str">
        <f t="shared" ref="H1049:I1049" si="2138">TEXT(IF($B1049=0," ",$B1049+H$6),"hh:mm am/pm")</f>
        <v> </v>
      </c>
      <c r="I1049" s="293" t="str">
        <f t="shared" si="2138"/>
        <v> </v>
      </c>
      <c r="J1049" s="609"/>
      <c r="K1049" s="612"/>
      <c r="L1049" s="609"/>
      <c r="M1049" s="592"/>
      <c r="N1049" s="593"/>
      <c r="O1049" s="594"/>
      <c r="P1049" s="595"/>
      <c r="Q1049" s="596"/>
      <c r="R1049" s="596"/>
      <c r="S1049" s="613"/>
      <c r="T1049" s="597"/>
      <c r="U1049" s="593"/>
      <c r="V1049" s="593"/>
      <c r="W1049" s="593"/>
      <c r="X1049" s="598"/>
      <c r="Y1049" s="599"/>
      <c r="Z1049" s="593"/>
      <c r="AA1049" s="600"/>
      <c r="AB1049" s="600"/>
      <c r="AC1049" s="601"/>
      <c r="AD1049" s="601"/>
      <c r="AE1049" s="597"/>
      <c r="AF1049" s="598"/>
      <c r="AG1049" s="602"/>
      <c r="AH1049" s="602"/>
      <c r="AI1049" s="602"/>
      <c r="AJ1049" s="603"/>
      <c r="AK1049" s="605"/>
      <c r="AL1049" s="605"/>
      <c r="AM1049" s="611"/>
      <c r="AN1049" s="606"/>
      <c r="AO1049" s="314" t="str">
        <f t="shared" si="2079"/>
        <v> </v>
      </c>
      <c r="AP1049" s="315">
        <f t="shared" si="2080"/>
        <v>0</v>
      </c>
      <c r="AQ1049" s="316" t="str">
        <f t="shared" si="2081"/>
        <v> </v>
      </c>
    </row>
    <row r="1050" ht="29.25" customHeight="1" outlineLevel="1" spans="1:43">
      <c r="A1050" s="607"/>
      <c r="B1050" s="590"/>
      <c r="C1050" s="293" t="str">
        <f t="shared" si="2073"/>
        <v> </v>
      </c>
      <c r="D1050" s="293" t="str">
        <f t="shared" si="2074"/>
        <v> </v>
      </c>
      <c r="E1050" s="293" t="str">
        <f t="shared" si="2075"/>
        <v> </v>
      </c>
      <c r="F1050" s="293" t="str">
        <f t="shared" si="2076"/>
        <v> </v>
      </c>
      <c r="G1050" s="293" t="str">
        <f t="shared" si="2077"/>
        <v> </v>
      </c>
      <c r="H1050" s="293" t="str">
        <f t="shared" ref="H1050:I1050" si="2139">TEXT(IF($B1050=0," ",$B1050+H$6),"hh:mm am/pm")</f>
        <v> </v>
      </c>
      <c r="I1050" s="293" t="str">
        <f t="shared" si="2139"/>
        <v> </v>
      </c>
      <c r="J1050" s="609"/>
      <c r="K1050" s="612"/>
      <c r="L1050" s="609"/>
      <c r="M1050" s="592"/>
      <c r="N1050" s="593"/>
      <c r="O1050" s="594"/>
      <c r="P1050" s="595"/>
      <c r="Q1050" s="596"/>
      <c r="R1050" s="596"/>
      <c r="S1050" s="613"/>
      <c r="T1050" s="597"/>
      <c r="U1050" s="593"/>
      <c r="V1050" s="593"/>
      <c r="W1050" s="593"/>
      <c r="X1050" s="598"/>
      <c r="Y1050" s="599"/>
      <c r="Z1050" s="593"/>
      <c r="AA1050" s="600"/>
      <c r="AB1050" s="600"/>
      <c r="AC1050" s="601"/>
      <c r="AD1050" s="601"/>
      <c r="AE1050" s="597"/>
      <c r="AF1050" s="598"/>
      <c r="AG1050" s="602"/>
      <c r="AH1050" s="602"/>
      <c r="AI1050" s="602"/>
      <c r="AJ1050" s="603"/>
      <c r="AK1050" s="605"/>
      <c r="AL1050" s="605"/>
      <c r="AM1050" s="611"/>
      <c r="AN1050" s="606"/>
      <c r="AO1050" s="314" t="str">
        <f t="shared" si="2079"/>
        <v> </v>
      </c>
      <c r="AP1050" s="315">
        <f t="shared" si="2080"/>
        <v>0</v>
      </c>
      <c r="AQ1050" s="316" t="str">
        <f t="shared" si="2081"/>
        <v> </v>
      </c>
    </row>
    <row r="1051" ht="29.25" customHeight="1" outlineLevel="1" spans="1:43">
      <c r="A1051" s="607"/>
      <c r="B1051" s="608"/>
      <c r="C1051" s="293" t="str">
        <f t="shared" si="2073"/>
        <v> </v>
      </c>
      <c r="D1051" s="293" t="str">
        <f t="shared" si="2074"/>
        <v> </v>
      </c>
      <c r="E1051" s="293" t="str">
        <f t="shared" si="2075"/>
        <v> </v>
      </c>
      <c r="F1051" s="293" t="str">
        <f t="shared" si="2076"/>
        <v> </v>
      </c>
      <c r="G1051" s="293" t="str">
        <f t="shared" si="2077"/>
        <v> </v>
      </c>
      <c r="H1051" s="293" t="str">
        <f t="shared" ref="H1051:I1051" si="2140">TEXT(IF($B1051=0," ",$B1051+H$6),"hh:mm am/pm")</f>
        <v> </v>
      </c>
      <c r="I1051" s="293" t="str">
        <f t="shared" si="2140"/>
        <v> </v>
      </c>
      <c r="J1051" s="609"/>
      <c r="K1051" s="612"/>
      <c r="L1051" s="609"/>
      <c r="M1051" s="592"/>
      <c r="N1051" s="593"/>
      <c r="O1051" s="594"/>
      <c r="P1051" s="595"/>
      <c r="Q1051" s="596"/>
      <c r="R1051" s="596"/>
      <c r="S1051" s="613"/>
      <c r="T1051" s="597"/>
      <c r="U1051" s="593"/>
      <c r="V1051" s="593"/>
      <c r="W1051" s="593"/>
      <c r="X1051" s="598"/>
      <c r="Y1051" s="599"/>
      <c r="Z1051" s="593"/>
      <c r="AA1051" s="600"/>
      <c r="AB1051" s="600"/>
      <c r="AC1051" s="601"/>
      <c r="AD1051" s="601"/>
      <c r="AE1051" s="597"/>
      <c r="AF1051" s="598"/>
      <c r="AG1051" s="602"/>
      <c r="AH1051" s="602"/>
      <c r="AI1051" s="602"/>
      <c r="AJ1051" s="603"/>
      <c r="AK1051" s="605"/>
      <c r="AL1051" s="605"/>
      <c r="AM1051" s="611"/>
      <c r="AN1051" s="606"/>
      <c r="AO1051" s="314" t="str">
        <f t="shared" si="2079"/>
        <v> </v>
      </c>
      <c r="AP1051" s="315">
        <f t="shared" si="2080"/>
        <v>0</v>
      </c>
      <c r="AQ1051" s="316" t="str">
        <f t="shared" si="2081"/>
        <v> </v>
      </c>
    </row>
    <row r="1052" ht="29.25" customHeight="1" outlineLevel="1" spans="1:43">
      <c r="A1052" s="607"/>
      <c r="B1052" s="608"/>
      <c r="C1052" s="293" t="str">
        <f t="shared" si="2073"/>
        <v> </v>
      </c>
      <c r="D1052" s="293" t="str">
        <f t="shared" si="2074"/>
        <v> </v>
      </c>
      <c r="E1052" s="293" t="str">
        <f t="shared" si="2075"/>
        <v> </v>
      </c>
      <c r="F1052" s="293" t="str">
        <f t="shared" si="2076"/>
        <v> </v>
      </c>
      <c r="G1052" s="293" t="str">
        <f t="shared" si="2077"/>
        <v> </v>
      </c>
      <c r="H1052" s="293" t="str">
        <f t="shared" ref="H1052:I1052" si="2141">TEXT(IF($B1052=0," ",$B1052+H$6),"hh:mm am/pm")</f>
        <v> </v>
      </c>
      <c r="I1052" s="293" t="str">
        <f t="shared" si="2141"/>
        <v> </v>
      </c>
      <c r="J1052" s="609"/>
      <c r="K1052" s="612"/>
      <c r="L1052" s="609"/>
      <c r="M1052" s="592"/>
      <c r="N1052" s="593"/>
      <c r="O1052" s="594"/>
      <c r="P1052" s="595"/>
      <c r="Q1052" s="596"/>
      <c r="R1052" s="596"/>
      <c r="S1052" s="613"/>
      <c r="T1052" s="597"/>
      <c r="U1052" s="593"/>
      <c r="V1052" s="593"/>
      <c r="W1052" s="593"/>
      <c r="X1052" s="598"/>
      <c r="Y1052" s="599"/>
      <c r="Z1052" s="593"/>
      <c r="AA1052" s="600"/>
      <c r="AB1052" s="600"/>
      <c r="AC1052" s="601"/>
      <c r="AD1052" s="601"/>
      <c r="AE1052" s="597"/>
      <c r="AF1052" s="598"/>
      <c r="AG1052" s="602"/>
      <c r="AH1052" s="602"/>
      <c r="AI1052" s="602"/>
      <c r="AJ1052" s="603"/>
      <c r="AK1052" s="605"/>
      <c r="AL1052" s="605"/>
      <c r="AM1052" s="611"/>
      <c r="AN1052" s="606"/>
      <c r="AO1052" s="314" t="str">
        <f t="shared" si="2079"/>
        <v> </v>
      </c>
      <c r="AP1052" s="315">
        <f t="shared" si="2080"/>
        <v>0</v>
      </c>
      <c r="AQ1052" s="316" t="str">
        <f t="shared" si="2081"/>
        <v> </v>
      </c>
    </row>
    <row r="1053" ht="29.25" customHeight="1" outlineLevel="1" spans="1:43">
      <c r="A1053" s="607"/>
      <c r="B1053" s="608"/>
      <c r="C1053" s="293" t="str">
        <f t="shared" si="2073"/>
        <v> </v>
      </c>
      <c r="D1053" s="293" t="str">
        <f t="shared" si="2074"/>
        <v> </v>
      </c>
      <c r="E1053" s="293" t="str">
        <f t="shared" si="2075"/>
        <v> </v>
      </c>
      <c r="F1053" s="293" t="str">
        <f t="shared" si="2076"/>
        <v> </v>
      </c>
      <c r="G1053" s="293" t="str">
        <f t="shared" si="2077"/>
        <v> </v>
      </c>
      <c r="H1053" s="293" t="str">
        <f t="shared" ref="H1053:I1053" si="2142">TEXT(IF($B1053=0," ",$B1053+H$6),"hh:mm am/pm")</f>
        <v> </v>
      </c>
      <c r="I1053" s="293" t="str">
        <f t="shared" si="2142"/>
        <v> </v>
      </c>
      <c r="J1053" s="609"/>
      <c r="K1053" s="612"/>
      <c r="L1053" s="609"/>
      <c r="M1053" s="592"/>
      <c r="N1053" s="593"/>
      <c r="O1053" s="594"/>
      <c r="P1053" s="595"/>
      <c r="Q1053" s="596"/>
      <c r="R1053" s="596"/>
      <c r="S1053" s="613"/>
      <c r="T1053" s="597"/>
      <c r="U1053" s="593"/>
      <c r="V1053" s="593"/>
      <c r="W1053" s="593"/>
      <c r="X1053" s="598"/>
      <c r="Y1053" s="599"/>
      <c r="Z1053" s="593"/>
      <c r="AA1053" s="600"/>
      <c r="AB1053" s="600"/>
      <c r="AC1053" s="601"/>
      <c r="AD1053" s="601"/>
      <c r="AE1053" s="597"/>
      <c r="AF1053" s="598"/>
      <c r="AG1053" s="602"/>
      <c r="AH1053" s="602"/>
      <c r="AI1053" s="602"/>
      <c r="AJ1053" s="603"/>
      <c r="AK1053" s="605"/>
      <c r="AL1053" s="605"/>
      <c r="AM1053" s="611"/>
      <c r="AN1053" s="606"/>
      <c r="AO1053" s="314" t="str">
        <f t="shared" si="2079"/>
        <v> </v>
      </c>
      <c r="AP1053" s="315">
        <f t="shared" si="2080"/>
        <v>0</v>
      </c>
      <c r="AQ1053" s="316" t="str">
        <f t="shared" si="2081"/>
        <v> </v>
      </c>
    </row>
    <row r="1054" ht="29.25" customHeight="1" outlineLevel="1" spans="1:43">
      <c r="A1054" s="607"/>
      <c r="B1054" s="608"/>
      <c r="C1054" s="293" t="str">
        <f t="shared" si="2073"/>
        <v> </v>
      </c>
      <c r="D1054" s="293" t="str">
        <f t="shared" si="2074"/>
        <v> </v>
      </c>
      <c r="E1054" s="293" t="str">
        <f t="shared" si="2075"/>
        <v> </v>
      </c>
      <c r="F1054" s="293" t="str">
        <f t="shared" si="2076"/>
        <v> </v>
      </c>
      <c r="G1054" s="293" t="str">
        <f t="shared" si="2077"/>
        <v> </v>
      </c>
      <c r="H1054" s="293" t="str">
        <f t="shared" ref="H1054:I1054" si="2143">TEXT(IF($B1054=0," ",$B1054+H$6),"hh:mm am/pm")</f>
        <v> </v>
      </c>
      <c r="I1054" s="293" t="str">
        <f t="shared" si="2143"/>
        <v> </v>
      </c>
      <c r="J1054" s="609"/>
      <c r="K1054" s="612"/>
      <c r="L1054" s="609"/>
      <c r="M1054" s="592"/>
      <c r="N1054" s="593"/>
      <c r="O1054" s="594"/>
      <c r="P1054" s="595"/>
      <c r="Q1054" s="596"/>
      <c r="R1054" s="596"/>
      <c r="S1054" s="613"/>
      <c r="T1054" s="597"/>
      <c r="U1054" s="593"/>
      <c r="V1054" s="593"/>
      <c r="W1054" s="593"/>
      <c r="X1054" s="598"/>
      <c r="Y1054" s="599"/>
      <c r="Z1054" s="593"/>
      <c r="AA1054" s="600"/>
      <c r="AB1054" s="600"/>
      <c r="AC1054" s="601"/>
      <c r="AD1054" s="601"/>
      <c r="AE1054" s="597"/>
      <c r="AF1054" s="598"/>
      <c r="AG1054" s="602"/>
      <c r="AH1054" s="602"/>
      <c r="AI1054" s="602"/>
      <c r="AJ1054" s="603"/>
      <c r="AK1054" s="605"/>
      <c r="AL1054" s="605"/>
      <c r="AM1054" s="611"/>
      <c r="AN1054" s="606"/>
      <c r="AO1054" s="314" t="str">
        <f t="shared" si="2079"/>
        <v> </v>
      </c>
      <c r="AP1054" s="315">
        <f t="shared" si="2080"/>
        <v>0</v>
      </c>
      <c r="AQ1054" s="316" t="str">
        <f t="shared" si="2081"/>
        <v> </v>
      </c>
    </row>
    <row r="1055" ht="29.25" customHeight="1" outlineLevel="1" spans="1:43">
      <c r="A1055" s="607"/>
      <c r="B1055" s="608"/>
      <c r="C1055" s="293" t="str">
        <f t="shared" si="2073"/>
        <v> </v>
      </c>
      <c r="D1055" s="293" t="str">
        <f t="shared" si="2074"/>
        <v> </v>
      </c>
      <c r="E1055" s="293" t="str">
        <f t="shared" si="2075"/>
        <v> </v>
      </c>
      <c r="F1055" s="293" t="str">
        <f t="shared" si="2076"/>
        <v> </v>
      </c>
      <c r="G1055" s="293" t="str">
        <f t="shared" si="2077"/>
        <v> </v>
      </c>
      <c r="H1055" s="293" t="str">
        <f t="shared" ref="H1055:I1055" si="2144">TEXT(IF($B1055=0," ",$B1055+H$6),"hh:mm am/pm")</f>
        <v> </v>
      </c>
      <c r="I1055" s="293" t="str">
        <f t="shared" si="2144"/>
        <v> </v>
      </c>
      <c r="J1055" s="609"/>
      <c r="K1055" s="612"/>
      <c r="L1055" s="609"/>
      <c r="M1055" s="592"/>
      <c r="N1055" s="593"/>
      <c r="O1055" s="594"/>
      <c r="P1055" s="595"/>
      <c r="Q1055" s="596"/>
      <c r="R1055" s="596"/>
      <c r="S1055" s="613"/>
      <c r="T1055" s="597"/>
      <c r="U1055" s="593"/>
      <c r="V1055" s="593"/>
      <c r="W1055" s="593"/>
      <c r="X1055" s="598"/>
      <c r="Y1055" s="599"/>
      <c r="Z1055" s="593"/>
      <c r="AA1055" s="600"/>
      <c r="AB1055" s="600"/>
      <c r="AC1055" s="601"/>
      <c r="AD1055" s="601"/>
      <c r="AE1055" s="597"/>
      <c r="AF1055" s="598"/>
      <c r="AG1055" s="602"/>
      <c r="AH1055" s="602"/>
      <c r="AI1055" s="602"/>
      <c r="AJ1055" s="603"/>
      <c r="AK1055" s="605"/>
      <c r="AL1055" s="605"/>
      <c r="AM1055" s="611"/>
      <c r="AN1055" s="606"/>
      <c r="AO1055" s="314" t="str">
        <f t="shared" si="2079"/>
        <v> </v>
      </c>
      <c r="AP1055" s="315">
        <f t="shared" si="2080"/>
        <v>0</v>
      </c>
      <c r="AQ1055" s="316" t="str">
        <f t="shared" si="2081"/>
        <v> </v>
      </c>
    </row>
    <row r="1056" ht="29.25" customHeight="1" outlineLevel="1" spans="1:43">
      <c r="A1056" s="607"/>
      <c r="B1056" s="608"/>
      <c r="C1056" s="293" t="str">
        <f t="shared" si="2073"/>
        <v> </v>
      </c>
      <c r="D1056" s="293" t="str">
        <f t="shared" si="2074"/>
        <v> </v>
      </c>
      <c r="E1056" s="293" t="str">
        <f t="shared" si="2075"/>
        <v> </v>
      </c>
      <c r="F1056" s="293" t="str">
        <f t="shared" si="2076"/>
        <v> </v>
      </c>
      <c r="G1056" s="293" t="str">
        <f t="shared" si="2077"/>
        <v> </v>
      </c>
      <c r="H1056" s="293" t="str">
        <f t="shared" ref="H1056:I1056" si="2145">TEXT(IF($B1056=0," ",$B1056+H$6),"hh:mm am/pm")</f>
        <v> </v>
      </c>
      <c r="I1056" s="293" t="str">
        <f t="shared" si="2145"/>
        <v> </v>
      </c>
      <c r="J1056" s="609"/>
      <c r="K1056" s="612"/>
      <c r="L1056" s="609"/>
      <c r="M1056" s="592"/>
      <c r="N1056" s="593"/>
      <c r="O1056" s="594"/>
      <c r="P1056" s="595"/>
      <c r="Q1056" s="596"/>
      <c r="R1056" s="596"/>
      <c r="S1056" s="613"/>
      <c r="T1056" s="597"/>
      <c r="U1056" s="593"/>
      <c r="V1056" s="593"/>
      <c r="W1056" s="593"/>
      <c r="X1056" s="598"/>
      <c r="Y1056" s="599"/>
      <c r="Z1056" s="593"/>
      <c r="AA1056" s="600"/>
      <c r="AB1056" s="600"/>
      <c r="AC1056" s="601"/>
      <c r="AD1056" s="601"/>
      <c r="AE1056" s="597"/>
      <c r="AF1056" s="598"/>
      <c r="AG1056" s="602"/>
      <c r="AH1056" s="602"/>
      <c r="AI1056" s="602"/>
      <c r="AJ1056" s="603"/>
      <c r="AK1056" s="605"/>
      <c r="AL1056" s="605"/>
      <c r="AM1056" s="611"/>
      <c r="AN1056" s="606"/>
      <c r="AO1056" s="314" t="str">
        <f t="shared" si="2079"/>
        <v> </v>
      </c>
      <c r="AP1056" s="315">
        <f t="shared" si="2080"/>
        <v>0</v>
      </c>
      <c r="AQ1056" s="316" t="str">
        <f t="shared" si="2081"/>
        <v> </v>
      </c>
    </row>
    <row r="1057" ht="29.25" customHeight="1" outlineLevel="1" spans="1:43">
      <c r="A1057" s="607"/>
      <c r="B1057" s="590"/>
      <c r="C1057" s="293" t="str">
        <f t="shared" si="2073"/>
        <v> </v>
      </c>
      <c r="D1057" s="293" t="str">
        <f t="shared" si="2074"/>
        <v> </v>
      </c>
      <c r="E1057" s="293" t="str">
        <f t="shared" si="2075"/>
        <v> </v>
      </c>
      <c r="F1057" s="293" t="str">
        <f t="shared" si="2076"/>
        <v> </v>
      </c>
      <c r="G1057" s="293" t="str">
        <f t="shared" si="2077"/>
        <v> </v>
      </c>
      <c r="H1057" s="293" t="str">
        <f t="shared" ref="H1057:I1057" si="2146">TEXT(IF($B1057=0," ",$B1057+H$6),"hh:mm am/pm")</f>
        <v> </v>
      </c>
      <c r="I1057" s="293" t="str">
        <f t="shared" si="2146"/>
        <v> </v>
      </c>
      <c r="J1057" s="609"/>
      <c r="K1057" s="612"/>
      <c r="L1057" s="609"/>
      <c r="M1057" s="592"/>
      <c r="N1057" s="593"/>
      <c r="O1057" s="594"/>
      <c r="P1057" s="595"/>
      <c r="Q1057" s="596"/>
      <c r="R1057" s="596"/>
      <c r="S1057" s="613"/>
      <c r="T1057" s="597"/>
      <c r="U1057" s="593"/>
      <c r="V1057" s="593"/>
      <c r="W1057" s="593"/>
      <c r="X1057" s="598"/>
      <c r="Y1057" s="599"/>
      <c r="Z1057" s="593"/>
      <c r="AA1057" s="600"/>
      <c r="AB1057" s="600"/>
      <c r="AC1057" s="601"/>
      <c r="AD1057" s="601"/>
      <c r="AE1057" s="597"/>
      <c r="AF1057" s="598"/>
      <c r="AG1057" s="602"/>
      <c r="AH1057" s="602"/>
      <c r="AI1057" s="602"/>
      <c r="AJ1057" s="603"/>
      <c r="AK1057" s="605"/>
      <c r="AL1057" s="605"/>
      <c r="AM1057" s="611"/>
      <c r="AN1057" s="606"/>
      <c r="AO1057" s="314" t="str">
        <f t="shared" si="2079"/>
        <v> </v>
      </c>
      <c r="AP1057" s="315">
        <f t="shared" si="2080"/>
        <v>0</v>
      </c>
      <c r="AQ1057" s="316" t="str">
        <f t="shared" si="2081"/>
        <v> </v>
      </c>
    </row>
    <row r="1058" ht="29.25" customHeight="1" outlineLevel="1" spans="1:43">
      <c r="A1058" s="607"/>
      <c r="B1058" s="608"/>
      <c r="C1058" s="293" t="str">
        <f t="shared" si="2073"/>
        <v> </v>
      </c>
      <c r="D1058" s="293" t="str">
        <f t="shared" si="2074"/>
        <v> </v>
      </c>
      <c r="E1058" s="293" t="str">
        <f t="shared" si="2075"/>
        <v> </v>
      </c>
      <c r="F1058" s="293" t="str">
        <f t="shared" si="2076"/>
        <v> </v>
      </c>
      <c r="G1058" s="293" t="str">
        <f t="shared" si="2077"/>
        <v> </v>
      </c>
      <c r="H1058" s="293" t="str">
        <f t="shared" ref="H1058:I1058" si="2147">TEXT(IF($B1058=0," ",$B1058+H$6),"hh:mm am/pm")</f>
        <v> </v>
      </c>
      <c r="I1058" s="293" t="str">
        <f t="shared" si="2147"/>
        <v> </v>
      </c>
      <c r="J1058" s="609"/>
      <c r="K1058" s="612"/>
      <c r="L1058" s="609"/>
      <c r="M1058" s="592"/>
      <c r="N1058" s="593"/>
      <c r="O1058" s="594"/>
      <c r="P1058" s="595"/>
      <c r="Q1058" s="596"/>
      <c r="R1058" s="596"/>
      <c r="S1058" s="613"/>
      <c r="T1058" s="597"/>
      <c r="U1058" s="593"/>
      <c r="V1058" s="593"/>
      <c r="W1058" s="593"/>
      <c r="X1058" s="598"/>
      <c r="Y1058" s="599"/>
      <c r="Z1058" s="593"/>
      <c r="AA1058" s="600"/>
      <c r="AB1058" s="600"/>
      <c r="AC1058" s="601"/>
      <c r="AD1058" s="601"/>
      <c r="AE1058" s="597"/>
      <c r="AF1058" s="598"/>
      <c r="AG1058" s="602"/>
      <c r="AH1058" s="602"/>
      <c r="AI1058" s="602"/>
      <c r="AJ1058" s="603"/>
      <c r="AK1058" s="605"/>
      <c r="AL1058" s="605"/>
      <c r="AM1058" s="611"/>
      <c r="AN1058" s="606"/>
      <c r="AO1058" s="314" t="str">
        <f t="shared" si="2079"/>
        <v> </v>
      </c>
      <c r="AP1058" s="315">
        <f t="shared" si="2080"/>
        <v>0</v>
      </c>
      <c r="AQ1058" s="316" t="str">
        <f t="shared" si="2081"/>
        <v> </v>
      </c>
    </row>
    <row r="1059" ht="29.25" customHeight="1" outlineLevel="1" spans="1:43">
      <c r="A1059" s="607"/>
      <c r="B1059" s="608"/>
      <c r="C1059" s="293" t="str">
        <f t="shared" si="2073"/>
        <v> </v>
      </c>
      <c r="D1059" s="293" t="str">
        <f t="shared" si="2074"/>
        <v> </v>
      </c>
      <c r="E1059" s="293" t="str">
        <f t="shared" si="2075"/>
        <v> </v>
      </c>
      <c r="F1059" s="293" t="str">
        <f t="shared" si="2076"/>
        <v> </v>
      </c>
      <c r="G1059" s="293" t="str">
        <f t="shared" si="2077"/>
        <v> </v>
      </c>
      <c r="H1059" s="293" t="str">
        <f t="shared" ref="H1059:I1059" si="2148">TEXT(IF($B1059=0," ",$B1059+H$6),"hh:mm am/pm")</f>
        <v> </v>
      </c>
      <c r="I1059" s="293" t="str">
        <f t="shared" si="2148"/>
        <v> </v>
      </c>
      <c r="J1059" s="609"/>
      <c r="K1059" s="612"/>
      <c r="L1059" s="609"/>
      <c r="M1059" s="592"/>
      <c r="N1059" s="593"/>
      <c r="O1059" s="594"/>
      <c r="P1059" s="595"/>
      <c r="Q1059" s="596"/>
      <c r="R1059" s="596"/>
      <c r="S1059" s="613"/>
      <c r="T1059" s="597"/>
      <c r="U1059" s="593"/>
      <c r="V1059" s="593"/>
      <c r="W1059" s="593"/>
      <c r="X1059" s="598"/>
      <c r="Y1059" s="599"/>
      <c r="Z1059" s="593"/>
      <c r="AA1059" s="600"/>
      <c r="AB1059" s="600"/>
      <c r="AC1059" s="601"/>
      <c r="AD1059" s="601"/>
      <c r="AE1059" s="597"/>
      <c r="AF1059" s="598"/>
      <c r="AG1059" s="602"/>
      <c r="AH1059" s="602"/>
      <c r="AI1059" s="602"/>
      <c r="AJ1059" s="603"/>
      <c r="AK1059" s="605"/>
      <c r="AL1059" s="605"/>
      <c r="AM1059" s="611"/>
      <c r="AN1059" s="606"/>
      <c r="AO1059" s="314" t="str">
        <f t="shared" si="2079"/>
        <v> </v>
      </c>
      <c r="AP1059" s="315">
        <f t="shared" si="2080"/>
        <v>0</v>
      </c>
      <c r="AQ1059" s="316" t="str">
        <f t="shared" si="2081"/>
        <v> </v>
      </c>
    </row>
    <row r="1060" ht="29.25" customHeight="1" outlineLevel="1" spans="1:43">
      <c r="A1060" s="607"/>
      <c r="B1060" s="608"/>
      <c r="C1060" s="293" t="str">
        <f t="shared" si="2073"/>
        <v> </v>
      </c>
      <c r="D1060" s="293" t="str">
        <f t="shared" si="2074"/>
        <v> </v>
      </c>
      <c r="E1060" s="293" t="str">
        <f t="shared" si="2075"/>
        <v> </v>
      </c>
      <c r="F1060" s="293" t="str">
        <f t="shared" si="2076"/>
        <v> </v>
      </c>
      <c r="G1060" s="293" t="str">
        <f t="shared" si="2077"/>
        <v> </v>
      </c>
      <c r="H1060" s="293" t="str">
        <f t="shared" ref="H1060:I1060" si="2149">TEXT(IF($B1060=0," ",$B1060+H$6),"hh:mm am/pm")</f>
        <v> </v>
      </c>
      <c r="I1060" s="293" t="str">
        <f t="shared" si="2149"/>
        <v> </v>
      </c>
      <c r="J1060" s="609"/>
      <c r="K1060" s="612"/>
      <c r="L1060" s="609"/>
      <c r="M1060" s="592"/>
      <c r="N1060" s="593"/>
      <c r="O1060" s="594"/>
      <c r="P1060" s="595"/>
      <c r="Q1060" s="596"/>
      <c r="R1060" s="596"/>
      <c r="S1060" s="613"/>
      <c r="T1060" s="597"/>
      <c r="U1060" s="593"/>
      <c r="V1060" s="593"/>
      <c r="W1060" s="593"/>
      <c r="X1060" s="598"/>
      <c r="Y1060" s="599"/>
      <c r="Z1060" s="593"/>
      <c r="AA1060" s="600"/>
      <c r="AB1060" s="600"/>
      <c r="AC1060" s="601"/>
      <c r="AD1060" s="601"/>
      <c r="AE1060" s="600"/>
      <c r="AF1060" s="598"/>
      <c r="AG1060" s="602"/>
      <c r="AH1060" s="602"/>
      <c r="AI1060" s="602"/>
      <c r="AJ1060" s="603"/>
      <c r="AK1060" s="604"/>
      <c r="AL1060" s="604"/>
      <c r="AM1060" s="606"/>
      <c r="AN1060" s="606"/>
      <c r="AO1060" s="314" t="str">
        <f t="shared" si="2079"/>
        <v> </v>
      </c>
      <c r="AP1060" s="315">
        <f t="shared" si="2080"/>
        <v>0</v>
      </c>
      <c r="AQ1060" s="316" t="str">
        <f t="shared" si="2081"/>
        <v> </v>
      </c>
    </row>
    <row r="1061" ht="29.25" customHeight="1" outlineLevel="1" spans="1:43">
      <c r="A1061" s="607"/>
      <c r="B1061" s="608"/>
      <c r="C1061" s="293" t="str">
        <f t="shared" si="2073"/>
        <v> </v>
      </c>
      <c r="D1061" s="293" t="str">
        <f t="shared" si="2074"/>
        <v> </v>
      </c>
      <c r="E1061" s="293" t="str">
        <f t="shared" si="2075"/>
        <v> </v>
      </c>
      <c r="F1061" s="293" t="str">
        <f t="shared" si="2076"/>
        <v> </v>
      </c>
      <c r="G1061" s="293" t="str">
        <f t="shared" si="2077"/>
        <v> </v>
      </c>
      <c r="H1061" s="293" t="str">
        <f t="shared" ref="H1061:I1061" si="2150">TEXT(IF($B1061=0," ",$B1061+H$6),"hh:mm am/pm")</f>
        <v> </v>
      </c>
      <c r="I1061" s="293" t="str">
        <f t="shared" si="2150"/>
        <v> </v>
      </c>
      <c r="J1061" s="609"/>
      <c r="K1061" s="612"/>
      <c r="L1061" s="609"/>
      <c r="M1061" s="592"/>
      <c r="N1061" s="593"/>
      <c r="O1061" s="594"/>
      <c r="P1061" s="595"/>
      <c r="Q1061" s="596"/>
      <c r="R1061" s="596"/>
      <c r="S1061" s="613"/>
      <c r="T1061" s="597"/>
      <c r="U1061" s="593"/>
      <c r="V1061" s="593"/>
      <c r="W1061" s="593"/>
      <c r="X1061" s="598"/>
      <c r="Y1061" s="599"/>
      <c r="Z1061" s="593"/>
      <c r="AA1061" s="600"/>
      <c r="AB1061" s="600"/>
      <c r="AC1061" s="601"/>
      <c r="AD1061" s="601"/>
      <c r="AE1061" s="600"/>
      <c r="AF1061" s="598"/>
      <c r="AG1061" s="602"/>
      <c r="AH1061" s="602"/>
      <c r="AI1061" s="602"/>
      <c r="AJ1061" s="603"/>
      <c r="AK1061" s="604"/>
      <c r="AL1061" s="604"/>
      <c r="AM1061" s="606"/>
      <c r="AN1061" s="606"/>
      <c r="AO1061" s="314" t="str">
        <f t="shared" si="2079"/>
        <v> </v>
      </c>
      <c r="AP1061" s="315">
        <f t="shared" si="2080"/>
        <v>0</v>
      </c>
      <c r="AQ1061" s="316" t="str">
        <f t="shared" si="2081"/>
        <v> </v>
      </c>
    </row>
    <row r="1062" ht="29.25" customHeight="1" outlineLevel="1" spans="1:43">
      <c r="A1062" s="607"/>
      <c r="B1062" s="608"/>
      <c r="C1062" s="293" t="str">
        <f t="shared" si="2073"/>
        <v> </v>
      </c>
      <c r="D1062" s="293" t="str">
        <f t="shared" si="2074"/>
        <v> </v>
      </c>
      <c r="E1062" s="293" t="str">
        <f t="shared" si="2075"/>
        <v> </v>
      </c>
      <c r="F1062" s="293" t="str">
        <f t="shared" si="2076"/>
        <v> </v>
      </c>
      <c r="G1062" s="293" t="str">
        <f t="shared" si="2077"/>
        <v> </v>
      </c>
      <c r="H1062" s="293" t="str">
        <f t="shared" ref="H1062:I1062" si="2151">TEXT(IF($B1062=0," ",$B1062+H$6),"hh:mm am/pm")</f>
        <v> </v>
      </c>
      <c r="I1062" s="293" t="str">
        <f t="shared" si="2151"/>
        <v> </v>
      </c>
      <c r="J1062" s="609"/>
      <c r="K1062" s="612"/>
      <c r="L1062" s="609"/>
      <c r="M1062" s="592"/>
      <c r="N1062" s="593"/>
      <c r="O1062" s="594"/>
      <c r="P1062" s="595"/>
      <c r="Q1062" s="596"/>
      <c r="R1062" s="596"/>
      <c r="S1062" s="613"/>
      <c r="T1062" s="597"/>
      <c r="U1062" s="593"/>
      <c r="V1062" s="593"/>
      <c r="W1062" s="593"/>
      <c r="X1062" s="598"/>
      <c r="Y1062" s="599"/>
      <c r="Z1062" s="593"/>
      <c r="AA1062" s="600"/>
      <c r="AB1062" s="600"/>
      <c r="AC1062" s="601"/>
      <c r="AD1062" s="601"/>
      <c r="AE1062" s="600"/>
      <c r="AF1062" s="598"/>
      <c r="AG1062" s="602"/>
      <c r="AH1062" s="602"/>
      <c r="AI1062" s="602"/>
      <c r="AJ1062" s="603"/>
      <c r="AK1062" s="604"/>
      <c r="AL1062" s="604"/>
      <c r="AM1062" s="606"/>
      <c r="AN1062" s="606"/>
      <c r="AO1062" s="314" t="str">
        <f t="shared" si="2079"/>
        <v> </v>
      </c>
      <c r="AP1062" s="315">
        <f t="shared" si="2080"/>
        <v>0</v>
      </c>
      <c r="AQ1062" s="316" t="str">
        <f t="shared" si="2081"/>
        <v> </v>
      </c>
    </row>
    <row r="1063" ht="29.25" customHeight="1" outlineLevel="1" spans="1:43">
      <c r="A1063" s="607"/>
      <c r="B1063" s="608"/>
      <c r="C1063" s="293" t="str">
        <f t="shared" si="2073"/>
        <v> </v>
      </c>
      <c r="D1063" s="293" t="str">
        <f t="shared" si="2074"/>
        <v> </v>
      </c>
      <c r="E1063" s="293" t="str">
        <f t="shared" si="2075"/>
        <v> </v>
      </c>
      <c r="F1063" s="293" t="str">
        <f t="shared" si="2076"/>
        <v> </v>
      </c>
      <c r="G1063" s="293" t="str">
        <f t="shared" si="2077"/>
        <v> </v>
      </c>
      <c r="H1063" s="293" t="str">
        <f t="shared" ref="H1063:I1063" si="2152">TEXT(IF($B1063=0," ",$B1063+H$6),"hh:mm am/pm")</f>
        <v> </v>
      </c>
      <c r="I1063" s="293" t="str">
        <f t="shared" si="2152"/>
        <v> </v>
      </c>
      <c r="J1063" s="609"/>
      <c r="K1063" s="612"/>
      <c r="L1063" s="609"/>
      <c r="M1063" s="592"/>
      <c r="N1063" s="593"/>
      <c r="O1063" s="594"/>
      <c r="P1063" s="595"/>
      <c r="Q1063" s="596"/>
      <c r="R1063" s="596"/>
      <c r="S1063" s="613"/>
      <c r="T1063" s="597"/>
      <c r="U1063" s="593"/>
      <c r="V1063" s="593"/>
      <c r="W1063" s="593"/>
      <c r="X1063" s="598"/>
      <c r="Y1063" s="599"/>
      <c r="Z1063" s="593"/>
      <c r="AA1063" s="600"/>
      <c r="AB1063" s="600"/>
      <c r="AC1063" s="601"/>
      <c r="AD1063" s="601"/>
      <c r="AE1063" s="600"/>
      <c r="AF1063" s="598"/>
      <c r="AG1063" s="602"/>
      <c r="AH1063" s="602"/>
      <c r="AI1063" s="602"/>
      <c r="AJ1063" s="603"/>
      <c r="AK1063" s="604"/>
      <c r="AL1063" s="604"/>
      <c r="AM1063" s="606"/>
      <c r="AN1063" s="606"/>
      <c r="AO1063" s="314" t="str">
        <f t="shared" si="2079"/>
        <v> </v>
      </c>
      <c r="AP1063" s="315">
        <f t="shared" si="2080"/>
        <v>0</v>
      </c>
      <c r="AQ1063" s="316" t="str">
        <f t="shared" si="2081"/>
        <v> </v>
      </c>
    </row>
    <row r="1064" ht="29.25" customHeight="1" outlineLevel="1" spans="1:43">
      <c r="A1064" s="607"/>
      <c r="B1064" s="590"/>
      <c r="C1064" s="293" t="str">
        <f t="shared" si="2073"/>
        <v> </v>
      </c>
      <c r="D1064" s="293" t="str">
        <f t="shared" si="2074"/>
        <v> </v>
      </c>
      <c r="E1064" s="293" t="str">
        <f t="shared" si="2075"/>
        <v> </v>
      </c>
      <c r="F1064" s="293" t="str">
        <f t="shared" si="2076"/>
        <v> </v>
      </c>
      <c r="G1064" s="293" t="str">
        <f t="shared" si="2077"/>
        <v> </v>
      </c>
      <c r="H1064" s="293" t="str">
        <f t="shared" ref="H1064:I1064" si="2153">TEXT(IF($B1064=0," ",$B1064+H$6),"hh:mm am/pm")</f>
        <v> </v>
      </c>
      <c r="I1064" s="293" t="str">
        <f t="shared" si="2153"/>
        <v> </v>
      </c>
      <c r="J1064" s="609"/>
      <c r="K1064" s="612"/>
      <c r="L1064" s="609"/>
      <c r="M1064" s="592"/>
      <c r="N1064" s="593"/>
      <c r="O1064" s="594"/>
      <c r="P1064" s="595"/>
      <c r="Q1064" s="596"/>
      <c r="R1064" s="596"/>
      <c r="S1064" s="613"/>
      <c r="T1064" s="597"/>
      <c r="U1064" s="593"/>
      <c r="V1064" s="593"/>
      <c r="W1064" s="593"/>
      <c r="X1064" s="598"/>
      <c r="Y1064" s="599"/>
      <c r="Z1064" s="593"/>
      <c r="AA1064" s="600"/>
      <c r="AB1064" s="600"/>
      <c r="AC1064" s="601"/>
      <c r="AD1064" s="601"/>
      <c r="AE1064" s="600"/>
      <c r="AF1064" s="598"/>
      <c r="AG1064" s="602"/>
      <c r="AH1064" s="602"/>
      <c r="AI1064" s="602"/>
      <c r="AJ1064" s="603"/>
      <c r="AK1064" s="604"/>
      <c r="AL1064" s="604"/>
      <c r="AM1064" s="606"/>
      <c r="AN1064" s="606"/>
      <c r="AO1064" s="314" t="str">
        <f t="shared" si="2079"/>
        <v> </v>
      </c>
      <c r="AP1064" s="315">
        <f t="shared" si="2080"/>
        <v>0</v>
      </c>
      <c r="AQ1064" s="316" t="str">
        <f t="shared" si="2081"/>
        <v> </v>
      </c>
    </row>
    <row r="1065" ht="29.25" customHeight="1" outlineLevel="1" spans="1:43">
      <c r="A1065" s="607"/>
      <c r="B1065" s="608"/>
      <c r="C1065" s="293" t="str">
        <f t="shared" si="2073"/>
        <v> </v>
      </c>
      <c r="D1065" s="293" t="str">
        <f t="shared" si="2074"/>
        <v> </v>
      </c>
      <c r="E1065" s="293" t="str">
        <f t="shared" si="2075"/>
        <v> </v>
      </c>
      <c r="F1065" s="293" t="str">
        <f t="shared" si="2076"/>
        <v> </v>
      </c>
      <c r="G1065" s="293" t="str">
        <f t="shared" si="2077"/>
        <v> </v>
      </c>
      <c r="H1065" s="293" t="str">
        <f t="shared" ref="H1065:I1065" si="2154">TEXT(IF($B1065=0," ",$B1065+H$6),"hh:mm am/pm")</f>
        <v> </v>
      </c>
      <c r="I1065" s="293" t="str">
        <f t="shared" si="2154"/>
        <v> </v>
      </c>
      <c r="J1065" s="609"/>
      <c r="K1065" s="612"/>
      <c r="L1065" s="609"/>
      <c r="M1065" s="592"/>
      <c r="N1065" s="593"/>
      <c r="O1065" s="594"/>
      <c r="P1065" s="595"/>
      <c r="Q1065" s="596"/>
      <c r="R1065" s="596"/>
      <c r="S1065" s="613"/>
      <c r="T1065" s="597"/>
      <c r="U1065" s="593"/>
      <c r="V1065" s="593"/>
      <c r="W1065" s="593"/>
      <c r="X1065" s="598"/>
      <c r="Y1065" s="599"/>
      <c r="Z1065" s="593"/>
      <c r="AA1065" s="600"/>
      <c r="AB1065" s="600"/>
      <c r="AC1065" s="601"/>
      <c r="AD1065" s="601"/>
      <c r="AE1065" s="600"/>
      <c r="AF1065" s="598"/>
      <c r="AG1065" s="602"/>
      <c r="AH1065" s="602"/>
      <c r="AI1065" s="602"/>
      <c r="AJ1065" s="603"/>
      <c r="AK1065" s="604"/>
      <c r="AL1065" s="604"/>
      <c r="AM1065" s="606"/>
      <c r="AN1065" s="606"/>
      <c r="AO1065" s="314" t="str">
        <f t="shared" si="2079"/>
        <v> </v>
      </c>
      <c r="AP1065" s="315">
        <f t="shared" si="2080"/>
        <v>0</v>
      </c>
      <c r="AQ1065" s="316" t="str">
        <f t="shared" si="2081"/>
        <v> </v>
      </c>
    </row>
    <row r="1066" ht="29.25" customHeight="1" outlineLevel="1" spans="1:43">
      <c r="A1066" s="607"/>
      <c r="B1066" s="608"/>
      <c r="C1066" s="293" t="str">
        <f t="shared" si="2073"/>
        <v> </v>
      </c>
      <c r="D1066" s="293" t="str">
        <f t="shared" si="2074"/>
        <v> </v>
      </c>
      <c r="E1066" s="293" t="str">
        <f t="shared" si="2075"/>
        <v> </v>
      </c>
      <c r="F1066" s="293" t="str">
        <f t="shared" si="2076"/>
        <v> </v>
      </c>
      <c r="G1066" s="293" t="str">
        <f t="shared" si="2077"/>
        <v> </v>
      </c>
      <c r="H1066" s="293" t="str">
        <f t="shared" ref="H1066:I1066" si="2155">TEXT(IF($B1066=0," ",$B1066+H$6),"hh:mm am/pm")</f>
        <v> </v>
      </c>
      <c r="I1066" s="293" t="str">
        <f t="shared" si="2155"/>
        <v> </v>
      </c>
      <c r="J1066" s="609"/>
      <c r="K1066" s="612"/>
      <c r="L1066" s="609"/>
      <c r="M1066" s="592"/>
      <c r="N1066" s="593"/>
      <c r="O1066" s="594"/>
      <c r="P1066" s="595"/>
      <c r="Q1066" s="596"/>
      <c r="R1066" s="596"/>
      <c r="S1066" s="613"/>
      <c r="T1066" s="597"/>
      <c r="U1066" s="593"/>
      <c r="V1066" s="593"/>
      <c r="W1066" s="593"/>
      <c r="X1066" s="598"/>
      <c r="Y1066" s="599"/>
      <c r="Z1066" s="593"/>
      <c r="AA1066" s="600"/>
      <c r="AB1066" s="600"/>
      <c r="AC1066" s="601"/>
      <c r="AD1066" s="601"/>
      <c r="AE1066" s="600"/>
      <c r="AF1066" s="598"/>
      <c r="AG1066" s="602"/>
      <c r="AH1066" s="602"/>
      <c r="AI1066" s="602"/>
      <c r="AJ1066" s="603"/>
      <c r="AK1066" s="604"/>
      <c r="AL1066" s="604"/>
      <c r="AM1066" s="606"/>
      <c r="AN1066" s="606"/>
      <c r="AO1066" s="314" t="str">
        <f t="shared" si="2079"/>
        <v> </v>
      </c>
      <c r="AP1066" s="315">
        <f t="shared" si="2080"/>
        <v>0</v>
      </c>
      <c r="AQ1066" s="316" t="str">
        <f t="shared" si="2081"/>
        <v> </v>
      </c>
    </row>
    <row r="1067" ht="29.25" customHeight="1" outlineLevel="1" spans="1:43">
      <c r="A1067" s="607"/>
      <c r="B1067" s="608"/>
      <c r="C1067" s="293" t="str">
        <f t="shared" si="2073"/>
        <v> </v>
      </c>
      <c r="D1067" s="293" t="str">
        <f t="shared" si="2074"/>
        <v> </v>
      </c>
      <c r="E1067" s="293" t="str">
        <f t="shared" si="2075"/>
        <v> </v>
      </c>
      <c r="F1067" s="293" t="str">
        <f t="shared" si="2076"/>
        <v> </v>
      </c>
      <c r="G1067" s="293" t="str">
        <f t="shared" si="2077"/>
        <v> </v>
      </c>
      <c r="H1067" s="293" t="str">
        <f t="shared" ref="H1067:I1067" si="2156">TEXT(IF($B1067=0," ",$B1067+H$6),"hh:mm am/pm")</f>
        <v> </v>
      </c>
      <c r="I1067" s="293" t="str">
        <f t="shared" si="2156"/>
        <v> </v>
      </c>
      <c r="J1067" s="609"/>
      <c r="K1067" s="612"/>
      <c r="L1067" s="609"/>
      <c r="M1067" s="592"/>
      <c r="N1067" s="593"/>
      <c r="O1067" s="594"/>
      <c r="P1067" s="595"/>
      <c r="Q1067" s="596"/>
      <c r="R1067" s="596"/>
      <c r="S1067" s="613"/>
      <c r="T1067" s="597"/>
      <c r="U1067" s="593"/>
      <c r="V1067" s="593"/>
      <c r="W1067" s="593"/>
      <c r="X1067" s="598"/>
      <c r="Y1067" s="599"/>
      <c r="Z1067" s="593"/>
      <c r="AA1067" s="600"/>
      <c r="AB1067" s="600"/>
      <c r="AC1067" s="601"/>
      <c r="AD1067" s="601"/>
      <c r="AE1067" s="600"/>
      <c r="AF1067" s="598"/>
      <c r="AG1067" s="602"/>
      <c r="AH1067" s="602"/>
      <c r="AI1067" s="602"/>
      <c r="AJ1067" s="603"/>
      <c r="AK1067" s="604"/>
      <c r="AL1067" s="604"/>
      <c r="AM1067" s="606"/>
      <c r="AN1067" s="606"/>
      <c r="AO1067" s="314" t="str">
        <f t="shared" si="2079"/>
        <v> </v>
      </c>
      <c r="AP1067" s="315">
        <f t="shared" si="2080"/>
        <v>0</v>
      </c>
      <c r="AQ1067" s="316" t="str">
        <f t="shared" si="2081"/>
        <v> </v>
      </c>
    </row>
    <row r="1068" ht="29.25" customHeight="1" outlineLevel="1" spans="1:43">
      <c r="A1068" s="607"/>
      <c r="B1068" s="608"/>
      <c r="C1068" s="293" t="str">
        <f t="shared" si="2073"/>
        <v> </v>
      </c>
      <c r="D1068" s="293" t="str">
        <f t="shared" si="2074"/>
        <v> </v>
      </c>
      <c r="E1068" s="293" t="str">
        <f t="shared" si="2075"/>
        <v> </v>
      </c>
      <c r="F1068" s="293" t="str">
        <f t="shared" si="2076"/>
        <v> </v>
      </c>
      <c r="G1068" s="293" t="str">
        <f t="shared" si="2077"/>
        <v> </v>
      </c>
      <c r="H1068" s="293" t="str">
        <f t="shared" ref="H1068:I1068" si="2157">TEXT(IF($B1068=0," ",$B1068+H$6),"hh:mm am/pm")</f>
        <v> </v>
      </c>
      <c r="I1068" s="293" t="str">
        <f t="shared" si="2157"/>
        <v> </v>
      </c>
      <c r="J1068" s="609"/>
      <c r="K1068" s="612"/>
      <c r="L1068" s="609"/>
      <c r="M1068" s="592"/>
      <c r="N1068" s="593"/>
      <c r="O1068" s="594"/>
      <c r="P1068" s="595"/>
      <c r="Q1068" s="596"/>
      <c r="R1068" s="596"/>
      <c r="S1068" s="613"/>
      <c r="T1068" s="597"/>
      <c r="U1068" s="593"/>
      <c r="V1068" s="593"/>
      <c r="W1068" s="593"/>
      <c r="X1068" s="598"/>
      <c r="Y1068" s="599"/>
      <c r="Z1068" s="593"/>
      <c r="AA1068" s="600"/>
      <c r="AB1068" s="600"/>
      <c r="AC1068" s="601"/>
      <c r="AD1068" s="601"/>
      <c r="AE1068" s="600"/>
      <c r="AF1068" s="598"/>
      <c r="AG1068" s="602"/>
      <c r="AH1068" s="602"/>
      <c r="AI1068" s="602"/>
      <c r="AJ1068" s="603"/>
      <c r="AK1068" s="604"/>
      <c r="AL1068" s="604"/>
      <c r="AM1068" s="606"/>
      <c r="AN1068" s="606"/>
      <c r="AO1068" s="314" t="str">
        <f t="shared" si="2079"/>
        <v> </v>
      </c>
      <c r="AP1068" s="315">
        <f t="shared" si="2080"/>
        <v>0</v>
      </c>
      <c r="AQ1068" s="316" t="str">
        <f t="shared" si="2081"/>
        <v> </v>
      </c>
    </row>
    <row r="1069" ht="29.25" customHeight="1" outlineLevel="1" spans="1:43">
      <c r="A1069" s="607"/>
      <c r="B1069" s="590"/>
      <c r="C1069" s="293" t="str">
        <f t="shared" si="2073"/>
        <v> </v>
      </c>
      <c r="D1069" s="293" t="str">
        <f t="shared" si="2074"/>
        <v> </v>
      </c>
      <c r="E1069" s="293" t="str">
        <f t="shared" si="2075"/>
        <v> </v>
      </c>
      <c r="F1069" s="293" t="str">
        <f t="shared" si="2076"/>
        <v> </v>
      </c>
      <c r="G1069" s="293" t="str">
        <f t="shared" si="2077"/>
        <v> </v>
      </c>
      <c r="H1069" s="293" t="str">
        <f t="shared" ref="H1069:I1069" si="2158">TEXT(IF($B1069=0," ",$B1069+H$6),"hh:mm am/pm")</f>
        <v> </v>
      </c>
      <c r="I1069" s="293" t="str">
        <f t="shared" si="2158"/>
        <v> </v>
      </c>
      <c r="J1069" s="609"/>
      <c r="K1069" s="612"/>
      <c r="L1069" s="609"/>
      <c r="M1069" s="592"/>
      <c r="N1069" s="593"/>
      <c r="O1069" s="594"/>
      <c r="P1069" s="595"/>
      <c r="Q1069" s="596"/>
      <c r="R1069" s="596"/>
      <c r="S1069" s="613"/>
      <c r="T1069" s="597"/>
      <c r="U1069" s="593"/>
      <c r="V1069" s="593"/>
      <c r="W1069" s="593"/>
      <c r="X1069" s="598"/>
      <c r="Y1069" s="599"/>
      <c r="Z1069" s="593"/>
      <c r="AA1069" s="600"/>
      <c r="AB1069" s="600"/>
      <c r="AC1069" s="601"/>
      <c r="AD1069" s="601"/>
      <c r="AE1069" s="600"/>
      <c r="AF1069" s="598"/>
      <c r="AG1069" s="602"/>
      <c r="AH1069" s="602"/>
      <c r="AI1069" s="602"/>
      <c r="AJ1069" s="603"/>
      <c r="AK1069" s="604"/>
      <c r="AL1069" s="604"/>
      <c r="AM1069" s="606"/>
      <c r="AN1069" s="606"/>
      <c r="AO1069" s="314" t="str">
        <f t="shared" si="2079"/>
        <v> </v>
      </c>
      <c r="AP1069" s="315">
        <f t="shared" si="2080"/>
        <v>0</v>
      </c>
      <c r="AQ1069" s="316" t="str">
        <f t="shared" si="2081"/>
        <v> </v>
      </c>
    </row>
    <row r="1070" ht="29.25" customHeight="1" outlineLevel="1" spans="1:43">
      <c r="A1070" s="607"/>
      <c r="B1070" s="608"/>
      <c r="C1070" s="293" t="str">
        <f t="shared" si="2073"/>
        <v> </v>
      </c>
      <c r="D1070" s="293" t="str">
        <f t="shared" si="2074"/>
        <v> </v>
      </c>
      <c r="E1070" s="293" t="str">
        <f t="shared" si="2075"/>
        <v> </v>
      </c>
      <c r="F1070" s="293" t="str">
        <f t="shared" si="2076"/>
        <v> </v>
      </c>
      <c r="G1070" s="293" t="str">
        <f t="shared" si="2077"/>
        <v> </v>
      </c>
      <c r="H1070" s="293" t="str">
        <f t="shared" ref="H1070:I1070" si="2159">TEXT(IF($B1070=0," ",$B1070+H$6),"hh:mm am/pm")</f>
        <v> </v>
      </c>
      <c r="I1070" s="293" t="str">
        <f t="shared" si="2159"/>
        <v> </v>
      </c>
      <c r="J1070" s="609"/>
      <c r="K1070" s="612"/>
      <c r="L1070" s="609"/>
      <c r="M1070" s="592"/>
      <c r="N1070" s="593"/>
      <c r="O1070" s="594"/>
      <c r="P1070" s="595"/>
      <c r="Q1070" s="596"/>
      <c r="R1070" s="596"/>
      <c r="S1070" s="613"/>
      <c r="T1070" s="597"/>
      <c r="U1070" s="593"/>
      <c r="V1070" s="593"/>
      <c r="W1070" s="593"/>
      <c r="X1070" s="598"/>
      <c r="Y1070" s="599"/>
      <c r="Z1070" s="593"/>
      <c r="AA1070" s="600"/>
      <c r="AB1070" s="600"/>
      <c r="AC1070" s="601"/>
      <c r="AD1070" s="601"/>
      <c r="AE1070" s="600"/>
      <c r="AF1070" s="598"/>
      <c r="AG1070" s="602"/>
      <c r="AH1070" s="602"/>
      <c r="AI1070" s="602"/>
      <c r="AJ1070" s="603"/>
      <c r="AK1070" s="604"/>
      <c r="AL1070" s="604"/>
      <c r="AM1070" s="606"/>
      <c r="AN1070" s="606"/>
      <c r="AO1070" s="314" t="str">
        <f t="shared" si="2079"/>
        <v> </v>
      </c>
      <c r="AP1070" s="315">
        <f t="shared" si="2080"/>
        <v>0</v>
      </c>
      <c r="AQ1070" s="316" t="str">
        <f t="shared" si="2081"/>
        <v> </v>
      </c>
    </row>
    <row r="1071" ht="29.25" customHeight="1" outlineLevel="1" spans="1:43">
      <c r="A1071" s="607"/>
      <c r="B1071" s="608"/>
      <c r="C1071" s="293" t="str">
        <f t="shared" si="2073"/>
        <v> </v>
      </c>
      <c r="D1071" s="293" t="str">
        <f t="shared" si="2074"/>
        <v> </v>
      </c>
      <c r="E1071" s="293" t="str">
        <f t="shared" si="2075"/>
        <v> </v>
      </c>
      <c r="F1071" s="293" t="str">
        <f t="shared" si="2076"/>
        <v> </v>
      </c>
      <c r="G1071" s="293" t="str">
        <f t="shared" si="2077"/>
        <v> </v>
      </c>
      <c r="H1071" s="293" t="str">
        <f t="shared" ref="H1071:I1071" si="2160">TEXT(IF($B1071=0," ",$B1071+H$6),"hh:mm am/pm")</f>
        <v> </v>
      </c>
      <c r="I1071" s="293" t="str">
        <f t="shared" si="2160"/>
        <v> </v>
      </c>
      <c r="J1071" s="609"/>
      <c r="K1071" s="612"/>
      <c r="L1071" s="609"/>
      <c r="M1071" s="592"/>
      <c r="N1071" s="593"/>
      <c r="O1071" s="594"/>
      <c r="P1071" s="595"/>
      <c r="Q1071" s="596"/>
      <c r="R1071" s="596"/>
      <c r="S1071" s="613"/>
      <c r="T1071" s="597"/>
      <c r="U1071" s="593"/>
      <c r="V1071" s="593"/>
      <c r="W1071" s="593"/>
      <c r="X1071" s="598"/>
      <c r="Y1071" s="599"/>
      <c r="Z1071" s="593"/>
      <c r="AA1071" s="600"/>
      <c r="AB1071" s="600"/>
      <c r="AC1071" s="601"/>
      <c r="AD1071" s="601"/>
      <c r="AE1071" s="600"/>
      <c r="AF1071" s="598"/>
      <c r="AG1071" s="602"/>
      <c r="AH1071" s="602"/>
      <c r="AI1071" s="602"/>
      <c r="AJ1071" s="603"/>
      <c r="AK1071" s="604"/>
      <c r="AL1071" s="604"/>
      <c r="AM1071" s="606"/>
      <c r="AN1071" s="606"/>
      <c r="AO1071" s="314" t="str">
        <f t="shared" si="2079"/>
        <v> </v>
      </c>
      <c r="AP1071" s="315">
        <f t="shared" si="2080"/>
        <v>0</v>
      </c>
      <c r="AQ1071" s="316" t="str">
        <f t="shared" si="2081"/>
        <v> </v>
      </c>
    </row>
    <row r="1072" ht="29.25" customHeight="1" outlineLevel="1" spans="1:43">
      <c r="A1072" s="607"/>
      <c r="B1072" s="608"/>
      <c r="C1072" s="293" t="str">
        <f t="shared" si="2073"/>
        <v> </v>
      </c>
      <c r="D1072" s="293" t="str">
        <f t="shared" si="2074"/>
        <v> </v>
      </c>
      <c r="E1072" s="293" t="str">
        <f t="shared" si="2075"/>
        <v> </v>
      </c>
      <c r="F1072" s="293" t="str">
        <f t="shared" si="2076"/>
        <v> </v>
      </c>
      <c r="G1072" s="293" t="str">
        <f t="shared" si="2077"/>
        <v> </v>
      </c>
      <c r="H1072" s="293" t="str">
        <f t="shared" ref="H1072:I1072" si="2161">TEXT(IF($B1072=0," ",$B1072+H$6),"hh:mm am/pm")</f>
        <v> </v>
      </c>
      <c r="I1072" s="293" t="str">
        <f t="shared" si="2161"/>
        <v> </v>
      </c>
      <c r="J1072" s="609"/>
      <c r="K1072" s="612"/>
      <c r="L1072" s="609"/>
      <c r="M1072" s="592"/>
      <c r="N1072" s="593"/>
      <c r="O1072" s="594"/>
      <c r="P1072" s="595"/>
      <c r="Q1072" s="596"/>
      <c r="R1072" s="596"/>
      <c r="S1072" s="613"/>
      <c r="T1072" s="597"/>
      <c r="U1072" s="593"/>
      <c r="V1072" s="593"/>
      <c r="W1072" s="593"/>
      <c r="X1072" s="598"/>
      <c r="Y1072" s="599"/>
      <c r="Z1072" s="593"/>
      <c r="AA1072" s="600"/>
      <c r="AB1072" s="600"/>
      <c r="AC1072" s="601"/>
      <c r="AD1072" s="601"/>
      <c r="AE1072" s="600"/>
      <c r="AF1072" s="598"/>
      <c r="AG1072" s="602"/>
      <c r="AH1072" s="602"/>
      <c r="AI1072" s="602"/>
      <c r="AJ1072" s="603"/>
      <c r="AK1072" s="604"/>
      <c r="AL1072" s="604"/>
      <c r="AM1072" s="606"/>
      <c r="AN1072" s="606"/>
      <c r="AO1072" s="314" t="str">
        <f t="shared" si="2079"/>
        <v> </v>
      </c>
      <c r="AP1072" s="315">
        <f t="shared" si="2080"/>
        <v>0</v>
      </c>
      <c r="AQ1072" s="316" t="str">
        <f t="shared" si="2081"/>
        <v> </v>
      </c>
    </row>
    <row r="1073" ht="29.25" customHeight="1" outlineLevel="1" spans="1:43">
      <c r="A1073" s="607"/>
      <c r="B1073" s="608"/>
      <c r="C1073" s="293" t="str">
        <f t="shared" si="2073"/>
        <v> </v>
      </c>
      <c r="D1073" s="293" t="str">
        <f t="shared" si="2074"/>
        <v> </v>
      </c>
      <c r="E1073" s="293" t="str">
        <f t="shared" si="2075"/>
        <v> </v>
      </c>
      <c r="F1073" s="293" t="str">
        <f t="shared" si="2076"/>
        <v> </v>
      </c>
      <c r="G1073" s="293" t="str">
        <f t="shared" si="2077"/>
        <v> </v>
      </c>
      <c r="H1073" s="293" t="str">
        <f t="shared" ref="H1073:I1073" si="2162">TEXT(IF($B1073=0," ",$B1073+H$6),"hh:mm am/pm")</f>
        <v> </v>
      </c>
      <c r="I1073" s="293" t="str">
        <f t="shared" si="2162"/>
        <v> </v>
      </c>
      <c r="J1073" s="609"/>
      <c r="K1073" s="612"/>
      <c r="L1073" s="609"/>
      <c r="M1073" s="592"/>
      <c r="N1073" s="593"/>
      <c r="O1073" s="594"/>
      <c r="P1073" s="595"/>
      <c r="Q1073" s="596"/>
      <c r="R1073" s="596"/>
      <c r="S1073" s="613"/>
      <c r="T1073" s="597"/>
      <c r="U1073" s="593"/>
      <c r="V1073" s="593"/>
      <c r="W1073" s="593"/>
      <c r="X1073" s="598"/>
      <c r="Y1073" s="599"/>
      <c r="Z1073" s="593"/>
      <c r="AA1073" s="600"/>
      <c r="AB1073" s="600"/>
      <c r="AC1073" s="601"/>
      <c r="AD1073" s="601"/>
      <c r="AE1073" s="600"/>
      <c r="AF1073" s="598"/>
      <c r="AG1073" s="602"/>
      <c r="AH1073" s="602"/>
      <c r="AI1073" s="602"/>
      <c r="AJ1073" s="603"/>
      <c r="AK1073" s="604"/>
      <c r="AL1073" s="604"/>
      <c r="AM1073" s="606"/>
      <c r="AN1073" s="606"/>
      <c r="AO1073" s="314" t="str">
        <f t="shared" si="2079"/>
        <v> </v>
      </c>
      <c r="AP1073" s="315">
        <f t="shared" si="2080"/>
        <v>0</v>
      </c>
      <c r="AQ1073" s="316" t="str">
        <f t="shared" si="2081"/>
        <v> </v>
      </c>
    </row>
    <row r="1074" ht="29.25" customHeight="1" outlineLevel="1" spans="1:43">
      <c r="A1074" s="607"/>
      <c r="B1074" s="590"/>
      <c r="C1074" s="293" t="str">
        <f t="shared" si="2073"/>
        <v> </v>
      </c>
      <c r="D1074" s="293" t="str">
        <f t="shared" si="2074"/>
        <v> </v>
      </c>
      <c r="E1074" s="293" t="str">
        <f t="shared" si="2075"/>
        <v> </v>
      </c>
      <c r="F1074" s="293" t="str">
        <f t="shared" si="2076"/>
        <v> </v>
      </c>
      <c r="G1074" s="293" t="str">
        <f t="shared" si="2077"/>
        <v> </v>
      </c>
      <c r="H1074" s="293" t="str">
        <f t="shared" ref="H1074:I1074" si="2163">TEXT(IF($B1074=0," ",$B1074+H$6),"hh:mm am/pm")</f>
        <v> </v>
      </c>
      <c r="I1074" s="293" t="str">
        <f t="shared" si="2163"/>
        <v> </v>
      </c>
      <c r="J1074" s="609"/>
      <c r="K1074" s="612"/>
      <c r="L1074" s="609"/>
      <c r="M1074" s="592"/>
      <c r="N1074" s="593"/>
      <c r="O1074" s="594"/>
      <c r="P1074" s="595"/>
      <c r="Q1074" s="596"/>
      <c r="R1074" s="596"/>
      <c r="S1074" s="613"/>
      <c r="T1074" s="597"/>
      <c r="U1074" s="593"/>
      <c r="V1074" s="593"/>
      <c r="W1074" s="593"/>
      <c r="X1074" s="598"/>
      <c r="Y1074" s="599"/>
      <c r="Z1074" s="593"/>
      <c r="AA1074" s="600"/>
      <c r="AB1074" s="600"/>
      <c r="AC1074" s="601"/>
      <c r="AD1074" s="601"/>
      <c r="AE1074" s="600"/>
      <c r="AF1074" s="598"/>
      <c r="AG1074" s="602"/>
      <c r="AH1074" s="602"/>
      <c r="AI1074" s="602"/>
      <c r="AJ1074" s="603"/>
      <c r="AK1074" s="604"/>
      <c r="AL1074" s="604"/>
      <c r="AM1074" s="606"/>
      <c r="AN1074" s="606"/>
      <c r="AO1074" s="314" t="str">
        <f t="shared" si="2079"/>
        <v> </v>
      </c>
      <c r="AP1074" s="315">
        <f t="shared" si="2080"/>
        <v>0</v>
      </c>
      <c r="AQ1074" s="316" t="str">
        <f t="shared" si="2081"/>
        <v> </v>
      </c>
    </row>
    <row r="1075" ht="29.25" customHeight="1" outlineLevel="1" spans="1:43">
      <c r="A1075" s="607"/>
      <c r="B1075" s="608"/>
      <c r="C1075" s="293" t="str">
        <f t="shared" si="2073"/>
        <v> </v>
      </c>
      <c r="D1075" s="293" t="str">
        <f t="shared" si="2074"/>
        <v> </v>
      </c>
      <c r="E1075" s="293" t="str">
        <f t="shared" si="2075"/>
        <v> </v>
      </c>
      <c r="F1075" s="293" t="str">
        <f t="shared" si="2076"/>
        <v> </v>
      </c>
      <c r="G1075" s="293" t="str">
        <f t="shared" si="2077"/>
        <v> </v>
      </c>
      <c r="H1075" s="293" t="str">
        <f t="shared" ref="H1075:I1075" si="2164">TEXT(IF($B1075=0," ",$B1075+H$6),"hh:mm am/pm")</f>
        <v> </v>
      </c>
      <c r="I1075" s="293" t="str">
        <f t="shared" si="2164"/>
        <v> </v>
      </c>
      <c r="J1075" s="609"/>
      <c r="K1075" s="612"/>
      <c r="L1075" s="609"/>
      <c r="M1075" s="592"/>
      <c r="N1075" s="593"/>
      <c r="O1075" s="594"/>
      <c r="P1075" s="595"/>
      <c r="Q1075" s="596"/>
      <c r="R1075" s="596"/>
      <c r="S1075" s="613"/>
      <c r="T1075" s="597"/>
      <c r="U1075" s="593"/>
      <c r="V1075" s="593"/>
      <c r="W1075" s="593"/>
      <c r="X1075" s="598"/>
      <c r="Y1075" s="599"/>
      <c r="Z1075" s="593"/>
      <c r="AA1075" s="600"/>
      <c r="AB1075" s="600"/>
      <c r="AC1075" s="601"/>
      <c r="AD1075" s="601"/>
      <c r="AE1075" s="600"/>
      <c r="AF1075" s="598"/>
      <c r="AG1075" s="602"/>
      <c r="AH1075" s="602"/>
      <c r="AI1075" s="602"/>
      <c r="AJ1075" s="603"/>
      <c r="AK1075" s="604"/>
      <c r="AL1075" s="604"/>
      <c r="AM1075" s="606"/>
      <c r="AN1075" s="606"/>
      <c r="AO1075" s="314" t="str">
        <f t="shared" si="2079"/>
        <v> </v>
      </c>
      <c r="AP1075" s="315">
        <f t="shared" si="2080"/>
        <v>0</v>
      </c>
      <c r="AQ1075" s="316" t="str">
        <f t="shared" si="2081"/>
        <v> </v>
      </c>
    </row>
    <row r="1076" ht="29.25" customHeight="1" outlineLevel="1" spans="1:43">
      <c r="A1076" s="607"/>
      <c r="B1076" s="608"/>
      <c r="C1076" s="293" t="str">
        <f t="shared" si="2073"/>
        <v> </v>
      </c>
      <c r="D1076" s="293" t="str">
        <f t="shared" si="2074"/>
        <v> </v>
      </c>
      <c r="E1076" s="293" t="str">
        <f t="shared" si="2075"/>
        <v> </v>
      </c>
      <c r="F1076" s="293" t="str">
        <f t="shared" si="2076"/>
        <v> </v>
      </c>
      <c r="G1076" s="293" t="str">
        <f t="shared" si="2077"/>
        <v> </v>
      </c>
      <c r="H1076" s="293" t="str">
        <f t="shared" ref="H1076:I1076" si="2165">TEXT(IF($B1076=0," ",$B1076+H$6),"hh:mm am/pm")</f>
        <v> </v>
      </c>
      <c r="I1076" s="293" t="str">
        <f t="shared" si="2165"/>
        <v> </v>
      </c>
      <c r="J1076" s="609"/>
      <c r="K1076" s="612"/>
      <c r="L1076" s="609"/>
      <c r="M1076" s="592"/>
      <c r="N1076" s="593"/>
      <c r="O1076" s="594"/>
      <c r="P1076" s="595"/>
      <c r="Q1076" s="596"/>
      <c r="R1076" s="596"/>
      <c r="S1076" s="613"/>
      <c r="T1076" s="597"/>
      <c r="U1076" s="593"/>
      <c r="V1076" s="593"/>
      <c r="W1076" s="593"/>
      <c r="X1076" s="598"/>
      <c r="Y1076" s="599"/>
      <c r="Z1076" s="593"/>
      <c r="AA1076" s="600"/>
      <c r="AB1076" s="600"/>
      <c r="AC1076" s="601"/>
      <c r="AD1076" s="601"/>
      <c r="AE1076" s="600"/>
      <c r="AF1076" s="598"/>
      <c r="AG1076" s="602"/>
      <c r="AH1076" s="602"/>
      <c r="AI1076" s="602"/>
      <c r="AJ1076" s="603"/>
      <c r="AK1076" s="604"/>
      <c r="AL1076" s="604"/>
      <c r="AM1076" s="606"/>
      <c r="AN1076" s="606"/>
      <c r="AO1076" s="314" t="str">
        <f t="shared" si="2079"/>
        <v> </v>
      </c>
      <c r="AP1076" s="315">
        <f t="shared" si="2080"/>
        <v>0</v>
      </c>
      <c r="AQ1076" s="316" t="str">
        <f t="shared" si="2081"/>
        <v> </v>
      </c>
    </row>
    <row r="1077" ht="29.25" customHeight="1" outlineLevel="1" spans="1:43">
      <c r="A1077" s="607"/>
      <c r="B1077" s="608"/>
      <c r="C1077" s="293" t="str">
        <f t="shared" si="2073"/>
        <v> </v>
      </c>
      <c r="D1077" s="293" t="str">
        <f t="shared" si="2074"/>
        <v> </v>
      </c>
      <c r="E1077" s="293" t="str">
        <f t="shared" si="2075"/>
        <v> </v>
      </c>
      <c r="F1077" s="293" t="str">
        <f t="shared" si="2076"/>
        <v> </v>
      </c>
      <c r="G1077" s="293" t="str">
        <f t="shared" si="2077"/>
        <v> </v>
      </c>
      <c r="H1077" s="293" t="str">
        <f t="shared" ref="H1077:I1077" si="2166">TEXT(IF($B1077=0," ",$B1077+H$6),"hh:mm am/pm")</f>
        <v> </v>
      </c>
      <c r="I1077" s="293" t="str">
        <f t="shared" si="2166"/>
        <v> </v>
      </c>
      <c r="J1077" s="609"/>
      <c r="K1077" s="612"/>
      <c r="L1077" s="609"/>
      <c r="M1077" s="592"/>
      <c r="N1077" s="593"/>
      <c r="O1077" s="594"/>
      <c r="P1077" s="595"/>
      <c r="Q1077" s="596"/>
      <c r="R1077" s="596"/>
      <c r="S1077" s="613"/>
      <c r="T1077" s="597"/>
      <c r="U1077" s="593"/>
      <c r="V1077" s="593"/>
      <c r="W1077" s="593"/>
      <c r="X1077" s="598"/>
      <c r="Y1077" s="599"/>
      <c r="Z1077" s="593"/>
      <c r="AA1077" s="600"/>
      <c r="AB1077" s="600"/>
      <c r="AC1077" s="601"/>
      <c r="AD1077" s="601"/>
      <c r="AE1077" s="600"/>
      <c r="AF1077" s="598"/>
      <c r="AG1077" s="602"/>
      <c r="AH1077" s="602"/>
      <c r="AI1077" s="602"/>
      <c r="AJ1077" s="603"/>
      <c r="AK1077" s="604"/>
      <c r="AL1077" s="604"/>
      <c r="AM1077" s="606"/>
      <c r="AN1077" s="606"/>
      <c r="AO1077" s="314" t="str">
        <f t="shared" si="2079"/>
        <v> </v>
      </c>
      <c r="AP1077" s="315">
        <f t="shared" si="2080"/>
        <v>0</v>
      </c>
      <c r="AQ1077" s="316" t="str">
        <f t="shared" si="2081"/>
        <v> </v>
      </c>
    </row>
    <row r="1078" ht="29.25" customHeight="1" outlineLevel="1" spans="1:43">
      <c r="A1078" s="607"/>
      <c r="B1078" s="608"/>
      <c r="C1078" s="293" t="str">
        <f t="shared" si="2073"/>
        <v> </v>
      </c>
      <c r="D1078" s="293" t="str">
        <f t="shared" si="2074"/>
        <v> </v>
      </c>
      <c r="E1078" s="293" t="str">
        <f t="shared" si="2075"/>
        <v> </v>
      </c>
      <c r="F1078" s="293" t="str">
        <f t="shared" si="2076"/>
        <v> </v>
      </c>
      <c r="G1078" s="293" t="str">
        <f t="shared" si="2077"/>
        <v> </v>
      </c>
      <c r="H1078" s="293" t="str">
        <f t="shared" ref="H1078:I1078" si="2167">TEXT(IF($B1078=0," ",$B1078+H$6),"hh:mm am/pm")</f>
        <v> </v>
      </c>
      <c r="I1078" s="293" t="str">
        <f t="shared" si="2167"/>
        <v> </v>
      </c>
      <c r="J1078" s="609"/>
      <c r="K1078" s="612"/>
      <c r="L1078" s="609"/>
      <c r="M1078" s="592"/>
      <c r="N1078" s="593"/>
      <c r="O1078" s="594"/>
      <c r="P1078" s="595"/>
      <c r="Q1078" s="596"/>
      <c r="R1078" s="596"/>
      <c r="S1078" s="613"/>
      <c r="T1078" s="597"/>
      <c r="U1078" s="593"/>
      <c r="V1078" s="593"/>
      <c r="W1078" s="593"/>
      <c r="X1078" s="598"/>
      <c r="Y1078" s="599"/>
      <c r="Z1078" s="593"/>
      <c r="AA1078" s="600"/>
      <c r="AB1078" s="600"/>
      <c r="AC1078" s="601"/>
      <c r="AD1078" s="601"/>
      <c r="AE1078" s="600"/>
      <c r="AF1078" s="598"/>
      <c r="AG1078" s="602"/>
      <c r="AH1078" s="602"/>
      <c r="AI1078" s="602"/>
      <c r="AJ1078" s="603"/>
      <c r="AK1078" s="604"/>
      <c r="AL1078" s="604"/>
      <c r="AM1078" s="606"/>
      <c r="AN1078" s="606"/>
      <c r="AO1078" s="314" t="str">
        <f t="shared" si="2079"/>
        <v> </v>
      </c>
      <c r="AP1078" s="315">
        <f t="shared" si="2080"/>
        <v>0</v>
      </c>
      <c r="AQ1078" s="316" t="str">
        <f t="shared" si="2081"/>
        <v> </v>
      </c>
    </row>
    <row r="1079" ht="29.25" customHeight="1" outlineLevel="1" spans="1:43">
      <c r="A1079" s="607"/>
      <c r="B1079" s="590"/>
      <c r="C1079" s="293" t="str">
        <f t="shared" si="2073"/>
        <v> </v>
      </c>
      <c r="D1079" s="293" t="str">
        <f t="shared" si="2074"/>
        <v> </v>
      </c>
      <c r="E1079" s="293" t="str">
        <f t="shared" si="2075"/>
        <v> </v>
      </c>
      <c r="F1079" s="293" t="str">
        <f t="shared" si="2076"/>
        <v> </v>
      </c>
      <c r="G1079" s="293" t="str">
        <f t="shared" si="2077"/>
        <v> </v>
      </c>
      <c r="H1079" s="293" t="str">
        <f t="shared" ref="H1079:I1079" si="2168">TEXT(IF($B1079=0," ",$B1079+H$6),"hh:mm am/pm")</f>
        <v> </v>
      </c>
      <c r="I1079" s="293" t="str">
        <f t="shared" si="2168"/>
        <v> </v>
      </c>
      <c r="J1079" s="609"/>
      <c r="K1079" s="612"/>
      <c r="L1079" s="609"/>
      <c r="M1079" s="592"/>
      <c r="N1079" s="593"/>
      <c r="O1079" s="594"/>
      <c r="P1079" s="595"/>
      <c r="Q1079" s="596"/>
      <c r="R1079" s="596"/>
      <c r="S1079" s="613"/>
      <c r="T1079" s="597"/>
      <c r="U1079" s="593"/>
      <c r="V1079" s="593"/>
      <c r="W1079" s="593"/>
      <c r="X1079" s="598"/>
      <c r="Y1079" s="599"/>
      <c r="Z1079" s="593"/>
      <c r="AA1079" s="600"/>
      <c r="AB1079" s="600"/>
      <c r="AC1079" s="601"/>
      <c r="AD1079" s="601"/>
      <c r="AE1079" s="600"/>
      <c r="AF1079" s="598"/>
      <c r="AG1079" s="602"/>
      <c r="AH1079" s="602"/>
      <c r="AI1079" s="602"/>
      <c r="AJ1079" s="603"/>
      <c r="AK1079" s="604"/>
      <c r="AL1079" s="604"/>
      <c r="AM1079" s="606"/>
      <c r="AN1079" s="606"/>
      <c r="AO1079" s="314" t="str">
        <f t="shared" si="2079"/>
        <v> </v>
      </c>
      <c r="AP1079" s="315">
        <f t="shared" si="2080"/>
        <v>0</v>
      </c>
      <c r="AQ1079" s="316" t="str">
        <f t="shared" si="2081"/>
        <v> </v>
      </c>
    </row>
    <row r="1080" ht="29.25" customHeight="1" outlineLevel="1" spans="1:43">
      <c r="A1080" s="607"/>
      <c r="B1080" s="608"/>
      <c r="C1080" s="293" t="str">
        <f t="shared" si="2073"/>
        <v> </v>
      </c>
      <c r="D1080" s="293" t="str">
        <f t="shared" si="2074"/>
        <v> </v>
      </c>
      <c r="E1080" s="293" t="str">
        <f t="shared" si="2075"/>
        <v> </v>
      </c>
      <c r="F1080" s="293" t="str">
        <f t="shared" si="2076"/>
        <v> </v>
      </c>
      <c r="G1080" s="293" t="str">
        <f t="shared" si="2077"/>
        <v> </v>
      </c>
      <c r="H1080" s="293" t="str">
        <f t="shared" ref="H1080:I1080" si="2169">TEXT(IF($B1080=0," ",$B1080+H$6),"hh:mm am/pm")</f>
        <v> </v>
      </c>
      <c r="I1080" s="293" t="str">
        <f t="shared" si="2169"/>
        <v> </v>
      </c>
      <c r="J1080" s="609"/>
      <c r="K1080" s="612"/>
      <c r="L1080" s="609"/>
      <c r="M1080" s="592"/>
      <c r="N1080" s="593"/>
      <c r="O1080" s="594"/>
      <c r="P1080" s="595"/>
      <c r="Q1080" s="596"/>
      <c r="R1080" s="596"/>
      <c r="S1080" s="613"/>
      <c r="T1080" s="597"/>
      <c r="U1080" s="593"/>
      <c r="V1080" s="593"/>
      <c r="W1080" s="593"/>
      <c r="X1080" s="598"/>
      <c r="Y1080" s="599"/>
      <c r="Z1080" s="593"/>
      <c r="AA1080" s="600"/>
      <c r="AB1080" s="600"/>
      <c r="AC1080" s="601"/>
      <c r="AD1080" s="601"/>
      <c r="AE1080" s="600"/>
      <c r="AF1080" s="598"/>
      <c r="AG1080" s="602"/>
      <c r="AH1080" s="602"/>
      <c r="AI1080" s="602"/>
      <c r="AJ1080" s="603"/>
      <c r="AK1080" s="604"/>
      <c r="AL1080" s="604"/>
      <c r="AM1080" s="606"/>
      <c r="AN1080" s="606"/>
      <c r="AO1080" s="314" t="str">
        <f t="shared" si="2079"/>
        <v> </v>
      </c>
      <c r="AP1080" s="315">
        <f t="shared" si="2080"/>
        <v>0</v>
      </c>
      <c r="AQ1080" s="316" t="str">
        <f t="shared" si="2081"/>
        <v> </v>
      </c>
    </row>
    <row r="1081" ht="29.25" customHeight="1" outlineLevel="1" spans="1:43">
      <c r="A1081" s="607"/>
      <c r="B1081" s="608"/>
      <c r="C1081" s="293" t="str">
        <f t="shared" si="2073"/>
        <v> </v>
      </c>
      <c r="D1081" s="293" t="str">
        <f t="shared" si="2074"/>
        <v> </v>
      </c>
      <c r="E1081" s="293" t="str">
        <f t="shared" si="2075"/>
        <v> </v>
      </c>
      <c r="F1081" s="293" t="str">
        <f t="shared" si="2076"/>
        <v> </v>
      </c>
      <c r="G1081" s="293" t="str">
        <f t="shared" si="2077"/>
        <v> </v>
      </c>
      <c r="H1081" s="293" t="str">
        <f t="shared" ref="H1081:I1081" si="2170">TEXT(IF($B1081=0," ",$B1081+H$6),"hh:mm am/pm")</f>
        <v> </v>
      </c>
      <c r="I1081" s="293" t="str">
        <f t="shared" si="2170"/>
        <v> </v>
      </c>
      <c r="J1081" s="609"/>
      <c r="K1081" s="612"/>
      <c r="L1081" s="609"/>
      <c r="M1081" s="592"/>
      <c r="N1081" s="593"/>
      <c r="O1081" s="594"/>
      <c r="P1081" s="595"/>
      <c r="Q1081" s="596"/>
      <c r="R1081" s="596"/>
      <c r="S1081" s="613"/>
      <c r="T1081" s="597"/>
      <c r="U1081" s="593"/>
      <c r="V1081" s="593"/>
      <c r="W1081" s="593"/>
      <c r="X1081" s="598"/>
      <c r="Y1081" s="599"/>
      <c r="Z1081" s="593"/>
      <c r="AA1081" s="600"/>
      <c r="AB1081" s="600"/>
      <c r="AC1081" s="601"/>
      <c r="AD1081" s="601"/>
      <c r="AE1081" s="600"/>
      <c r="AF1081" s="598"/>
      <c r="AG1081" s="602"/>
      <c r="AH1081" s="602"/>
      <c r="AI1081" s="602"/>
      <c r="AJ1081" s="603"/>
      <c r="AK1081" s="604"/>
      <c r="AL1081" s="604"/>
      <c r="AM1081" s="606"/>
      <c r="AN1081" s="606"/>
      <c r="AO1081" s="314" t="str">
        <f t="shared" si="2079"/>
        <v> </v>
      </c>
      <c r="AP1081" s="315">
        <f t="shared" si="2080"/>
        <v>0</v>
      </c>
      <c r="AQ1081" s="316" t="str">
        <f t="shared" si="2081"/>
        <v> </v>
      </c>
    </row>
    <row r="1082" ht="29.25" customHeight="1" outlineLevel="1" spans="1:43">
      <c r="A1082" s="607"/>
      <c r="B1082" s="608"/>
      <c r="C1082" s="293" t="str">
        <f t="shared" si="2073"/>
        <v> </v>
      </c>
      <c r="D1082" s="293" t="str">
        <f t="shared" si="2074"/>
        <v> </v>
      </c>
      <c r="E1082" s="293" t="str">
        <f t="shared" si="2075"/>
        <v> </v>
      </c>
      <c r="F1082" s="293" t="str">
        <f t="shared" si="2076"/>
        <v> </v>
      </c>
      <c r="G1082" s="293" t="str">
        <f t="shared" si="2077"/>
        <v> </v>
      </c>
      <c r="H1082" s="293" t="str">
        <f t="shared" ref="H1082:I1082" si="2171">TEXT(IF($B1082=0," ",$B1082+H$6),"hh:mm am/pm")</f>
        <v> </v>
      </c>
      <c r="I1082" s="293" t="str">
        <f t="shared" si="2171"/>
        <v> </v>
      </c>
      <c r="J1082" s="609"/>
      <c r="K1082" s="612"/>
      <c r="L1082" s="609"/>
      <c r="M1082" s="592"/>
      <c r="N1082" s="593"/>
      <c r="O1082" s="594"/>
      <c r="P1082" s="595"/>
      <c r="Q1082" s="596"/>
      <c r="R1082" s="596"/>
      <c r="S1082" s="613"/>
      <c r="T1082" s="597"/>
      <c r="U1082" s="593"/>
      <c r="V1082" s="593"/>
      <c r="W1082" s="593"/>
      <c r="X1082" s="598"/>
      <c r="Y1082" s="599"/>
      <c r="Z1082" s="593"/>
      <c r="AA1082" s="600"/>
      <c r="AB1082" s="600"/>
      <c r="AC1082" s="601"/>
      <c r="AD1082" s="601"/>
      <c r="AE1082" s="600"/>
      <c r="AF1082" s="598"/>
      <c r="AG1082" s="602"/>
      <c r="AH1082" s="602"/>
      <c r="AI1082" s="602"/>
      <c r="AJ1082" s="603"/>
      <c r="AK1082" s="604"/>
      <c r="AL1082" s="604"/>
      <c r="AM1082" s="606"/>
      <c r="AN1082" s="606"/>
      <c r="AO1082" s="314" t="str">
        <f t="shared" si="2079"/>
        <v> </v>
      </c>
      <c r="AP1082" s="315">
        <f t="shared" si="2080"/>
        <v>0</v>
      </c>
      <c r="AQ1082" s="316" t="str">
        <f t="shared" si="2081"/>
        <v> </v>
      </c>
    </row>
    <row r="1083" ht="29.25" customHeight="1" outlineLevel="1" spans="1:43">
      <c r="A1083" s="607"/>
      <c r="B1083" s="608"/>
      <c r="C1083" s="293" t="str">
        <f t="shared" si="2073"/>
        <v> </v>
      </c>
      <c r="D1083" s="293" t="str">
        <f t="shared" si="2074"/>
        <v> </v>
      </c>
      <c r="E1083" s="293" t="str">
        <f t="shared" si="2075"/>
        <v> </v>
      </c>
      <c r="F1083" s="293" t="str">
        <f t="shared" si="2076"/>
        <v> </v>
      </c>
      <c r="G1083" s="293" t="str">
        <f t="shared" si="2077"/>
        <v> </v>
      </c>
      <c r="H1083" s="293" t="str">
        <f t="shared" ref="H1083:I1083" si="2172">TEXT(IF($B1083=0," ",$B1083+H$6),"hh:mm am/pm")</f>
        <v> </v>
      </c>
      <c r="I1083" s="293" t="str">
        <f t="shared" si="2172"/>
        <v> </v>
      </c>
      <c r="J1083" s="609"/>
      <c r="K1083" s="612"/>
      <c r="L1083" s="609"/>
      <c r="M1083" s="592"/>
      <c r="N1083" s="593"/>
      <c r="O1083" s="594"/>
      <c r="P1083" s="595"/>
      <c r="Q1083" s="596"/>
      <c r="R1083" s="596"/>
      <c r="S1083" s="613"/>
      <c r="T1083" s="597"/>
      <c r="U1083" s="593"/>
      <c r="V1083" s="593"/>
      <c r="W1083" s="593"/>
      <c r="X1083" s="598"/>
      <c r="Y1083" s="599"/>
      <c r="Z1083" s="593"/>
      <c r="AA1083" s="600"/>
      <c r="AB1083" s="600"/>
      <c r="AC1083" s="601"/>
      <c r="AD1083" s="601"/>
      <c r="AE1083" s="600"/>
      <c r="AF1083" s="598"/>
      <c r="AG1083" s="602"/>
      <c r="AH1083" s="602"/>
      <c r="AI1083" s="602"/>
      <c r="AJ1083" s="603"/>
      <c r="AK1083" s="604"/>
      <c r="AL1083" s="604"/>
      <c r="AM1083" s="606"/>
      <c r="AN1083" s="606"/>
      <c r="AO1083" s="314" t="str">
        <f t="shared" si="2079"/>
        <v> </v>
      </c>
      <c r="AP1083" s="315">
        <f t="shared" si="2080"/>
        <v>0</v>
      </c>
      <c r="AQ1083" s="316" t="str">
        <f t="shared" si="2081"/>
        <v> </v>
      </c>
    </row>
    <row r="1084" ht="29.25" customHeight="1" outlineLevel="1" spans="1:43">
      <c r="A1084" s="607"/>
      <c r="B1084" s="590"/>
      <c r="C1084" s="293" t="str">
        <f t="shared" si="2073"/>
        <v> </v>
      </c>
      <c r="D1084" s="293" t="str">
        <f t="shared" si="2074"/>
        <v> </v>
      </c>
      <c r="E1084" s="293" t="str">
        <f t="shared" si="2075"/>
        <v> </v>
      </c>
      <c r="F1084" s="293" t="str">
        <f t="shared" si="2076"/>
        <v> </v>
      </c>
      <c r="G1084" s="293" t="str">
        <f t="shared" si="2077"/>
        <v> </v>
      </c>
      <c r="H1084" s="293" t="str">
        <f t="shared" ref="H1084:I1084" si="2173">TEXT(IF($B1084=0," ",$B1084+H$6),"hh:mm am/pm")</f>
        <v> </v>
      </c>
      <c r="I1084" s="293" t="str">
        <f t="shared" si="2173"/>
        <v> </v>
      </c>
      <c r="J1084" s="609"/>
      <c r="K1084" s="612"/>
      <c r="L1084" s="609"/>
      <c r="M1084" s="592"/>
      <c r="N1084" s="593"/>
      <c r="O1084" s="594"/>
      <c r="P1084" s="595"/>
      <c r="Q1084" s="596"/>
      <c r="R1084" s="596"/>
      <c r="S1084" s="613"/>
      <c r="T1084" s="597"/>
      <c r="U1084" s="593"/>
      <c r="V1084" s="593"/>
      <c r="W1084" s="593"/>
      <c r="X1084" s="598"/>
      <c r="Y1084" s="599"/>
      <c r="Z1084" s="593"/>
      <c r="AA1084" s="600"/>
      <c r="AB1084" s="600"/>
      <c r="AC1084" s="601"/>
      <c r="AD1084" s="601"/>
      <c r="AE1084" s="600"/>
      <c r="AF1084" s="598"/>
      <c r="AG1084" s="602"/>
      <c r="AH1084" s="602"/>
      <c r="AI1084" s="602"/>
      <c r="AJ1084" s="603"/>
      <c r="AK1084" s="604"/>
      <c r="AL1084" s="604"/>
      <c r="AM1084" s="606"/>
      <c r="AN1084" s="606"/>
      <c r="AO1084" s="314" t="str">
        <f t="shared" si="2079"/>
        <v> </v>
      </c>
      <c r="AP1084" s="315">
        <f t="shared" si="2080"/>
        <v>0</v>
      </c>
      <c r="AQ1084" s="316" t="str">
        <f t="shared" si="2081"/>
        <v> </v>
      </c>
    </row>
    <row r="1085" ht="29.25" customHeight="1" outlineLevel="1" spans="1:43">
      <c r="A1085" s="607"/>
      <c r="B1085" s="608"/>
      <c r="C1085" s="293" t="str">
        <f t="shared" si="2073"/>
        <v> </v>
      </c>
      <c r="D1085" s="293" t="str">
        <f t="shared" si="2074"/>
        <v> </v>
      </c>
      <c r="E1085" s="293" t="str">
        <f t="shared" si="2075"/>
        <v> </v>
      </c>
      <c r="F1085" s="293" t="str">
        <f t="shared" si="2076"/>
        <v> </v>
      </c>
      <c r="G1085" s="293" t="str">
        <f t="shared" si="2077"/>
        <v> </v>
      </c>
      <c r="H1085" s="293" t="str">
        <f t="shared" ref="H1085:I1085" si="2174">TEXT(IF($B1085=0," ",$B1085+H$6),"hh:mm am/pm")</f>
        <v> </v>
      </c>
      <c r="I1085" s="293" t="str">
        <f t="shared" si="2174"/>
        <v> </v>
      </c>
      <c r="J1085" s="609"/>
      <c r="K1085" s="612"/>
      <c r="L1085" s="609"/>
      <c r="M1085" s="592"/>
      <c r="N1085" s="593"/>
      <c r="O1085" s="594"/>
      <c r="P1085" s="595"/>
      <c r="Q1085" s="596"/>
      <c r="R1085" s="596"/>
      <c r="S1085" s="613"/>
      <c r="T1085" s="597"/>
      <c r="U1085" s="593"/>
      <c r="V1085" s="593"/>
      <c r="W1085" s="593"/>
      <c r="X1085" s="598"/>
      <c r="Y1085" s="599"/>
      <c r="Z1085" s="593"/>
      <c r="AA1085" s="600"/>
      <c r="AB1085" s="600"/>
      <c r="AC1085" s="601"/>
      <c r="AD1085" s="601"/>
      <c r="AE1085" s="600"/>
      <c r="AF1085" s="598"/>
      <c r="AG1085" s="602"/>
      <c r="AH1085" s="602"/>
      <c r="AI1085" s="602"/>
      <c r="AJ1085" s="603"/>
      <c r="AK1085" s="604"/>
      <c r="AL1085" s="604"/>
      <c r="AM1085" s="606"/>
      <c r="AN1085" s="606"/>
      <c r="AO1085" s="314" t="str">
        <f t="shared" si="2079"/>
        <v> </v>
      </c>
      <c r="AP1085" s="315">
        <f t="shared" si="2080"/>
        <v>0</v>
      </c>
      <c r="AQ1085" s="316" t="str">
        <f t="shared" si="2081"/>
        <v> </v>
      </c>
    </row>
    <row r="1086" ht="29.25" customHeight="1" outlineLevel="1" spans="1:43">
      <c r="A1086" s="607"/>
      <c r="B1086" s="608"/>
      <c r="C1086" s="293" t="str">
        <f t="shared" si="2073"/>
        <v> </v>
      </c>
      <c r="D1086" s="293" t="str">
        <f t="shared" si="2074"/>
        <v> </v>
      </c>
      <c r="E1086" s="293" t="str">
        <f t="shared" si="2075"/>
        <v> </v>
      </c>
      <c r="F1086" s="293" t="str">
        <f t="shared" si="2076"/>
        <v> </v>
      </c>
      <c r="G1086" s="293" t="str">
        <f t="shared" si="2077"/>
        <v> </v>
      </c>
      <c r="H1086" s="293" t="str">
        <f t="shared" ref="H1086:I1086" si="2175">TEXT(IF($B1086=0," ",$B1086+H$6),"hh:mm am/pm")</f>
        <v> </v>
      </c>
      <c r="I1086" s="293" t="str">
        <f t="shared" si="2175"/>
        <v> </v>
      </c>
      <c r="J1086" s="609"/>
      <c r="K1086" s="612"/>
      <c r="L1086" s="609"/>
      <c r="M1086" s="592"/>
      <c r="N1086" s="593"/>
      <c r="O1086" s="594"/>
      <c r="P1086" s="595"/>
      <c r="Q1086" s="596"/>
      <c r="R1086" s="596"/>
      <c r="S1086" s="613"/>
      <c r="T1086" s="597"/>
      <c r="U1086" s="593"/>
      <c r="V1086" s="593"/>
      <c r="W1086" s="593"/>
      <c r="X1086" s="598"/>
      <c r="Y1086" s="599"/>
      <c r="Z1086" s="593"/>
      <c r="AA1086" s="600"/>
      <c r="AB1086" s="600"/>
      <c r="AC1086" s="601"/>
      <c r="AD1086" s="601"/>
      <c r="AE1086" s="600"/>
      <c r="AF1086" s="598"/>
      <c r="AG1086" s="602"/>
      <c r="AH1086" s="602"/>
      <c r="AI1086" s="602"/>
      <c r="AJ1086" s="603"/>
      <c r="AK1086" s="604"/>
      <c r="AL1086" s="604"/>
      <c r="AM1086" s="606"/>
      <c r="AN1086" s="606"/>
      <c r="AO1086" s="314" t="str">
        <f t="shared" si="2079"/>
        <v> </v>
      </c>
      <c r="AP1086" s="315">
        <f t="shared" si="2080"/>
        <v>0</v>
      </c>
      <c r="AQ1086" s="316" t="str">
        <f t="shared" si="2081"/>
        <v> </v>
      </c>
    </row>
    <row r="1087" ht="29.25" customHeight="1" outlineLevel="1" spans="1:43">
      <c r="A1087" s="607"/>
      <c r="B1087" s="608"/>
      <c r="C1087" s="293" t="str">
        <f t="shared" si="2073"/>
        <v> </v>
      </c>
      <c r="D1087" s="293" t="str">
        <f t="shared" si="2074"/>
        <v> </v>
      </c>
      <c r="E1087" s="293" t="str">
        <f t="shared" si="2075"/>
        <v> </v>
      </c>
      <c r="F1087" s="293" t="str">
        <f t="shared" si="2076"/>
        <v> </v>
      </c>
      <c r="G1087" s="293" t="str">
        <f t="shared" si="2077"/>
        <v> </v>
      </c>
      <c r="H1087" s="293" t="str">
        <f t="shared" ref="H1087:I1087" si="2176">TEXT(IF($B1087=0," ",$B1087+H$6),"hh:mm am/pm")</f>
        <v> </v>
      </c>
      <c r="I1087" s="293" t="str">
        <f t="shared" si="2176"/>
        <v> </v>
      </c>
      <c r="J1087" s="609"/>
      <c r="K1087" s="612"/>
      <c r="L1087" s="609"/>
      <c r="M1087" s="592"/>
      <c r="N1087" s="593"/>
      <c r="O1087" s="594"/>
      <c r="P1087" s="595"/>
      <c r="Q1087" s="596"/>
      <c r="R1087" s="596"/>
      <c r="S1087" s="613"/>
      <c r="T1087" s="597"/>
      <c r="U1087" s="593"/>
      <c r="V1087" s="593"/>
      <c r="W1087" s="593"/>
      <c r="X1087" s="598"/>
      <c r="Y1087" s="599"/>
      <c r="Z1087" s="593"/>
      <c r="AA1087" s="600"/>
      <c r="AB1087" s="600"/>
      <c r="AC1087" s="601"/>
      <c r="AD1087" s="601"/>
      <c r="AE1087" s="597"/>
      <c r="AF1087" s="598"/>
      <c r="AG1087" s="602"/>
      <c r="AH1087" s="602"/>
      <c r="AI1087" s="602"/>
      <c r="AJ1087" s="603"/>
      <c r="AK1087" s="605"/>
      <c r="AL1087" s="605"/>
      <c r="AM1087" s="611"/>
      <c r="AN1087" s="606"/>
      <c r="AO1087" s="314" t="str">
        <f t="shared" si="2079"/>
        <v> </v>
      </c>
      <c r="AP1087" s="315">
        <f t="shared" si="2080"/>
        <v>0</v>
      </c>
      <c r="AQ1087" s="316" t="str">
        <f t="shared" si="2081"/>
        <v> </v>
      </c>
    </row>
    <row r="1088" ht="29.25" customHeight="1" outlineLevel="1" spans="1:43">
      <c r="A1088" s="607"/>
      <c r="B1088" s="608"/>
      <c r="C1088" s="293" t="str">
        <f t="shared" si="2073"/>
        <v> </v>
      </c>
      <c r="D1088" s="293" t="str">
        <f t="shared" si="2074"/>
        <v> </v>
      </c>
      <c r="E1088" s="293" t="str">
        <f t="shared" si="2075"/>
        <v> </v>
      </c>
      <c r="F1088" s="293" t="str">
        <f t="shared" si="2076"/>
        <v> </v>
      </c>
      <c r="G1088" s="293" t="str">
        <f t="shared" si="2077"/>
        <v> </v>
      </c>
      <c r="H1088" s="293" t="str">
        <f t="shared" ref="H1088:I1088" si="2177">TEXT(IF($B1088=0," ",$B1088+H$6),"hh:mm am/pm")</f>
        <v> </v>
      </c>
      <c r="I1088" s="293" t="str">
        <f t="shared" si="2177"/>
        <v> </v>
      </c>
      <c r="J1088" s="609"/>
      <c r="K1088" s="612"/>
      <c r="L1088" s="609"/>
      <c r="M1088" s="592"/>
      <c r="N1088" s="593"/>
      <c r="O1088" s="594"/>
      <c r="P1088" s="595"/>
      <c r="Q1088" s="596"/>
      <c r="R1088" s="596"/>
      <c r="S1088" s="613"/>
      <c r="T1088" s="597"/>
      <c r="U1088" s="593"/>
      <c r="V1088" s="593"/>
      <c r="W1088" s="593"/>
      <c r="X1088" s="598"/>
      <c r="Y1088" s="599"/>
      <c r="Z1088" s="593"/>
      <c r="AA1088" s="600"/>
      <c r="AB1088" s="600"/>
      <c r="AC1088" s="601"/>
      <c r="AD1088" s="601"/>
      <c r="AE1088" s="600"/>
      <c r="AF1088" s="598"/>
      <c r="AG1088" s="602"/>
      <c r="AH1088" s="602"/>
      <c r="AI1088" s="602"/>
      <c r="AJ1088" s="603"/>
      <c r="AK1088" s="604"/>
      <c r="AL1088" s="604"/>
      <c r="AM1088" s="606"/>
      <c r="AN1088" s="606"/>
      <c r="AO1088" s="314" t="str">
        <f t="shared" si="2079"/>
        <v> </v>
      </c>
      <c r="AP1088" s="315">
        <f t="shared" si="2080"/>
        <v>0</v>
      </c>
      <c r="AQ1088" s="316" t="str">
        <f t="shared" si="2081"/>
        <v> </v>
      </c>
    </row>
    <row r="1089" ht="29.25" customHeight="1" outlineLevel="1" spans="1:43">
      <c r="A1089" s="607"/>
      <c r="B1089" s="590"/>
      <c r="C1089" s="293" t="str">
        <f t="shared" si="2073"/>
        <v> </v>
      </c>
      <c r="D1089" s="293" t="str">
        <f t="shared" si="2074"/>
        <v> </v>
      </c>
      <c r="E1089" s="293" t="str">
        <f t="shared" si="2075"/>
        <v> </v>
      </c>
      <c r="F1089" s="293" t="str">
        <f t="shared" si="2076"/>
        <v> </v>
      </c>
      <c r="G1089" s="293" t="str">
        <f t="shared" si="2077"/>
        <v> </v>
      </c>
      <c r="H1089" s="293" t="str">
        <f t="shared" ref="H1089:I1089" si="2178">TEXT(IF($B1089=0," ",$B1089+H$6),"hh:mm am/pm")</f>
        <v> </v>
      </c>
      <c r="I1089" s="293" t="str">
        <f t="shared" si="2178"/>
        <v> </v>
      </c>
      <c r="J1089" s="609"/>
      <c r="K1089" s="612"/>
      <c r="L1089" s="609"/>
      <c r="M1089" s="592"/>
      <c r="N1089" s="593"/>
      <c r="O1089" s="594"/>
      <c r="P1089" s="595"/>
      <c r="Q1089" s="596"/>
      <c r="R1089" s="596"/>
      <c r="S1089" s="613"/>
      <c r="T1089" s="597"/>
      <c r="U1089" s="593"/>
      <c r="V1089" s="593"/>
      <c r="W1089" s="593"/>
      <c r="X1089" s="598"/>
      <c r="Y1089" s="599"/>
      <c r="Z1089" s="593"/>
      <c r="AA1089" s="600"/>
      <c r="AB1089" s="600"/>
      <c r="AC1089" s="601"/>
      <c r="AD1089" s="601"/>
      <c r="AE1089" s="600"/>
      <c r="AF1089" s="598"/>
      <c r="AG1089" s="602"/>
      <c r="AH1089" s="602"/>
      <c r="AI1089" s="602"/>
      <c r="AJ1089" s="603"/>
      <c r="AK1089" s="604"/>
      <c r="AL1089" s="604"/>
      <c r="AM1089" s="606"/>
      <c r="AN1089" s="606"/>
      <c r="AO1089" s="314" t="str">
        <f t="shared" si="2079"/>
        <v> </v>
      </c>
      <c r="AP1089" s="315">
        <f t="shared" si="2080"/>
        <v>0</v>
      </c>
      <c r="AQ1089" s="316" t="str">
        <f t="shared" si="2081"/>
        <v> </v>
      </c>
    </row>
    <row r="1090" ht="29.25" customHeight="1" outlineLevel="1" spans="1:43">
      <c r="A1090" s="607"/>
      <c r="B1090" s="608"/>
      <c r="C1090" s="293" t="str">
        <f t="shared" si="2073"/>
        <v> </v>
      </c>
      <c r="D1090" s="293" t="str">
        <f t="shared" si="2074"/>
        <v> </v>
      </c>
      <c r="E1090" s="293" t="str">
        <f t="shared" si="2075"/>
        <v> </v>
      </c>
      <c r="F1090" s="293" t="str">
        <f t="shared" si="2076"/>
        <v> </v>
      </c>
      <c r="G1090" s="293" t="str">
        <f t="shared" si="2077"/>
        <v> </v>
      </c>
      <c r="H1090" s="293" t="str">
        <f t="shared" ref="H1090:I1090" si="2179">TEXT(IF($B1090=0," ",$B1090+H$6),"hh:mm am/pm")</f>
        <v> </v>
      </c>
      <c r="I1090" s="293" t="str">
        <f t="shared" si="2179"/>
        <v> </v>
      </c>
      <c r="J1090" s="609"/>
      <c r="K1090" s="612"/>
      <c r="L1090" s="609"/>
      <c r="M1090" s="592"/>
      <c r="N1090" s="593"/>
      <c r="O1090" s="594"/>
      <c r="P1090" s="595"/>
      <c r="Q1090" s="596"/>
      <c r="R1090" s="596"/>
      <c r="S1090" s="613"/>
      <c r="T1090" s="597"/>
      <c r="U1090" s="593"/>
      <c r="V1090" s="593"/>
      <c r="W1090" s="593"/>
      <c r="X1090" s="598"/>
      <c r="Y1090" s="599"/>
      <c r="Z1090" s="593"/>
      <c r="AA1090" s="600"/>
      <c r="AB1090" s="600"/>
      <c r="AC1090" s="601"/>
      <c r="AD1090" s="601"/>
      <c r="AE1090" s="600"/>
      <c r="AF1090" s="598"/>
      <c r="AG1090" s="602"/>
      <c r="AH1090" s="602"/>
      <c r="AI1090" s="602"/>
      <c r="AJ1090" s="603"/>
      <c r="AK1090" s="604"/>
      <c r="AL1090" s="604"/>
      <c r="AM1090" s="606"/>
      <c r="AN1090" s="606"/>
      <c r="AO1090" s="314" t="str">
        <f t="shared" si="2079"/>
        <v> </v>
      </c>
      <c r="AP1090" s="315">
        <f t="shared" si="2080"/>
        <v>0</v>
      </c>
      <c r="AQ1090" s="316" t="str">
        <f t="shared" si="2081"/>
        <v> </v>
      </c>
    </row>
    <row r="1091" ht="29.25" customHeight="1" outlineLevel="1" spans="1:43">
      <c r="A1091" s="607"/>
      <c r="B1091" s="608"/>
      <c r="C1091" s="293" t="str">
        <f t="shared" si="2073"/>
        <v> </v>
      </c>
      <c r="D1091" s="293" t="str">
        <f t="shared" si="2074"/>
        <v> </v>
      </c>
      <c r="E1091" s="293" t="str">
        <f t="shared" si="2075"/>
        <v> </v>
      </c>
      <c r="F1091" s="293" t="str">
        <f t="shared" si="2076"/>
        <v> </v>
      </c>
      <c r="G1091" s="293" t="str">
        <f t="shared" si="2077"/>
        <v> </v>
      </c>
      <c r="H1091" s="293" t="str">
        <f t="shared" ref="H1091:I1091" si="2180">TEXT(IF($B1091=0," ",$B1091+H$6),"hh:mm am/pm")</f>
        <v> </v>
      </c>
      <c r="I1091" s="293" t="str">
        <f t="shared" si="2180"/>
        <v> </v>
      </c>
      <c r="J1091" s="609"/>
      <c r="K1091" s="612"/>
      <c r="L1091" s="609"/>
      <c r="M1091" s="592"/>
      <c r="N1091" s="593"/>
      <c r="O1091" s="594"/>
      <c r="P1091" s="595"/>
      <c r="Q1091" s="596"/>
      <c r="R1091" s="596"/>
      <c r="S1091" s="613"/>
      <c r="T1091" s="597"/>
      <c r="U1091" s="593"/>
      <c r="V1091" s="593"/>
      <c r="W1091" s="593"/>
      <c r="X1091" s="598"/>
      <c r="Y1091" s="599"/>
      <c r="Z1091" s="593"/>
      <c r="AA1091" s="600"/>
      <c r="AB1091" s="600"/>
      <c r="AC1091" s="601"/>
      <c r="AD1091" s="601"/>
      <c r="AE1091" s="600"/>
      <c r="AF1091" s="598"/>
      <c r="AG1091" s="602"/>
      <c r="AH1091" s="602"/>
      <c r="AI1091" s="602"/>
      <c r="AJ1091" s="603"/>
      <c r="AK1091" s="604"/>
      <c r="AL1091" s="604"/>
      <c r="AM1091" s="606"/>
      <c r="AN1091" s="606"/>
      <c r="AO1091" s="314" t="str">
        <f t="shared" si="2079"/>
        <v> </v>
      </c>
      <c r="AP1091" s="315">
        <f t="shared" si="2080"/>
        <v>0</v>
      </c>
      <c r="AQ1091" s="316" t="str">
        <f t="shared" si="2081"/>
        <v> </v>
      </c>
    </row>
    <row r="1092" ht="29.25" customHeight="1" outlineLevel="1" spans="1:43">
      <c r="A1092" s="607"/>
      <c r="B1092" s="608"/>
      <c r="C1092" s="293" t="str">
        <f t="shared" si="2073"/>
        <v> </v>
      </c>
      <c r="D1092" s="293" t="str">
        <f t="shared" si="2074"/>
        <v> </v>
      </c>
      <c r="E1092" s="293" t="str">
        <f t="shared" si="2075"/>
        <v> </v>
      </c>
      <c r="F1092" s="293" t="str">
        <f t="shared" si="2076"/>
        <v> </v>
      </c>
      <c r="G1092" s="293" t="str">
        <f t="shared" si="2077"/>
        <v> </v>
      </c>
      <c r="H1092" s="293" t="str">
        <f t="shared" ref="H1092:I1092" si="2181">TEXT(IF($B1092=0," ",$B1092+H$6),"hh:mm am/pm")</f>
        <v> </v>
      </c>
      <c r="I1092" s="293" t="str">
        <f t="shared" si="2181"/>
        <v> </v>
      </c>
      <c r="J1092" s="609"/>
      <c r="K1092" s="612"/>
      <c r="L1092" s="609"/>
      <c r="M1092" s="592"/>
      <c r="N1092" s="593"/>
      <c r="O1092" s="594"/>
      <c r="P1092" s="595"/>
      <c r="Q1092" s="596"/>
      <c r="R1092" s="596"/>
      <c r="S1092" s="613"/>
      <c r="T1092" s="597"/>
      <c r="U1092" s="593"/>
      <c r="V1092" s="593"/>
      <c r="W1092" s="593"/>
      <c r="X1092" s="598"/>
      <c r="Y1092" s="599"/>
      <c r="Z1092" s="593"/>
      <c r="AA1092" s="600"/>
      <c r="AB1092" s="600"/>
      <c r="AC1092" s="601"/>
      <c r="AD1092" s="601"/>
      <c r="AE1092" s="600"/>
      <c r="AF1092" s="598"/>
      <c r="AG1092" s="602"/>
      <c r="AH1092" s="602"/>
      <c r="AI1092" s="602"/>
      <c r="AJ1092" s="603"/>
      <c r="AK1092" s="604"/>
      <c r="AL1092" s="604"/>
      <c r="AM1092" s="606"/>
      <c r="AN1092" s="606"/>
      <c r="AO1092" s="314" t="str">
        <f t="shared" si="2079"/>
        <v> </v>
      </c>
      <c r="AP1092" s="315">
        <f t="shared" si="2080"/>
        <v>0</v>
      </c>
      <c r="AQ1092" s="316" t="str">
        <f t="shared" si="2081"/>
        <v> </v>
      </c>
    </row>
    <row r="1093" ht="29.25" customHeight="1" outlineLevel="1" spans="1:43">
      <c r="A1093" s="607"/>
      <c r="B1093" s="608"/>
      <c r="C1093" s="293" t="str">
        <f t="shared" si="2073"/>
        <v> </v>
      </c>
      <c r="D1093" s="293" t="str">
        <f t="shared" si="2074"/>
        <v> </v>
      </c>
      <c r="E1093" s="293" t="str">
        <f t="shared" si="2075"/>
        <v> </v>
      </c>
      <c r="F1093" s="293" t="str">
        <f t="shared" si="2076"/>
        <v> </v>
      </c>
      <c r="G1093" s="293" t="str">
        <f t="shared" si="2077"/>
        <v> </v>
      </c>
      <c r="H1093" s="293" t="str">
        <f t="shared" ref="H1093:I1093" si="2182">TEXT(IF($B1093=0," ",$B1093+H$6),"hh:mm am/pm")</f>
        <v> </v>
      </c>
      <c r="I1093" s="293" t="str">
        <f t="shared" si="2182"/>
        <v> </v>
      </c>
      <c r="J1093" s="609"/>
      <c r="K1093" s="612"/>
      <c r="L1093" s="609"/>
      <c r="M1093" s="592"/>
      <c r="N1093" s="593"/>
      <c r="O1093" s="594"/>
      <c r="P1093" s="595"/>
      <c r="Q1093" s="596"/>
      <c r="R1093" s="596"/>
      <c r="S1093" s="613"/>
      <c r="T1093" s="597"/>
      <c r="U1093" s="593"/>
      <c r="V1093" s="593"/>
      <c r="W1093" s="593"/>
      <c r="X1093" s="598"/>
      <c r="Y1093" s="599"/>
      <c r="Z1093" s="593"/>
      <c r="AA1093" s="600"/>
      <c r="AB1093" s="600"/>
      <c r="AC1093" s="601"/>
      <c r="AD1093" s="601"/>
      <c r="AE1093" s="600"/>
      <c r="AF1093" s="598"/>
      <c r="AG1093" s="602"/>
      <c r="AH1093" s="602"/>
      <c r="AI1093" s="602"/>
      <c r="AJ1093" s="603"/>
      <c r="AK1093" s="604"/>
      <c r="AL1093" s="604"/>
      <c r="AM1093" s="606"/>
      <c r="AN1093" s="606"/>
      <c r="AO1093" s="314" t="str">
        <f t="shared" si="2079"/>
        <v> </v>
      </c>
      <c r="AP1093" s="315">
        <f t="shared" si="2080"/>
        <v>0</v>
      </c>
      <c r="AQ1093" s="316" t="str">
        <f t="shared" si="2081"/>
        <v> </v>
      </c>
    </row>
    <row r="1094" ht="29.25" customHeight="1" outlineLevel="1" spans="1:43">
      <c r="A1094" s="607"/>
      <c r="B1094" s="590"/>
      <c r="C1094" s="293" t="str">
        <f t="shared" si="2073"/>
        <v> </v>
      </c>
      <c r="D1094" s="293" t="str">
        <f t="shared" si="2074"/>
        <v> </v>
      </c>
      <c r="E1094" s="293" t="str">
        <f t="shared" si="2075"/>
        <v> </v>
      </c>
      <c r="F1094" s="293" t="str">
        <f t="shared" si="2076"/>
        <v> </v>
      </c>
      <c r="G1094" s="293" t="str">
        <f t="shared" si="2077"/>
        <v> </v>
      </c>
      <c r="H1094" s="293" t="str">
        <f t="shared" ref="H1094:I1094" si="2183">TEXT(IF($B1094=0," ",$B1094+H$6),"hh:mm am/pm")</f>
        <v> </v>
      </c>
      <c r="I1094" s="293" t="str">
        <f t="shared" si="2183"/>
        <v> </v>
      </c>
      <c r="J1094" s="609"/>
      <c r="K1094" s="612"/>
      <c r="L1094" s="609"/>
      <c r="M1094" s="592"/>
      <c r="N1094" s="593"/>
      <c r="O1094" s="594"/>
      <c r="P1094" s="595"/>
      <c r="Q1094" s="596"/>
      <c r="R1094" s="596"/>
      <c r="S1094" s="613"/>
      <c r="T1094" s="597"/>
      <c r="U1094" s="593"/>
      <c r="V1094" s="593"/>
      <c r="W1094" s="593"/>
      <c r="X1094" s="598"/>
      <c r="Y1094" s="599"/>
      <c r="Z1094" s="593"/>
      <c r="AA1094" s="600"/>
      <c r="AB1094" s="600"/>
      <c r="AC1094" s="601"/>
      <c r="AD1094" s="601"/>
      <c r="AE1094" s="600"/>
      <c r="AF1094" s="598"/>
      <c r="AG1094" s="602"/>
      <c r="AH1094" s="602"/>
      <c r="AI1094" s="602"/>
      <c r="AJ1094" s="603"/>
      <c r="AK1094" s="604"/>
      <c r="AL1094" s="604"/>
      <c r="AM1094" s="606"/>
      <c r="AN1094" s="606"/>
      <c r="AO1094" s="314" t="str">
        <f t="shared" si="2079"/>
        <v> </v>
      </c>
      <c r="AP1094" s="315">
        <f t="shared" si="2080"/>
        <v>0</v>
      </c>
      <c r="AQ1094" s="316" t="str">
        <f t="shared" si="2081"/>
        <v> </v>
      </c>
    </row>
    <row r="1095" ht="29.25" customHeight="1" outlineLevel="1" spans="1:43">
      <c r="A1095" s="607"/>
      <c r="B1095" s="608"/>
      <c r="C1095" s="293" t="str">
        <f t="shared" si="2073"/>
        <v> </v>
      </c>
      <c r="D1095" s="293" t="str">
        <f t="shared" si="2074"/>
        <v> </v>
      </c>
      <c r="E1095" s="293" t="str">
        <f t="shared" si="2075"/>
        <v> </v>
      </c>
      <c r="F1095" s="293" t="str">
        <f t="shared" si="2076"/>
        <v> </v>
      </c>
      <c r="G1095" s="293" t="str">
        <f t="shared" si="2077"/>
        <v> </v>
      </c>
      <c r="H1095" s="293" t="str">
        <f t="shared" ref="H1095:I1095" si="2184">TEXT(IF($B1095=0," ",$B1095+H$6),"hh:mm am/pm")</f>
        <v> </v>
      </c>
      <c r="I1095" s="293" t="str">
        <f t="shared" si="2184"/>
        <v> </v>
      </c>
      <c r="J1095" s="609"/>
      <c r="K1095" s="612"/>
      <c r="L1095" s="609"/>
      <c r="M1095" s="592"/>
      <c r="N1095" s="593"/>
      <c r="O1095" s="594"/>
      <c r="P1095" s="595"/>
      <c r="Q1095" s="596"/>
      <c r="R1095" s="596"/>
      <c r="S1095" s="613"/>
      <c r="T1095" s="597"/>
      <c r="U1095" s="593"/>
      <c r="V1095" s="593"/>
      <c r="W1095" s="593"/>
      <c r="X1095" s="598"/>
      <c r="Y1095" s="599"/>
      <c r="Z1095" s="593"/>
      <c r="AA1095" s="600"/>
      <c r="AB1095" s="600"/>
      <c r="AC1095" s="601"/>
      <c r="AD1095" s="601"/>
      <c r="AE1095" s="600"/>
      <c r="AF1095" s="598"/>
      <c r="AG1095" s="602"/>
      <c r="AH1095" s="602"/>
      <c r="AI1095" s="602"/>
      <c r="AJ1095" s="603"/>
      <c r="AK1095" s="604"/>
      <c r="AL1095" s="604"/>
      <c r="AM1095" s="606"/>
      <c r="AN1095" s="606"/>
      <c r="AO1095" s="314" t="str">
        <f t="shared" si="2079"/>
        <v> </v>
      </c>
      <c r="AP1095" s="315">
        <f t="shared" si="2080"/>
        <v>0</v>
      </c>
      <c r="AQ1095" s="316" t="str">
        <f t="shared" si="2081"/>
        <v> </v>
      </c>
    </row>
    <row r="1096" ht="29.25" customHeight="1" outlineLevel="1" spans="1:43">
      <c r="A1096" s="607"/>
      <c r="B1096" s="608"/>
      <c r="C1096" s="293" t="str">
        <f t="shared" si="2073"/>
        <v> </v>
      </c>
      <c r="D1096" s="293" t="str">
        <f t="shared" si="2074"/>
        <v> </v>
      </c>
      <c r="E1096" s="293" t="str">
        <f t="shared" si="2075"/>
        <v> </v>
      </c>
      <c r="F1096" s="293" t="str">
        <f t="shared" si="2076"/>
        <v> </v>
      </c>
      <c r="G1096" s="293" t="str">
        <f t="shared" si="2077"/>
        <v> </v>
      </c>
      <c r="H1096" s="293" t="str">
        <f t="shared" ref="H1096:I1096" si="2185">TEXT(IF($B1096=0," ",$B1096+H$6),"hh:mm am/pm")</f>
        <v> </v>
      </c>
      <c r="I1096" s="293" t="str">
        <f t="shared" si="2185"/>
        <v> </v>
      </c>
      <c r="J1096" s="609"/>
      <c r="K1096" s="612"/>
      <c r="L1096" s="609"/>
      <c r="M1096" s="592"/>
      <c r="N1096" s="593"/>
      <c r="O1096" s="594"/>
      <c r="P1096" s="595"/>
      <c r="Q1096" s="596"/>
      <c r="R1096" s="596"/>
      <c r="S1096" s="613"/>
      <c r="T1096" s="597"/>
      <c r="U1096" s="593"/>
      <c r="V1096" s="593"/>
      <c r="W1096" s="593"/>
      <c r="X1096" s="598"/>
      <c r="Y1096" s="599"/>
      <c r="Z1096" s="593"/>
      <c r="AA1096" s="600"/>
      <c r="AB1096" s="600"/>
      <c r="AC1096" s="601"/>
      <c r="AD1096" s="601"/>
      <c r="AE1096" s="600"/>
      <c r="AF1096" s="598"/>
      <c r="AG1096" s="602"/>
      <c r="AH1096" s="602"/>
      <c r="AI1096" s="602"/>
      <c r="AJ1096" s="603"/>
      <c r="AK1096" s="604"/>
      <c r="AL1096" s="604"/>
      <c r="AM1096" s="606"/>
      <c r="AN1096" s="606"/>
      <c r="AO1096" s="314" t="str">
        <f t="shared" si="2079"/>
        <v> </v>
      </c>
      <c r="AP1096" s="315">
        <f t="shared" si="2080"/>
        <v>0</v>
      </c>
      <c r="AQ1096" s="316" t="str">
        <f t="shared" si="2081"/>
        <v> </v>
      </c>
    </row>
    <row r="1097" ht="29.25" customHeight="1" outlineLevel="1" spans="1:43">
      <c r="A1097" s="607"/>
      <c r="B1097" s="608"/>
      <c r="C1097" s="293" t="str">
        <f t="shared" si="2073"/>
        <v> </v>
      </c>
      <c r="D1097" s="293" t="str">
        <f t="shared" si="2074"/>
        <v> </v>
      </c>
      <c r="E1097" s="293" t="str">
        <f t="shared" si="2075"/>
        <v> </v>
      </c>
      <c r="F1097" s="293" t="str">
        <f t="shared" si="2076"/>
        <v> </v>
      </c>
      <c r="G1097" s="293" t="str">
        <f t="shared" si="2077"/>
        <v> </v>
      </c>
      <c r="H1097" s="293" t="str">
        <f t="shared" ref="H1097:I1097" si="2186">TEXT(IF($B1097=0," ",$B1097+H$6),"hh:mm am/pm")</f>
        <v> </v>
      </c>
      <c r="I1097" s="293" t="str">
        <f t="shared" si="2186"/>
        <v> </v>
      </c>
      <c r="J1097" s="609"/>
      <c r="K1097" s="612"/>
      <c r="L1097" s="609"/>
      <c r="M1097" s="592"/>
      <c r="N1097" s="593"/>
      <c r="O1097" s="594"/>
      <c r="P1097" s="595"/>
      <c r="Q1097" s="596"/>
      <c r="R1097" s="596"/>
      <c r="S1097" s="613"/>
      <c r="T1097" s="597"/>
      <c r="U1097" s="593"/>
      <c r="V1097" s="593"/>
      <c r="W1097" s="593"/>
      <c r="X1097" s="598"/>
      <c r="Y1097" s="599"/>
      <c r="Z1097" s="593"/>
      <c r="AA1097" s="600"/>
      <c r="AB1097" s="600"/>
      <c r="AC1097" s="601"/>
      <c r="AD1097" s="601"/>
      <c r="AE1097" s="597"/>
      <c r="AF1097" s="598"/>
      <c r="AG1097" s="602"/>
      <c r="AH1097" s="602"/>
      <c r="AI1097" s="602"/>
      <c r="AJ1097" s="603"/>
      <c r="AK1097" s="605"/>
      <c r="AL1097" s="605"/>
      <c r="AM1097" s="611"/>
      <c r="AN1097" s="606"/>
      <c r="AO1097" s="314" t="str">
        <f t="shared" si="2079"/>
        <v> </v>
      </c>
      <c r="AP1097" s="315">
        <f t="shared" si="2080"/>
        <v>0</v>
      </c>
      <c r="AQ1097" s="316" t="str">
        <f t="shared" si="2081"/>
        <v> </v>
      </c>
    </row>
    <row r="1098" ht="29.25" customHeight="1" outlineLevel="1" spans="1:43">
      <c r="A1098" s="607"/>
      <c r="B1098" s="590"/>
      <c r="C1098" s="293" t="str">
        <f t="shared" si="2073"/>
        <v> </v>
      </c>
      <c r="D1098" s="293" t="str">
        <f t="shared" si="2074"/>
        <v> </v>
      </c>
      <c r="E1098" s="293" t="str">
        <f t="shared" si="2075"/>
        <v> </v>
      </c>
      <c r="F1098" s="293" t="str">
        <f t="shared" si="2076"/>
        <v> </v>
      </c>
      <c r="G1098" s="293" t="str">
        <f t="shared" si="2077"/>
        <v> </v>
      </c>
      <c r="H1098" s="293" t="str">
        <f t="shared" ref="H1098:I1098" si="2187">TEXT(IF($B1098=0," ",$B1098+H$6),"hh:mm am/pm")</f>
        <v> </v>
      </c>
      <c r="I1098" s="293" t="str">
        <f t="shared" si="2187"/>
        <v> </v>
      </c>
      <c r="J1098" s="609"/>
      <c r="K1098" s="612"/>
      <c r="L1098" s="609"/>
      <c r="M1098" s="592"/>
      <c r="N1098" s="593"/>
      <c r="O1098" s="594"/>
      <c r="P1098" s="595"/>
      <c r="Q1098" s="596"/>
      <c r="R1098" s="596"/>
      <c r="S1098" s="613"/>
      <c r="T1098" s="597"/>
      <c r="U1098" s="593"/>
      <c r="V1098" s="593"/>
      <c r="W1098" s="593"/>
      <c r="X1098" s="598"/>
      <c r="Y1098" s="599"/>
      <c r="Z1098" s="593"/>
      <c r="AA1098" s="600"/>
      <c r="AB1098" s="600"/>
      <c r="AC1098" s="601"/>
      <c r="AD1098" s="601"/>
      <c r="AE1098" s="600"/>
      <c r="AF1098" s="598"/>
      <c r="AG1098" s="602"/>
      <c r="AH1098" s="602"/>
      <c r="AI1098" s="602"/>
      <c r="AJ1098" s="603"/>
      <c r="AK1098" s="604"/>
      <c r="AL1098" s="604"/>
      <c r="AM1098" s="606"/>
      <c r="AN1098" s="606"/>
      <c r="AO1098" s="314" t="str">
        <f t="shared" si="2079"/>
        <v> </v>
      </c>
      <c r="AP1098" s="315">
        <f t="shared" si="2080"/>
        <v>0</v>
      </c>
      <c r="AQ1098" s="316" t="str">
        <f t="shared" si="2081"/>
        <v> </v>
      </c>
    </row>
    <row r="1099" ht="29.25" customHeight="1" outlineLevel="1" spans="1:43">
      <c r="A1099" s="607"/>
      <c r="B1099" s="608"/>
      <c r="C1099" s="293" t="str">
        <f t="shared" si="2073"/>
        <v> </v>
      </c>
      <c r="D1099" s="293" t="str">
        <f t="shared" si="2074"/>
        <v> </v>
      </c>
      <c r="E1099" s="293" t="str">
        <f t="shared" si="2075"/>
        <v> </v>
      </c>
      <c r="F1099" s="293" t="str">
        <f t="shared" si="2076"/>
        <v> </v>
      </c>
      <c r="G1099" s="293" t="str">
        <f t="shared" si="2077"/>
        <v> </v>
      </c>
      <c r="H1099" s="293" t="str">
        <f t="shared" ref="H1099:I1099" si="2188">TEXT(IF($B1099=0," ",$B1099+H$6),"hh:mm am/pm")</f>
        <v> </v>
      </c>
      <c r="I1099" s="293" t="str">
        <f t="shared" si="2188"/>
        <v> </v>
      </c>
      <c r="J1099" s="609"/>
      <c r="K1099" s="612"/>
      <c r="L1099" s="609"/>
      <c r="M1099" s="592"/>
      <c r="N1099" s="593"/>
      <c r="O1099" s="594"/>
      <c r="P1099" s="595"/>
      <c r="Q1099" s="596"/>
      <c r="R1099" s="596"/>
      <c r="S1099" s="613"/>
      <c r="T1099" s="597"/>
      <c r="U1099" s="593"/>
      <c r="V1099" s="593"/>
      <c r="W1099" s="593"/>
      <c r="X1099" s="598"/>
      <c r="Y1099" s="599"/>
      <c r="Z1099" s="593"/>
      <c r="AA1099" s="600"/>
      <c r="AB1099" s="600"/>
      <c r="AC1099" s="601"/>
      <c r="AD1099" s="601"/>
      <c r="AE1099" s="600"/>
      <c r="AF1099" s="598"/>
      <c r="AG1099" s="602"/>
      <c r="AH1099" s="602"/>
      <c r="AI1099" s="602"/>
      <c r="AJ1099" s="603"/>
      <c r="AK1099" s="604"/>
      <c r="AL1099" s="604"/>
      <c r="AM1099" s="606"/>
      <c r="AN1099" s="606"/>
      <c r="AO1099" s="314" t="str">
        <f t="shared" si="2079"/>
        <v> </v>
      </c>
      <c r="AP1099" s="315">
        <f t="shared" si="2080"/>
        <v>0</v>
      </c>
      <c r="AQ1099" s="316" t="str">
        <f t="shared" si="2081"/>
        <v> </v>
      </c>
    </row>
    <row r="1100" ht="29.25" customHeight="1" outlineLevel="1" spans="1:43">
      <c r="A1100" s="607"/>
      <c r="B1100" s="608"/>
      <c r="C1100" s="293" t="str">
        <f t="shared" si="2073"/>
        <v> </v>
      </c>
      <c r="D1100" s="293" t="str">
        <f t="shared" si="2074"/>
        <v> </v>
      </c>
      <c r="E1100" s="293" t="str">
        <f t="shared" si="2075"/>
        <v> </v>
      </c>
      <c r="F1100" s="293" t="str">
        <f t="shared" si="2076"/>
        <v> </v>
      </c>
      <c r="G1100" s="293" t="str">
        <f t="shared" si="2077"/>
        <v> </v>
      </c>
      <c r="H1100" s="293" t="str">
        <f t="shared" ref="H1100:I1100" si="2189">TEXT(IF($B1100=0," ",$B1100+H$6),"hh:mm am/pm")</f>
        <v> </v>
      </c>
      <c r="I1100" s="293" t="str">
        <f t="shared" si="2189"/>
        <v> </v>
      </c>
      <c r="J1100" s="609"/>
      <c r="K1100" s="612"/>
      <c r="L1100" s="609"/>
      <c r="M1100" s="592"/>
      <c r="N1100" s="593"/>
      <c r="O1100" s="594"/>
      <c r="P1100" s="595"/>
      <c r="Q1100" s="596"/>
      <c r="R1100" s="596"/>
      <c r="S1100" s="613"/>
      <c r="T1100" s="597"/>
      <c r="U1100" s="593"/>
      <c r="V1100" s="593"/>
      <c r="W1100" s="593"/>
      <c r="X1100" s="598"/>
      <c r="Y1100" s="599"/>
      <c r="Z1100" s="593"/>
      <c r="AA1100" s="600"/>
      <c r="AB1100" s="600"/>
      <c r="AC1100" s="601"/>
      <c r="AD1100" s="601"/>
      <c r="AE1100" s="600"/>
      <c r="AF1100" s="598"/>
      <c r="AG1100" s="602"/>
      <c r="AH1100" s="602"/>
      <c r="AI1100" s="602"/>
      <c r="AJ1100" s="603"/>
      <c r="AK1100" s="604"/>
      <c r="AL1100" s="604"/>
      <c r="AM1100" s="606"/>
      <c r="AN1100" s="606"/>
      <c r="AO1100" s="314" t="str">
        <f t="shared" si="2079"/>
        <v> </v>
      </c>
      <c r="AP1100" s="315">
        <f t="shared" si="2080"/>
        <v>0</v>
      </c>
      <c r="AQ1100" s="316" t="str">
        <f t="shared" si="2081"/>
        <v> </v>
      </c>
    </row>
    <row r="1101" ht="29.25" customHeight="1" outlineLevel="1" spans="1:43">
      <c r="A1101" s="607"/>
      <c r="B1101" s="608"/>
      <c r="C1101" s="293" t="str">
        <f t="shared" si="2073"/>
        <v> </v>
      </c>
      <c r="D1101" s="293" t="str">
        <f t="shared" si="2074"/>
        <v> </v>
      </c>
      <c r="E1101" s="293" t="str">
        <f t="shared" si="2075"/>
        <v> </v>
      </c>
      <c r="F1101" s="293" t="str">
        <f t="shared" si="2076"/>
        <v> </v>
      </c>
      <c r="G1101" s="293" t="str">
        <f t="shared" si="2077"/>
        <v> </v>
      </c>
      <c r="H1101" s="293" t="str">
        <f t="shared" ref="H1101:I1101" si="2190">TEXT(IF($B1101=0," ",$B1101+H$6),"hh:mm am/pm")</f>
        <v> </v>
      </c>
      <c r="I1101" s="293" t="str">
        <f t="shared" si="2190"/>
        <v> </v>
      </c>
      <c r="J1101" s="609"/>
      <c r="K1101" s="612"/>
      <c r="L1101" s="609"/>
      <c r="M1101" s="592"/>
      <c r="N1101" s="593"/>
      <c r="O1101" s="594"/>
      <c r="P1101" s="595"/>
      <c r="Q1101" s="596"/>
      <c r="R1101" s="596"/>
      <c r="S1101" s="613"/>
      <c r="T1101" s="597"/>
      <c r="U1101" s="593"/>
      <c r="V1101" s="593"/>
      <c r="W1101" s="593"/>
      <c r="X1101" s="598"/>
      <c r="Y1101" s="599"/>
      <c r="Z1101" s="593"/>
      <c r="AA1101" s="600"/>
      <c r="AB1101" s="600"/>
      <c r="AC1101" s="601"/>
      <c r="AD1101" s="601"/>
      <c r="AE1101" s="600"/>
      <c r="AF1101" s="598"/>
      <c r="AG1101" s="602"/>
      <c r="AH1101" s="602"/>
      <c r="AI1101" s="602"/>
      <c r="AJ1101" s="603"/>
      <c r="AK1101" s="604"/>
      <c r="AL1101" s="604"/>
      <c r="AM1101" s="606"/>
      <c r="AN1101" s="606"/>
      <c r="AO1101" s="314" t="str">
        <f t="shared" si="2079"/>
        <v> </v>
      </c>
      <c r="AP1101" s="315">
        <f t="shared" si="2080"/>
        <v>0</v>
      </c>
      <c r="AQ1101" s="316" t="str">
        <f t="shared" si="2081"/>
        <v> </v>
      </c>
    </row>
    <row r="1102" ht="29.25" customHeight="1" outlineLevel="1" spans="1:43">
      <c r="A1102" s="607"/>
      <c r="B1102" s="608"/>
      <c r="C1102" s="293" t="str">
        <f t="shared" si="2073"/>
        <v> </v>
      </c>
      <c r="D1102" s="293" t="str">
        <f t="shared" si="2074"/>
        <v> </v>
      </c>
      <c r="E1102" s="293" t="str">
        <f t="shared" si="2075"/>
        <v> </v>
      </c>
      <c r="F1102" s="293" t="str">
        <f t="shared" si="2076"/>
        <v> </v>
      </c>
      <c r="G1102" s="293" t="str">
        <f t="shared" si="2077"/>
        <v> </v>
      </c>
      <c r="H1102" s="293" t="str">
        <f t="shared" ref="H1102:I1102" si="2191">TEXT(IF($B1102=0," ",$B1102+H$6),"hh:mm am/pm")</f>
        <v> </v>
      </c>
      <c r="I1102" s="293" t="str">
        <f t="shared" si="2191"/>
        <v> </v>
      </c>
      <c r="J1102" s="609"/>
      <c r="K1102" s="612"/>
      <c r="L1102" s="609"/>
      <c r="M1102" s="592"/>
      <c r="N1102" s="593"/>
      <c r="O1102" s="594"/>
      <c r="P1102" s="595"/>
      <c r="Q1102" s="596"/>
      <c r="R1102" s="596"/>
      <c r="S1102" s="613"/>
      <c r="T1102" s="597"/>
      <c r="U1102" s="593"/>
      <c r="V1102" s="593"/>
      <c r="W1102" s="593"/>
      <c r="X1102" s="598"/>
      <c r="Y1102" s="599"/>
      <c r="Z1102" s="593"/>
      <c r="AA1102" s="600"/>
      <c r="AB1102" s="600"/>
      <c r="AC1102" s="601"/>
      <c r="AD1102" s="601"/>
      <c r="AE1102" s="600"/>
      <c r="AF1102" s="598"/>
      <c r="AG1102" s="602"/>
      <c r="AH1102" s="602"/>
      <c r="AI1102" s="602"/>
      <c r="AJ1102" s="603"/>
      <c r="AK1102" s="604"/>
      <c r="AL1102" s="604"/>
      <c r="AM1102" s="606"/>
      <c r="AN1102" s="606"/>
      <c r="AO1102" s="314" t="str">
        <f t="shared" si="2079"/>
        <v> </v>
      </c>
      <c r="AP1102" s="315">
        <f t="shared" si="2080"/>
        <v>0</v>
      </c>
      <c r="AQ1102" s="316" t="str">
        <f t="shared" si="2081"/>
        <v> </v>
      </c>
    </row>
    <row r="1103" ht="29.25" customHeight="1" outlineLevel="1" spans="1:43">
      <c r="A1103" s="607"/>
      <c r="B1103" s="590"/>
      <c r="C1103" s="293" t="str">
        <f t="shared" si="2073"/>
        <v> </v>
      </c>
      <c r="D1103" s="293" t="str">
        <f t="shared" si="2074"/>
        <v> </v>
      </c>
      <c r="E1103" s="293" t="str">
        <f t="shared" si="2075"/>
        <v> </v>
      </c>
      <c r="F1103" s="293" t="str">
        <f t="shared" si="2076"/>
        <v> </v>
      </c>
      <c r="G1103" s="293" t="str">
        <f t="shared" si="2077"/>
        <v> </v>
      </c>
      <c r="H1103" s="293" t="str">
        <f t="shared" ref="H1103:I1103" si="2192">TEXT(IF($B1103=0," ",$B1103+H$6),"hh:mm am/pm")</f>
        <v> </v>
      </c>
      <c r="I1103" s="293" t="str">
        <f t="shared" si="2192"/>
        <v> </v>
      </c>
      <c r="J1103" s="609"/>
      <c r="K1103" s="612"/>
      <c r="L1103" s="609"/>
      <c r="M1103" s="592"/>
      <c r="N1103" s="593"/>
      <c r="O1103" s="594"/>
      <c r="P1103" s="595"/>
      <c r="Q1103" s="596"/>
      <c r="R1103" s="596"/>
      <c r="S1103" s="613"/>
      <c r="T1103" s="597"/>
      <c r="U1103" s="593"/>
      <c r="V1103" s="593"/>
      <c r="W1103" s="593"/>
      <c r="X1103" s="598"/>
      <c r="Y1103" s="599"/>
      <c r="Z1103" s="593"/>
      <c r="AA1103" s="600"/>
      <c r="AB1103" s="600"/>
      <c r="AC1103" s="601"/>
      <c r="AD1103" s="601"/>
      <c r="AE1103" s="600"/>
      <c r="AF1103" s="598"/>
      <c r="AG1103" s="602"/>
      <c r="AH1103" s="602"/>
      <c r="AI1103" s="602"/>
      <c r="AJ1103" s="603"/>
      <c r="AK1103" s="604"/>
      <c r="AL1103" s="604"/>
      <c r="AM1103" s="606"/>
      <c r="AN1103" s="606"/>
      <c r="AO1103" s="314" t="str">
        <f t="shared" si="2079"/>
        <v> </v>
      </c>
      <c r="AP1103" s="315">
        <f t="shared" si="2080"/>
        <v>0</v>
      </c>
      <c r="AQ1103" s="316" t="str">
        <f t="shared" si="2081"/>
        <v> </v>
      </c>
    </row>
    <row r="1104" ht="29.25" customHeight="1" outlineLevel="1" spans="1:43">
      <c r="A1104" s="607"/>
      <c r="B1104" s="608"/>
      <c r="C1104" s="293" t="str">
        <f t="shared" si="2073"/>
        <v> </v>
      </c>
      <c r="D1104" s="293" t="str">
        <f t="shared" si="2074"/>
        <v> </v>
      </c>
      <c r="E1104" s="293" t="str">
        <f t="shared" si="2075"/>
        <v> </v>
      </c>
      <c r="F1104" s="293" t="str">
        <f t="shared" si="2076"/>
        <v> </v>
      </c>
      <c r="G1104" s="293" t="str">
        <f t="shared" si="2077"/>
        <v> </v>
      </c>
      <c r="H1104" s="293" t="str">
        <f t="shared" ref="H1104:I1104" si="2193">TEXT(IF($B1104=0," ",$B1104+H$6),"hh:mm am/pm")</f>
        <v> </v>
      </c>
      <c r="I1104" s="293" t="str">
        <f t="shared" si="2193"/>
        <v> </v>
      </c>
      <c r="J1104" s="609"/>
      <c r="K1104" s="612"/>
      <c r="L1104" s="609"/>
      <c r="M1104" s="592"/>
      <c r="N1104" s="593"/>
      <c r="O1104" s="594"/>
      <c r="P1104" s="595"/>
      <c r="Q1104" s="596"/>
      <c r="R1104" s="596"/>
      <c r="S1104" s="613"/>
      <c r="T1104" s="597"/>
      <c r="U1104" s="593"/>
      <c r="V1104" s="593"/>
      <c r="W1104" s="593"/>
      <c r="X1104" s="598"/>
      <c r="Y1104" s="599"/>
      <c r="Z1104" s="593"/>
      <c r="AA1104" s="600"/>
      <c r="AB1104" s="600"/>
      <c r="AC1104" s="601"/>
      <c r="AD1104" s="601"/>
      <c r="AE1104" s="600"/>
      <c r="AF1104" s="598"/>
      <c r="AG1104" s="602"/>
      <c r="AH1104" s="602"/>
      <c r="AI1104" s="602"/>
      <c r="AJ1104" s="603"/>
      <c r="AK1104" s="604"/>
      <c r="AL1104" s="604"/>
      <c r="AM1104" s="606"/>
      <c r="AN1104" s="606"/>
      <c r="AO1104" s="314" t="str">
        <f t="shared" si="2079"/>
        <v> </v>
      </c>
      <c r="AP1104" s="315">
        <f t="shared" si="2080"/>
        <v>0</v>
      </c>
      <c r="AQ1104" s="316" t="str">
        <f t="shared" si="2081"/>
        <v> </v>
      </c>
    </row>
    <row r="1105" ht="29.25" customHeight="1" outlineLevel="1" spans="1:43">
      <c r="A1105" s="607"/>
      <c r="B1105" s="608"/>
      <c r="C1105" s="293" t="str">
        <f t="shared" si="2073"/>
        <v> </v>
      </c>
      <c r="D1105" s="293" t="str">
        <f t="shared" si="2074"/>
        <v> </v>
      </c>
      <c r="E1105" s="293" t="str">
        <f t="shared" si="2075"/>
        <v> </v>
      </c>
      <c r="F1105" s="293" t="str">
        <f t="shared" si="2076"/>
        <v> </v>
      </c>
      <c r="G1105" s="293" t="str">
        <f t="shared" si="2077"/>
        <v> </v>
      </c>
      <c r="H1105" s="293" t="str">
        <f t="shared" ref="H1105:I1105" si="2194">TEXT(IF($B1105=0," ",$B1105+H$6),"hh:mm am/pm")</f>
        <v> </v>
      </c>
      <c r="I1105" s="293" t="str">
        <f t="shared" si="2194"/>
        <v> </v>
      </c>
      <c r="J1105" s="609"/>
      <c r="K1105" s="612"/>
      <c r="L1105" s="609"/>
      <c r="M1105" s="592"/>
      <c r="N1105" s="593"/>
      <c r="O1105" s="594"/>
      <c r="P1105" s="595"/>
      <c r="Q1105" s="596"/>
      <c r="R1105" s="596"/>
      <c r="S1105" s="613"/>
      <c r="T1105" s="597"/>
      <c r="U1105" s="593"/>
      <c r="V1105" s="593"/>
      <c r="W1105" s="593"/>
      <c r="X1105" s="598"/>
      <c r="Y1105" s="599"/>
      <c r="Z1105" s="593"/>
      <c r="AA1105" s="600"/>
      <c r="AB1105" s="600"/>
      <c r="AC1105" s="601"/>
      <c r="AD1105" s="601"/>
      <c r="AE1105" s="600"/>
      <c r="AF1105" s="598"/>
      <c r="AG1105" s="602"/>
      <c r="AH1105" s="602"/>
      <c r="AI1105" s="602"/>
      <c r="AJ1105" s="603"/>
      <c r="AK1105" s="604"/>
      <c r="AL1105" s="604"/>
      <c r="AM1105" s="606"/>
      <c r="AN1105" s="606"/>
      <c r="AO1105" s="314" t="str">
        <f t="shared" si="2079"/>
        <v> </v>
      </c>
      <c r="AP1105" s="315">
        <f t="shared" si="2080"/>
        <v>0</v>
      </c>
      <c r="AQ1105" s="316" t="str">
        <f t="shared" si="2081"/>
        <v> </v>
      </c>
    </row>
    <row r="1106" ht="29.25" customHeight="1" outlineLevel="1" spans="1:43">
      <c r="A1106" s="607"/>
      <c r="B1106" s="608"/>
      <c r="C1106" s="293" t="str">
        <f t="shared" si="2073"/>
        <v> </v>
      </c>
      <c r="D1106" s="293" t="str">
        <f t="shared" si="2074"/>
        <v> </v>
      </c>
      <c r="E1106" s="293" t="str">
        <f t="shared" si="2075"/>
        <v> </v>
      </c>
      <c r="F1106" s="293" t="str">
        <f t="shared" si="2076"/>
        <v> </v>
      </c>
      <c r="G1106" s="293" t="str">
        <f t="shared" si="2077"/>
        <v> </v>
      </c>
      <c r="H1106" s="293" t="str">
        <f t="shared" ref="H1106:I1106" si="2195">TEXT(IF($B1106=0," ",$B1106+H$6),"hh:mm am/pm")</f>
        <v> </v>
      </c>
      <c r="I1106" s="293" t="str">
        <f t="shared" si="2195"/>
        <v> </v>
      </c>
      <c r="J1106" s="609"/>
      <c r="K1106" s="612"/>
      <c r="L1106" s="609"/>
      <c r="M1106" s="592"/>
      <c r="N1106" s="593"/>
      <c r="O1106" s="594"/>
      <c r="P1106" s="595"/>
      <c r="Q1106" s="596"/>
      <c r="R1106" s="596"/>
      <c r="S1106" s="613"/>
      <c r="T1106" s="597"/>
      <c r="U1106" s="593"/>
      <c r="V1106" s="593"/>
      <c r="W1106" s="593"/>
      <c r="X1106" s="598"/>
      <c r="Y1106" s="599"/>
      <c r="Z1106" s="593"/>
      <c r="AA1106" s="600"/>
      <c r="AB1106" s="600"/>
      <c r="AC1106" s="601"/>
      <c r="AD1106" s="601"/>
      <c r="AE1106" s="597"/>
      <c r="AF1106" s="598"/>
      <c r="AG1106" s="602"/>
      <c r="AH1106" s="602"/>
      <c r="AI1106" s="602"/>
      <c r="AJ1106" s="603"/>
      <c r="AK1106" s="605"/>
      <c r="AL1106" s="605"/>
      <c r="AM1106" s="611"/>
      <c r="AN1106" s="606"/>
      <c r="AO1106" s="314" t="str">
        <f t="shared" si="2079"/>
        <v> </v>
      </c>
      <c r="AP1106" s="315">
        <f t="shared" si="2080"/>
        <v>0</v>
      </c>
      <c r="AQ1106" s="316" t="str">
        <f t="shared" si="2081"/>
        <v> </v>
      </c>
    </row>
    <row r="1107" ht="29.25" customHeight="1" outlineLevel="1" spans="1:43">
      <c r="A1107" s="607"/>
      <c r="B1107" s="590"/>
      <c r="C1107" s="293" t="str">
        <f t="shared" si="2073"/>
        <v> </v>
      </c>
      <c r="D1107" s="293" t="str">
        <f t="shared" si="2074"/>
        <v> </v>
      </c>
      <c r="E1107" s="293" t="str">
        <f t="shared" si="2075"/>
        <v> </v>
      </c>
      <c r="F1107" s="293" t="str">
        <f t="shared" si="2076"/>
        <v> </v>
      </c>
      <c r="G1107" s="293" t="str">
        <f t="shared" si="2077"/>
        <v> </v>
      </c>
      <c r="H1107" s="293" t="str">
        <f t="shared" ref="H1107:I1107" si="2196">TEXT(IF($B1107=0," ",$B1107+H$6),"hh:mm am/pm")</f>
        <v> </v>
      </c>
      <c r="I1107" s="293" t="str">
        <f t="shared" si="2196"/>
        <v> </v>
      </c>
      <c r="J1107" s="609"/>
      <c r="K1107" s="612"/>
      <c r="L1107" s="609"/>
      <c r="M1107" s="592"/>
      <c r="N1107" s="593"/>
      <c r="O1107" s="594"/>
      <c r="P1107" s="595"/>
      <c r="Q1107" s="596"/>
      <c r="R1107" s="596"/>
      <c r="S1107" s="613"/>
      <c r="T1107" s="597"/>
      <c r="U1107" s="593"/>
      <c r="V1107" s="593"/>
      <c r="W1107" s="593"/>
      <c r="X1107" s="598"/>
      <c r="Y1107" s="599"/>
      <c r="Z1107" s="593"/>
      <c r="AA1107" s="600"/>
      <c r="AB1107" s="600"/>
      <c r="AC1107" s="601"/>
      <c r="AD1107" s="601"/>
      <c r="AE1107" s="600"/>
      <c r="AF1107" s="598"/>
      <c r="AG1107" s="602"/>
      <c r="AH1107" s="602"/>
      <c r="AI1107" s="602"/>
      <c r="AJ1107" s="603"/>
      <c r="AK1107" s="604"/>
      <c r="AL1107" s="604"/>
      <c r="AM1107" s="606"/>
      <c r="AN1107" s="606"/>
      <c r="AO1107" s="314" t="str">
        <f t="shared" si="2079"/>
        <v> </v>
      </c>
      <c r="AP1107" s="315">
        <f t="shared" si="2080"/>
        <v>0</v>
      </c>
      <c r="AQ1107" s="316" t="str">
        <f t="shared" si="2081"/>
        <v> </v>
      </c>
    </row>
    <row r="1108" ht="29.25" customHeight="1" outlineLevel="1" spans="1:43">
      <c r="A1108" s="607"/>
      <c r="B1108" s="608"/>
      <c r="C1108" s="293" t="str">
        <f t="shared" si="2073"/>
        <v> </v>
      </c>
      <c r="D1108" s="293" t="str">
        <f t="shared" si="2074"/>
        <v> </v>
      </c>
      <c r="E1108" s="293" t="str">
        <f t="shared" si="2075"/>
        <v> </v>
      </c>
      <c r="F1108" s="293" t="str">
        <f t="shared" si="2076"/>
        <v> </v>
      </c>
      <c r="G1108" s="293" t="str">
        <f t="shared" si="2077"/>
        <v> </v>
      </c>
      <c r="H1108" s="293" t="str">
        <f t="shared" ref="H1108:I1108" si="2197">TEXT(IF($B1108=0," ",$B1108+H$6),"hh:mm am/pm")</f>
        <v> </v>
      </c>
      <c r="I1108" s="293" t="str">
        <f t="shared" si="2197"/>
        <v> </v>
      </c>
      <c r="J1108" s="609"/>
      <c r="K1108" s="612"/>
      <c r="L1108" s="609"/>
      <c r="M1108" s="592"/>
      <c r="N1108" s="593"/>
      <c r="O1108" s="594"/>
      <c r="P1108" s="595"/>
      <c r="Q1108" s="596"/>
      <c r="R1108" s="596"/>
      <c r="S1108" s="613"/>
      <c r="T1108" s="597"/>
      <c r="U1108" s="593"/>
      <c r="V1108" s="593"/>
      <c r="W1108" s="593"/>
      <c r="X1108" s="598"/>
      <c r="Y1108" s="599"/>
      <c r="Z1108" s="593"/>
      <c r="AA1108" s="600"/>
      <c r="AB1108" s="600"/>
      <c r="AC1108" s="601"/>
      <c r="AD1108" s="601"/>
      <c r="AE1108" s="600"/>
      <c r="AF1108" s="598"/>
      <c r="AG1108" s="602"/>
      <c r="AH1108" s="602"/>
      <c r="AI1108" s="602"/>
      <c r="AJ1108" s="603"/>
      <c r="AK1108" s="604"/>
      <c r="AL1108" s="604"/>
      <c r="AM1108" s="606"/>
      <c r="AN1108" s="606"/>
      <c r="AO1108" s="314" t="str">
        <f t="shared" si="2079"/>
        <v> </v>
      </c>
      <c r="AP1108" s="315">
        <f t="shared" si="2080"/>
        <v>0</v>
      </c>
      <c r="AQ1108" s="316" t="str">
        <f t="shared" si="2081"/>
        <v> </v>
      </c>
    </row>
    <row r="1109" ht="29.25" customHeight="1" outlineLevel="1" spans="1:43">
      <c r="A1109" s="607"/>
      <c r="B1109" s="608"/>
      <c r="C1109" s="293" t="str">
        <f t="shared" si="2073"/>
        <v> </v>
      </c>
      <c r="D1109" s="293" t="str">
        <f t="shared" si="2074"/>
        <v> </v>
      </c>
      <c r="E1109" s="293" t="str">
        <f t="shared" si="2075"/>
        <v> </v>
      </c>
      <c r="F1109" s="293" t="str">
        <f t="shared" si="2076"/>
        <v> </v>
      </c>
      <c r="G1109" s="293" t="str">
        <f t="shared" si="2077"/>
        <v> </v>
      </c>
      <c r="H1109" s="293" t="str">
        <f t="shared" ref="H1109:I1109" si="2198">TEXT(IF($B1109=0," ",$B1109+H$6),"hh:mm am/pm")</f>
        <v> </v>
      </c>
      <c r="I1109" s="293" t="str">
        <f t="shared" si="2198"/>
        <v> </v>
      </c>
      <c r="J1109" s="609"/>
      <c r="K1109" s="612"/>
      <c r="L1109" s="609"/>
      <c r="M1109" s="592"/>
      <c r="N1109" s="593"/>
      <c r="O1109" s="594"/>
      <c r="P1109" s="595"/>
      <c r="Q1109" s="596"/>
      <c r="R1109" s="596"/>
      <c r="S1109" s="613"/>
      <c r="T1109" s="597"/>
      <c r="U1109" s="593"/>
      <c r="V1109" s="593"/>
      <c r="W1109" s="593"/>
      <c r="X1109" s="598"/>
      <c r="Y1109" s="599"/>
      <c r="Z1109" s="593"/>
      <c r="AA1109" s="600"/>
      <c r="AB1109" s="600"/>
      <c r="AC1109" s="601"/>
      <c r="AD1109" s="601"/>
      <c r="AE1109" s="600"/>
      <c r="AF1109" s="598"/>
      <c r="AG1109" s="602"/>
      <c r="AH1109" s="602"/>
      <c r="AI1109" s="602"/>
      <c r="AJ1109" s="603"/>
      <c r="AK1109" s="604"/>
      <c r="AL1109" s="604"/>
      <c r="AM1109" s="606"/>
      <c r="AN1109" s="606"/>
      <c r="AO1109" s="314" t="str">
        <f t="shared" si="2079"/>
        <v> </v>
      </c>
      <c r="AP1109" s="315">
        <f t="shared" si="2080"/>
        <v>0</v>
      </c>
      <c r="AQ1109" s="316" t="str">
        <f t="shared" si="2081"/>
        <v> </v>
      </c>
    </row>
    <row r="1110" ht="29.25" customHeight="1" outlineLevel="1" spans="1:43">
      <c r="A1110" s="607"/>
      <c r="B1110" s="608"/>
      <c r="C1110" s="293" t="str">
        <f t="shared" si="2073"/>
        <v> </v>
      </c>
      <c r="D1110" s="293" t="str">
        <f t="shared" si="2074"/>
        <v> </v>
      </c>
      <c r="E1110" s="293" t="str">
        <f t="shared" si="2075"/>
        <v> </v>
      </c>
      <c r="F1110" s="293" t="str">
        <f t="shared" si="2076"/>
        <v> </v>
      </c>
      <c r="G1110" s="293" t="str">
        <f t="shared" si="2077"/>
        <v> </v>
      </c>
      <c r="H1110" s="293" t="str">
        <f t="shared" ref="H1110:I1110" si="2199">TEXT(IF($B1110=0," ",$B1110+H$6),"hh:mm am/pm")</f>
        <v> </v>
      </c>
      <c r="I1110" s="293" t="str">
        <f t="shared" si="2199"/>
        <v> </v>
      </c>
      <c r="J1110" s="609"/>
      <c r="K1110" s="612"/>
      <c r="L1110" s="609"/>
      <c r="M1110" s="592"/>
      <c r="N1110" s="593"/>
      <c r="O1110" s="594"/>
      <c r="P1110" s="595"/>
      <c r="Q1110" s="596"/>
      <c r="R1110" s="596"/>
      <c r="S1110" s="613"/>
      <c r="T1110" s="597"/>
      <c r="U1110" s="593"/>
      <c r="V1110" s="593"/>
      <c r="W1110" s="593"/>
      <c r="X1110" s="598"/>
      <c r="Y1110" s="599"/>
      <c r="Z1110" s="593"/>
      <c r="AA1110" s="600"/>
      <c r="AB1110" s="600"/>
      <c r="AC1110" s="601"/>
      <c r="AD1110" s="601"/>
      <c r="AE1110" s="597"/>
      <c r="AF1110" s="598"/>
      <c r="AG1110" s="602"/>
      <c r="AH1110" s="602"/>
      <c r="AI1110" s="602"/>
      <c r="AJ1110" s="603"/>
      <c r="AK1110" s="605"/>
      <c r="AL1110" s="605"/>
      <c r="AM1110" s="611"/>
      <c r="AN1110" s="606"/>
      <c r="AO1110" s="314" t="str">
        <f t="shared" si="2079"/>
        <v> </v>
      </c>
      <c r="AP1110" s="315">
        <f t="shared" si="2080"/>
        <v>0</v>
      </c>
      <c r="AQ1110" s="316" t="str">
        <f t="shared" si="2081"/>
        <v> </v>
      </c>
    </row>
    <row r="1111" ht="29.25" customHeight="1" outlineLevel="1" spans="1:43">
      <c r="A1111" s="607"/>
      <c r="B1111" s="590"/>
      <c r="C1111" s="293" t="str">
        <f t="shared" si="2073"/>
        <v> </v>
      </c>
      <c r="D1111" s="293" t="str">
        <f t="shared" si="2074"/>
        <v> </v>
      </c>
      <c r="E1111" s="293" t="str">
        <f t="shared" si="2075"/>
        <v> </v>
      </c>
      <c r="F1111" s="293" t="str">
        <f t="shared" si="2076"/>
        <v> </v>
      </c>
      <c r="G1111" s="293" t="str">
        <f t="shared" si="2077"/>
        <v> </v>
      </c>
      <c r="H1111" s="293" t="str">
        <f t="shared" ref="H1111:I1111" si="2200">TEXT(IF($B1111=0," ",$B1111+H$6),"hh:mm am/pm")</f>
        <v> </v>
      </c>
      <c r="I1111" s="293" t="str">
        <f t="shared" si="2200"/>
        <v> </v>
      </c>
      <c r="J1111" s="609"/>
      <c r="K1111" s="612"/>
      <c r="L1111" s="609"/>
      <c r="M1111" s="592"/>
      <c r="N1111" s="593"/>
      <c r="O1111" s="594"/>
      <c r="P1111" s="595"/>
      <c r="Q1111" s="596"/>
      <c r="R1111" s="596"/>
      <c r="S1111" s="613"/>
      <c r="T1111" s="597"/>
      <c r="U1111" s="593"/>
      <c r="V1111" s="593"/>
      <c r="W1111" s="593"/>
      <c r="X1111" s="598"/>
      <c r="Y1111" s="599"/>
      <c r="Z1111" s="593"/>
      <c r="AA1111" s="600"/>
      <c r="AB1111" s="600"/>
      <c r="AC1111" s="601"/>
      <c r="AD1111" s="601"/>
      <c r="AE1111" s="600"/>
      <c r="AF1111" s="598"/>
      <c r="AG1111" s="602"/>
      <c r="AH1111" s="602"/>
      <c r="AI1111" s="602"/>
      <c r="AJ1111" s="603"/>
      <c r="AK1111" s="604"/>
      <c r="AL1111" s="604"/>
      <c r="AM1111" s="606"/>
      <c r="AN1111" s="606"/>
      <c r="AO1111" s="314" t="str">
        <f t="shared" si="2079"/>
        <v> </v>
      </c>
      <c r="AP1111" s="315">
        <f t="shared" si="2080"/>
        <v>0</v>
      </c>
      <c r="AQ1111" s="316" t="str">
        <f t="shared" si="2081"/>
        <v> </v>
      </c>
    </row>
    <row r="1112" ht="29.25" customHeight="1" outlineLevel="1" spans="1:43">
      <c r="A1112" s="607"/>
      <c r="B1112" s="608"/>
      <c r="C1112" s="293" t="str">
        <f t="shared" si="2073"/>
        <v> </v>
      </c>
      <c r="D1112" s="293" t="str">
        <f t="shared" si="2074"/>
        <v> </v>
      </c>
      <c r="E1112" s="293" t="str">
        <f t="shared" si="2075"/>
        <v> </v>
      </c>
      <c r="F1112" s="293" t="str">
        <f t="shared" si="2076"/>
        <v> </v>
      </c>
      <c r="G1112" s="293" t="str">
        <f t="shared" si="2077"/>
        <v> </v>
      </c>
      <c r="H1112" s="293" t="str">
        <f t="shared" ref="H1112:I1112" si="2201">TEXT(IF($B1112=0," ",$B1112+H$6),"hh:mm am/pm")</f>
        <v> </v>
      </c>
      <c r="I1112" s="293" t="str">
        <f t="shared" si="2201"/>
        <v> </v>
      </c>
      <c r="J1112" s="609"/>
      <c r="K1112" s="612"/>
      <c r="L1112" s="609"/>
      <c r="M1112" s="592"/>
      <c r="N1112" s="593"/>
      <c r="O1112" s="594"/>
      <c r="P1112" s="595"/>
      <c r="Q1112" s="596"/>
      <c r="R1112" s="596"/>
      <c r="S1112" s="613"/>
      <c r="T1112" s="597"/>
      <c r="U1112" s="593"/>
      <c r="V1112" s="593"/>
      <c r="W1112" s="593"/>
      <c r="X1112" s="598"/>
      <c r="Y1112" s="599"/>
      <c r="Z1112" s="593"/>
      <c r="AA1112" s="600"/>
      <c r="AB1112" s="600"/>
      <c r="AC1112" s="601"/>
      <c r="AD1112" s="601"/>
      <c r="AE1112" s="600"/>
      <c r="AF1112" s="598"/>
      <c r="AG1112" s="602"/>
      <c r="AH1112" s="602"/>
      <c r="AI1112" s="602"/>
      <c r="AJ1112" s="603"/>
      <c r="AK1112" s="604"/>
      <c r="AL1112" s="604"/>
      <c r="AM1112" s="606"/>
      <c r="AN1112" s="606"/>
      <c r="AO1112" s="314" t="str">
        <f t="shared" si="2079"/>
        <v> </v>
      </c>
      <c r="AP1112" s="315">
        <f t="shared" si="2080"/>
        <v>0</v>
      </c>
      <c r="AQ1112" s="316" t="str">
        <f t="shared" si="2081"/>
        <v> </v>
      </c>
    </row>
    <row r="1113" ht="29.25" customHeight="1" outlineLevel="1" spans="1:43">
      <c r="A1113" s="607"/>
      <c r="B1113" s="608"/>
      <c r="C1113" s="293" t="str">
        <f t="shared" si="2073"/>
        <v> </v>
      </c>
      <c r="D1113" s="293" t="str">
        <f t="shared" si="2074"/>
        <v> </v>
      </c>
      <c r="E1113" s="293" t="str">
        <f t="shared" si="2075"/>
        <v> </v>
      </c>
      <c r="F1113" s="293" t="str">
        <f t="shared" si="2076"/>
        <v> </v>
      </c>
      <c r="G1113" s="293" t="str">
        <f t="shared" si="2077"/>
        <v> </v>
      </c>
      <c r="H1113" s="293" t="str">
        <f t="shared" ref="H1113:I1113" si="2202">TEXT(IF($B1113=0," ",$B1113+H$6),"hh:mm am/pm")</f>
        <v> </v>
      </c>
      <c r="I1113" s="293" t="str">
        <f t="shared" si="2202"/>
        <v> </v>
      </c>
      <c r="J1113" s="609"/>
      <c r="K1113" s="612"/>
      <c r="L1113" s="609"/>
      <c r="M1113" s="592"/>
      <c r="N1113" s="593"/>
      <c r="O1113" s="594"/>
      <c r="P1113" s="595"/>
      <c r="Q1113" s="596"/>
      <c r="R1113" s="596"/>
      <c r="S1113" s="613"/>
      <c r="T1113" s="597"/>
      <c r="U1113" s="593"/>
      <c r="V1113" s="593"/>
      <c r="W1113" s="593"/>
      <c r="X1113" s="598"/>
      <c r="Y1113" s="599"/>
      <c r="Z1113" s="593"/>
      <c r="AA1113" s="600"/>
      <c r="AB1113" s="600"/>
      <c r="AC1113" s="601"/>
      <c r="AD1113" s="601"/>
      <c r="AE1113" s="600"/>
      <c r="AF1113" s="598"/>
      <c r="AG1113" s="602"/>
      <c r="AH1113" s="602"/>
      <c r="AI1113" s="602"/>
      <c r="AJ1113" s="603"/>
      <c r="AK1113" s="604"/>
      <c r="AL1113" s="604"/>
      <c r="AM1113" s="606"/>
      <c r="AN1113" s="606"/>
      <c r="AO1113" s="314" t="str">
        <f t="shared" si="2079"/>
        <v> </v>
      </c>
      <c r="AP1113" s="315">
        <f t="shared" si="2080"/>
        <v>0</v>
      </c>
      <c r="AQ1113" s="316" t="str">
        <f t="shared" si="2081"/>
        <v> </v>
      </c>
    </row>
    <row r="1114" ht="29.25" customHeight="1" outlineLevel="1" spans="1:43">
      <c r="A1114" s="607"/>
      <c r="B1114" s="608"/>
      <c r="C1114" s="293" t="str">
        <f t="shared" si="2073"/>
        <v> </v>
      </c>
      <c r="D1114" s="293" t="str">
        <f t="shared" si="2074"/>
        <v> </v>
      </c>
      <c r="E1114" s="293" t="str">
        <f t="shared" si="2075"/>
        <v> </v>
      </c>
      <c r="F1114" s="293" t="str">
        <f t="shared" si="2076"/>
        <v> </v>
      </c>
      <c r="G1114" s="293" t="str">
        <f t="shared" si="2077"/>
        <v> </v>
      </c>
      <c r="H1114" s="293" t="str">
        <f t="shared" ref="H1114:I1114" si="2203">TEXT(IF($B1114=0," ",$B1114+H$6),"hh:mm am/pm")</f>
        <v> </v>
      </c>
      <c r="I1114" s="293" t="str">
        <f t="shared" si="2203"/>
        <v> </v>
      </c>
      <c r="J1114" s="609"/>
      <c r="K1114" s="612"/>
      <c r="L1114" s="609"/>
      <c r="M1114" s="592"/>
      <c r="N1114" s="593"/>
      <c r="O1114" s="594"/>
      <c r="P1114" s="595"/>
      <c r="Q1114" s="596"/>
      <c r="R1114" s="596"/>
      <c r="S1114" s="613"/>
      <c r="T1114" s="597"/>
      <c r="U1114" s="593"/>
      <c r="V1114" s="593"/>
      <c r="W1114" s="593"/>
      <c r="X1114" s="598"/>
      <c r="Y1114" s="599"/>
      <c r="Z1114" s="593"/>
      <c r="AA1114" s="600"/>
      <c r="AB1114" s="600"/>
      <c r="AC1114" s="601"/>
      <c r="AD1114" s="601"/>
      <c r="AE1114" s="597"/>
      <c r="AF1114" s="598"/>
      <c r="AG1114" s="602"/>
      <c r="AH1114" s="602"/>
      <c r="AI1114" s="602"/>
      <c r="AJ1114" s="603"/>
      <c r="AK1114" s="605"/>
      <c r="AL1114" s="605"/>
      <c r="AM1114" s="611"/>
      <c r="AN1114" s="606"/>
      <c r="AO1114" s="314" t="str">
        <f t="shared" si="2079"/>
        <v> </v>
      </c>
      <c r="AP1114" s="315">
        <f t="shared" si="2080"/>
        <v>0</v>
      </c>
      <c r="AQ1114" s="316" t="str">
        <f t="shared" si="2081"/>
        <v> </v>
      </c>
    </row>
    <row r="1115" ht="29.25" customHeight="1" outlineLevel="1" spans="1:43">
      <c r="A1115" s="607"/>
      <c r="B1115" s="608"/>
      <c r="C1115" s="293" t="str">
        <f t="shared" si="2073"/>
        <v> </v>
      </c>
      <c r="D1115" s="293" t="str">
        <f t="shared" si="2074"/>
        <v> </v>
      </c>
      <c r="E1115" s="293" t="str">
        <f t="shared" si="2075"/>
        <v> </v>
      </c>
      <c r="F1115" s="293" t="str">
        <f t="shared" si="2076"/>
        <v> </v>
      </c>
      <c r="G1115" s="293" t="str">
        <f t="shared" si="2077"/>
        <v> </v>
      </c>
      <c r="H1115" s="293" t="str">
        <f t="shared" ref="H1115:I1115" si="2204">TEXT(IF($B1115=0," ",$B1115+H$6),"hh:mm am/pm")</f>
        <v> </v>
      </c>
      <c r="I1115" s="293" t="str">
        <f t="shared" si="2204"/>
        <v> </v>
      </c>
      <c r="J1115" s="609"/>
      <c r="K1115" s="612"/>
      <c r="L1115" s="609"/>
      <c r="M1115" s="592"/>
      <c r="N1115" s="593"/>
      <c r="O1115" s="594"/>
      <c r="P1115" s="595"/>
      <c r="Q1115" s="596"/>
      <c r="R1115" s="596"/>
      <c r="S1115" s="613"/>
      <c r="T1115" s="597"/>
      <c r="U1115" s="593"/>
      <c r="V1115" s="593"/>
      <c r="W1115" s="593"/>
      <c r="X1115" s="598"/>
      <c r="Y1115" s="599"/>
      <c r="Z1115" s="593"/>
      <c r="AA1115" s="600"/>
      <c r="AB1115" s="600"/>
      <c r="AC1115" s="601"/>
      <c r="AD1115" s="601"/>
      <c r="AE1115" s="597"/>
      <c r="AF1115" s="598"/>
      <c r="AG1115" s="602"/>
      <c r="AH1115" s="602"/>
      <c r="AI1115" s="602"/>
      <c r="AJ1115" s="603"/>
      <c r="AK1115" s="605"/>
      <c r="AL1115" s="605"/>
      <c r="AM1115" s="611"/>
      <c r="AN1115" s="606"/>
      <c r="AO1115" s="314" t="str">
        <f t="shared" si="2079"/>
        <v> </v>
      </c>
      <c r="AP1115" s="315">
        <f t="shared" si="2080"/>
        <v>0</v>
      </c>
      <c r="AQ1115" s="316" t="str">
        <f t="shared" si="2081"/>
        <v> </v>
      </c>
    </row>
    <row r="1116" ht="29.25" customHeight="1" outlineLevel="1" spans="1:43">
      <c r="A1116" s="607"/>
      <c r="B1116" s="608"/>
      <c r="C1116" s="293" t="str">
        <f t="shared" si="2073"/>
        <v> </v>
      </c>
      <c r="D1116" s="293" t="str">
        <f t="shared" si="2074"/>
        <v> </v>
      </c>
      <c r="E1116" s="293" t="str">
        <f t="shared" si="2075"/>
        <v> </v>
      </c>
      <c r="F1116" s="293" t="str">
        <f t="shared" si="2076"/>
        <v> </v>
      </c>
      <c r="G1116" s="293" t="str">
        <f t="shared" si="2077"/>
        <v> </v>
      </c>
      <c r="H1116" s="293" t="str">
        <f t="shared" ref="H1116:I1116" si="2205">TEXT(IF($B1116=0," ",$B1116+H$6),"hh:mm am/pm")</f>
        <v> </v>
      </c>
      <c r="I1116" s="293" t="str">
        <f t="shared" si="2205"/>
        <v> </v>
      </c>
      <c r="J1116" s="609"/>
      <c r="K1116" s="612"/>
      <c r="L1116" s="609"/>
      <c r="M1116" s="592"/>
      <c r="N1116" s="593"/>
      <c r="O1116" s="594"/>
      <c r="P1116" s="595"/>
      <c r="Q1116" s="596"/>
      <c r="R1116" s="596"/>
      <c r="S1116" s="613"/>
      <c r="T1116" s="597"/>
      <c r="U1116" s="593"/>
      <c r="V1116" s="593"/>
      <c r="W1116" s="593"/>
      <c r="X1116" s="598"/>
      <c r="Y1116" s="599"/>
      <c r="Z1116" s="593"/>
      <c r="AA1116" s="600"/>
      <c r="AB1116" s="600"/>
      <c r="AC1116" s="601"/>
      <c r="AD1116" s="601"/>
      <c r="AE1116" s="597"/>
      <c r="AF1116" s="598"/>
      <c r="AG1116" s="602"/>
      <c r="AH1116" s="602"/>
      <c r="AI1116" s="602"/>
      <c r="AJ1116" s="603"/>
      <c r="AK1116" s="605"/>
      <c r="AL1116" s="605"/>
      <c r="AM1116" s="611"/>
      <c r="AN1116" s="606"/>
      <c r="AO1116" s="314" t="str">
        <f t="shared" si="2079"/>
        <v> </v>
      </c>
      <c r="AP1116" s="315">
        <f t="shared" si="2080"/>
        <v>0</v>
      </c>
      <c r="AQ1116" s="316" t="str">
        <f t="shared" si="2081"/>
        <v> </v>
      </c>
    </row>
    <row r="1117" ht="29.25" customHeight="1" outlineLevel="1" spans="1:43">
      <c r="A1117" s="607"/>
      <c r="B1117" s="608"/>
      <c r="C1117" s="293" t="str">
        <f t="shared" si="2073"/>
        <v> </v>
      </c>
      <c r="D1117" s="293" t="str">
        <f t="shared" si="2074"/>
        <v> </v>
      </c>
      <c r="E1117" s="293" t="str">
        <f t="shared" si="2075"/>
        <v> </v>
      </c>
      <c r="F1117" s="293" t="str">
        <f t="shared" si="2076"/>
        <v> </v>
      </c>
      <c r="G1117" s="293" t="str">
        <f t="shared" si="2077"/>
        <v> </v>
      </c>
      <c r="H1117" s="293" t="str">
        <f t="shared" ref="H1117:I1117" si="2206">TEXT(IF($B1117=0," ",$B1117+H$6),"hh:mm am/pm")</f>
        <v> </v>
      </c>
      <c r="I1117" s="293" t="str">
        <f t="shared" si="2206"/>
        <v> </v>
      </c>
      <c r="J1117" s="609"/>
      <c r="K1117" s="612"/>
      <c r="L1117" s="609"/>
      <c r="M1117" s="592"/>
      <c r="N1117" s="593"/>
      <c r="O1117" s="594"/>
      <c r="P1117" s="595"/>
      <c r="Q1117" s="596"/>
      <c r="R1117" s="596"/>
      <c r="S1117" s="613"/>
      <c r="T1117" s="597"/>
      <c r="U1117" s="593"/>
      <c r="V1117" s="593"/>
      <c r="W1117" s="593"/>
      <c r="X1117" s="598"/>
      <c r="Y1117" s="599"/>
      <c r="Z1117" s="593"/>
      <c r="AA1117" s="600"/>
      <c r="AB1117" s="600"/>
      <c r="AC1117" s="601"/>
      <c r="AD1117" s="601"/>
      <c r="AE1117" s="597"/>
      <c r="AF1117" s="598"/>
      <c r="AG1117" s="602"/>
      <c r="AH1117" s="602"/>
      <c r="AI1117" s="602"/>
      <c r="AJ1117" s="603"/>
      <c r="AK1117" s="605"/>
      <c r="AL1117" s="605"/>
      <c r="AM1117" s="611"/>
      <c r="AN1117" s="606"/>
      <c r="AO1117" s="314" t="str">
        <f t="shared" si="2079"/>
        <v> </v>
      </c>
      <c r="AP1117" s="315">
        <f t="shared" si="2080"/>
        <v>0</v>
      </c>
      <c r="AQ1117" s="316" t="str">
        <f t="shared" si="2081"/>
        <v> </v>
      </c>
    </row>
    <row r="1118" ht="29.25" customHeight="1" outlineLevel="1" spans="1:43">
      <c r="A1118" s="607"/>
      <c r="B1118" s="608"/>
      <c r="C1118" s="293" t="str">
        <f t="shared" si="2073"/>
        <v> </v>
      </c>
      <c r="D1118" s="293" t="str">
        <f t="shared" si="2074"/>
        <v> </v>
      </c>
      <c r="E1118" s="293" t="str">
        <f t="shared" si="2075"/>
        <v> </v>
      </c>
      <c r="F1118" s="293" t="str">
        <f t="shared" si="2076"/>
        <v> </v>
      </c>
      <c r="G1118" s="293" t="str">
        <f t="shared" si="2077"/>
        <v> </v>
      </c>
      <c r="H1118" s="293" t="str">
        <f t="shared" ref="H1118:I1118" si="2207">TEXT(IF($B1118=0," ",$B1118+H$6),"hh:mm am/pm")</f>
        <v> </v>
      </c>
      <c r="I1118" s="293" t="str">
        <f t="shared" si="2207"/>
        <v> </v>
      </c>
      <c r="J1118" s="609"/>
      <c r="K1118" s="612"/>
      <c r="L1118" s="609"/>
      <c r="M1118" s="592"/>
      <c r="N1118" s="593"/>
      <c r="O1118" s="594"/>
      <c r="P1118" s="595"/>
      <c r="Q1118" s="596"/>
      <c r="R1118" s="596"/>
      <c r="S1118" s="613"/>
      <c r="T1118" s="597"/>
      <c r="U1118" s="593"/>
      <c r="V1118" s="593"/>
      <c r="W1118" s="593"/>
      <c r="X1118" s="598"/>
      <c r="Y1118" s="599"/>
      <c r="Z1118" s="593"/>
      <c r="AA1118" s="600"/>
      <c r="AB1118" s="600"/>
      <c r="AC1118" s="601"/>
      <c r="AD1118" s="601"/>
      <c r="AE1118" s="597"/>
      <c r="AF1118" s="598"/>
      <c r="AG1118" s="602"/>
      <c r="AH1118" s="602"/>
      <c r="AI1118" s="602"/>
      <c r="AJ1118" s="603"/>
      <c r="AK1118" s="605"/>
      <c r="AL1118" s="605"/>
      <c r="AM1118" s="611"/>
      <c r="AN1118" s="606"/>
      <c r="AO1118" s="314" t="str">
        <f t="shared" si="2079"/>
        <v> </v>
      </c>
      <c r="AP1118" s="315">
        <f t="shared" si="2080"/>
        <v>0</v>
      </c>
      <c r="AQ1118" s="316" t="str">
        <f t="shared" si="2081"/>
        <v> </v>
      </c>
    </row>
    <row r="1119" ht="29.25" customHeight="1" outlineLevel="1" spans="1:43">
      <c r="A1119" s="607"/>
      <c r="B1119" s="608"/>
      <c r="C1119" s="293" t="str">
        <f t="shared" si="2073"/>
        <v> </v>
      </c>
      <c r="D1119" s="293" t="str">
        <f t="shared" si="2074"/>
        <v> </v>
      </c>
      <c r="E1119" s="293" t="str">
        <f t="shared" si="2075"/>
        <v> </v>
      </c>
      <c r="F1119" s="293" t="str">
        <f t="shared" si="2076"/>
        <v> </v>
      </c>
      <c r="G1119" s="293" t="str">
        <f t="shared" si="2077"/>
        <v> </v>
      </c>
      <c r="H1119" s="293" t="str">
        <f t="shared" ref="H1119:I1119" si="2208">TEXT(IF($B1119=0," ",$B1119+H$6),"hh:mm am/pm")</f>
        <v> </v>
      </c>
      <c r="I1119" s="293" t="str">
        <f t="shared" si="2208"/>
        <v> </v>
      </c>
      <c r="J1119" s="609"/>
      <c r="K1119" s="612"/>
      <c r="L1119" s="609"/>
      <c r="M1119" s="592"/>
      <c r="N1119" s="593"/>
      <c r="O1119" s="594"/>
      <c r="P1119" s="595"/>
      <c r="Q1119" s="596"/>
      <c r="R1119" s="596"/>
      <c r="S1119" s="613"/>
      <c r="T1119" s="597"/>
      <c r="U1119" s="593"/>
      <c r="V1119" s="593"/>
      <c r="W1119" s="593"/>
      <c r="X1119" s="598"/>
      <c r="Y1119" s="599"/>
      <c r="Z1119" s="593"/>
      <c r="AA1119" s="600"/>
      <c r="AB1119" s="600"/>
      <c r="AC1119" s="601"/>
      <c r="AD1119" s="601"/>
      <c r="AE1119" s="597"/>
      <c r="AF1119" s="598"/>
      <c r="AG1119" s="602"/>
      <c r="AH1119" s="602"/>
      <c r="AI1119" s="602"/>
      <c r="AJ1119" s="603"/>
      <c r="AK1119" s="605"/>
      <c r="AL1119" s="605"/>
      <c r="AM1119" s="611"/>
      <c r="AN1119" s="606"/>
      <c r="AO1119" s="314" t="str">
        <f t="shared" si="2079"/>
        <v> </v>
      </c>
      <c r="AP1119" s="315">
        <f t="shared" si="2080"/>
        <v>0</v>
      </c>
      <c r="AQ1119" s="316" t="str">
        <f t="shared" si="2081"/>
        <v> </v>
      </c>
    </row>
    <row r="1120" ht="29.25" customHeight="1" outlineLevel="1" spans="1:43">
      <c r="A1120" s="607"/>
      <c r="B1120" s="608"/>
      <c r="C1120" s="293" t="str">
        <f t="shared" si="2073"/>
        <v> </v>
      </c>
      <c r="D1120" s="293" t="str">
        <f t="shared" si="2074"/>
        <v> </v>
      </c>
      <c r="E1120" s="293" t="str">
        <f t="shared" si="2075"/>
        <v> </v>
      </c>
      <c r="F1120" s="293" t="str">
        <f t="shared" si="2076"/>
        <v> </v>
      </c>
      <c r="G1120" s="293" t="str">
        <f t="shared" si="2077"/>
        <v> </v>
      </c>
      <c r="H1120" s="293" t="str">
        <f t="shared" ref="H1120:I1120" si="2209">TEXT(IF($B1120=0," ",$B1120+H$6),"hh:mm am/pm")</f>
        <v> </v>
      </c>
      <c r="I1120" s="293" t="str">
        <f t="shared" si="2209"/>
        <v> </v>
      </c>
      <c r="J1120" s="609"/>
      <c r="K1120" s="612"/>
      <c r="L1120" s="609"/>
      <c r="M1120" s="592"/>
      <c r="N1120" s="593"/>
      <c r="O1120" s="594"/>
      <c r="P1120" s="595"/>
      <c r="Q1120" s="596"/>
      <c r="R1120" s="596"/>
      <c r="S1120" s="613"/>
      <c r="T1120" s="597"/>
      <c r="U1120" s="593"/>
      <c r="V1120" s="593"/>
      <c r="W1120" s="593"/>
      <c r="X1120" s="598"/>
      <c r="Y1120" s="599"/>
      <c r="Z1120" s="593"/>
      <c r="AA1120" s="600"/>
      <c r="AB1120" s="600"/>
      <c r="AC1120" s="601"/>
      <c r="AD1120" s="601"/>
      <c r="AE1120" s="597"/>
      <c r="AF1120" s="598"/>
      <c r="AG1120" s="602"/>
      <c r="AH1120" s="602"/>
      <c r="AI1120" s="602"/>
      <c r="AJ1120" s="603"/>
      <c r="AK1120" s="605"/>
      <c r="AL1120" s="605"/>
      <c r="AM1120" s="611"/>
      <c r="AN1120" s="606"/>
      <c r="AO1120" s="314" t="str">
        <f t="shared" si="2079"/>
        <v> </v>
      </c>
      <c r="AP1120" s="315">
        <f t="shared" si="2080"/>
        <v>0</v>
      </c>
      <c r="AQ1120" s="316" t="str">
        <f t="shared" si="2081"/>
        <v> </v>
      </c>
    </row>
    <row r="1121" ht="29.25" customHeight="1" outlineLevel="1" spans="1:43">
      <c r="A1121" s="607"/>
      <c r="B1121" s="608"/>
      <c r="C1121" s="293" t="str">
        <f t="shared" si="2073"/>
        <v> </v>
      </c>
      <c r="D1121" s="293" t="str">
        <f t="shared" si="2074"/>
        <v> </v>
      </c>
      <c r="E1121" s="293" t="str">
        <f t="shared" si="2075"/>
        <v> </v>
      </c>
      <c r="F1121" s="293" t="str">
        <f t="shared" si="2076"/>
        <v> </v>
      </c>
      <c r="G1121" s="293" t="str">
        <f t="shared" si="2077"/>
        <v> </v>
      </c>
      <c r="H1121" s="293" t="str">
        <f t="shared" ref="H1121:I1121" si="2210">TEXT(IF($B1121=0," ",$B1121+H$6),"hh:mm am/pm")</f>
        <v> </v>
      </c>
      <c r="I1121" s="293" t="str">
        <f t="shared" si="2210"/>
        <v> </v>
      </c>
      <c r="J1121" s="609"/>
      <c r="K1121" s="612"/>
      <c r="L1121" s="609"/>
      <c r="M1121" s="592"/>
      <c r="N1121" s="593"/>
      <c r="O1121" s="594"/>
      <c r="P1121" s="595"/>
      <c r="Q1121" s="596"/>
      <c r="R1121" s="596"/>
      <c r="S1121" s="613"/>
      <c r="T1121" s="597"/>
      <c r="U1121" s="593"/>
      <c r="V1121" s="593"/>
      <c r="W1121" s="593"/>
      <c r="X1121" s="598"/>
      <c r="Y1121" s="599"/>
      <c r="Z1121" s="593"/>
      <c r="AA1121" s="600"/>
      <c r="AB1121" s="600"/>
      <c r="AC1121" s="601"/>
      <c r="AD1121" s="601"/>
      <c r="AE1121" s="597"/>
      <c r="AF1121" s="598"/>
      <c r="AG1121" s="602"/>
      <c r="AH1121" s="602"/>
      <c r="AI1121" s="602"/>
      <c r="AJ1121" s="603"/>
      <c r="AK1121" s="605"/>
      <c r="AL1121" s="605"/>
      <c r="AM1121" s="611"/>
      <c r="AN1121" s="606"/>
      <c r="AO1121" s="314" t="str">
        <f t="shared" si="2079"/>
        <v> </v>
      </c>
      <c r="AP1121" s="315">
        <f t="shared" si="2080"/>
        <v>0</v>
      </c>
      <c r="AQ1121" s="316" t="str">
        <f t="shared" si="2081"/>
        <v> </v>
      </c>
    </row>
    <row r="1122" ht="29.25" customHeight="1" outlineLevel="1" spans="1:43">
      <c r="A1122" s="607"/>
      <c r="B1122" s="608"/>
      <c r="C1122" s="293" t="str">
        <f t="shared" si="2073"/>
        <v> </v>
      </c>
      <c r="D1122" s="293" t="str">
        <f t="shared" si="2074"/>
        <v> </v>
      </c>
      <c r="E1122" s="293" t="str">
        <f t="shared" si="2075"/>
        <v> </v>
      </c>
      <c r="F1122" s="293" t="str">
        <f t="shared" si="2076"/>
        <v> </v>
      </c>
      <c r="G1122" s="293" t="str">
        <f t="shared" si="2077"/>
        <v> </v>
      </c>
      <c r="H1122" s="293" t="str">
        <f t="shared" ref="H1122:I1122" si="2211">TEXT(IF($B1122=0," ",$B1122+H$6),"hh:mm am/pm")</f>
        <v> </v>
      </c>
      <c r="I1122" s="293" t="str">
        <f t="shared" si="2211"/>
        <v> </v>
      </c>
      <c r="J1122" s="609"/>
      <c r="K1122" s="612"/>
      <c r="L1122" s="609"/>
      <c r="M1122" s="592"/>
      <c r="N1122" s="593"/>
      <c r="O1122" s="594"/>
      <c r="P1122" s="595"/>
      <c r="Q1122" s="596"/>
      <c r="R1122" s="596"/>
      <c r="S1122" s="613"/>
      <c r="T1122" s="597"/>
      <c r="U1122" s="593"/>
      <c r="V1122" s="593"/>
      <c r="W1122" s="593"/>
      <c r="X1122" s="598"/>
      <c r="Y1122" s="599"/>
      <c r="Z1122" s="593"/>
      <c r="AA1122" s="600"/>
      <c r="AB1122" s="600"/>
      <c r="AC1122" s="601"/>
      <c r="AD1122" s="601"/>
      <c r="AE1122" s="597"/>
      <c r="AF1122" s="598"/>
      <c r="AG1122" s="602"/>
      <c r="AH1122" s="602"/>
      <c r="AI1122" s="602"/>
      <c r="AJ1122" s="603"/>
      <c r="AK1122" s="605"/>
      <c r="AL1122" s="605"/>
      <c r="AM1122" s="611"/>
      <c r="AN1122" s="606"/>
      <c r="AO1122" s="314" t="str">
        <f t="shared" si="2079"/>
        <v> </v>
      </c>
      <c r="AP1122" s="315">
        <f t="shared" si="2080"/>
        <v>0</v>
      </c>
      <c r="AQ1122" s="316" t="str">
        <f t="shared" si="2081"/>
        <v> </v>
      </c>
    </row>
    <row r="1123" ht="29.25" customHeight="1" outlineLevel="1" spans="1:43">
      <c r="A1123" s="607"/>
      <c r="B1123" s="608"/>
      <c r="C1123" s="293" t="str">
        <f t="shared" si="2073"/>
        <v> </v>
      </c>
      <c r="D1123" s="293" t="str">
        <f t="shared" si="2074"/>
        <v> </v>
      </c>
      <c r="E1123" s="293" t="str">
        <f t="shared" si="2075"/>
        <v> </v>
      </c>
      <c r="F1123" s="293" t="str">
        <f t="shared" si="2076"/>
        <v> </v>
      </c>
      <c r="G1123" s="293" t="str">
        <f t="shared" si="2077"/>
        <v> </v>
      </c>
      <c r="H1123" s="293" t="str">
        <f t="shared" ref="H1123:I1123" si="2212">TEXT(IF($B1123=0," ",$B1123+H$6),"hh:mm am/pm")</f>
        <v> </v>
      </c>
      <c r="I1123" s="293" t="str">
        <f t="shared" si="2212"/>
        <v> </v>
      </c>
      <c r="J1123" s="609"/>
      <c r="K1123" s="612"/>
      <c r="L1123" s="609"/>
      <c r="M1123" s="592"/>
      <c r="N1123" s="593"/>
      <c r="O1123" s="594"/>
      <c r="P1123" s="595"/>
      <c r="Q1123" s="596"/>
      <c r="R1123" s="596"/>
      <c r="S1123" s="613"/>
      <c r="T1123" s="597"/>
      <c r="U1123" s="593"/>
      <c r="V1123" s="593"/>
      <c r="W1123" s="593"/>
      <c r="X1123" s="598"/>
      <c r="Y1123" s="599"/>
      <c r="Z1123" s="593"/>
      <c r="AA1123" s="600"/>
      <c r="AB1123" s="600"/>
      <c r="AC1123" s="601"/>
      <c r="AD1123" s="601"/>
      <c r="AE1123" s="597"/>
      <c r="AF1123" s="598"/>
      <c r="AG1123" s="602"/>
      <c r="AH1123" s="602"/>
      <c r="AI1123" s="602"/>
      <c r="AJ1123" s="603"/>
      <c r="AK1123" s="605"/>
      <c r="AL1123" s="605"/>
      <c r="AM1123" s="611"/>
      <c r="AN1123" s="606"/>
      <c r="AO1123" s="314" t="str">
        <f t="shared" si="2079"/>
        <v> </v>
      </c>
      <c r="AP1123" s="315">
        <f t="shared" si="2080"/>
        <v>0</v>
      </c>
      <c r="AQ1123" s="316" t="str">
        <f t="shared" si="2081"/>
        <v> </v>
      </c>
    </row>
    <row r="1124" ht="29.25" customHeight="1" outlineLevel="1" spans="1:43">
      <c r="A1124" s="607"/>
      <c r="B1124" s="608"/>
      <c r="C1124" s="293" t="str">
        <f t="shared" si="2073"/>
        <v> </v>
      </c>
      <c r="D1124" s="293" t="str">
        <f t="shared" si="2074"/>
        <v> </v>
      </c>
      <c r="E1124" s="293" t="str">
        <f t="shared" si="2075"/>
        <v> </v>
      </c>
      <c r="F1124" s="293" t="str">
        <f t="shared" si="2076"/>
        <v> </v>
      </c>
      <c r="G1124" s="293" t="str">
        <f t="shared" si="2077"/>
        <v> </v>
      </c>
      <c r="H1124" s="293" t="str">
        <f t="shared" ref="H1124:I1124" si="2213">TEXT(IF($B1124=0," ",$B1124+H$6),"hh:mm am/pm")</f>
        <v> </v>
      </c>
      <c r="I1124" s="293" t="str">
        <f t="shared" si="2213"/>
        <v> </v>
      </c>
      <c r="J1124" s="609"/>
      <c r="K1124" s="612"/>
      <c r="L1124" s="609"/>
      <c r="M1124" s="592"/>
      <c r="N1124" s="593"/>
      <c r="O1124" s="594"/>
      <c r="P1124" s="595"/>
      <c r="Q1124" s="596"/>
      <c r="R1124" s="596"/>
      <c r="S1124" s="613"/>
      <c r="T1124" s="597"/>
      <c r="U1124" s="593"/>
      <c r="V1124" s="593"/>
      <c r="W1124" s="593"/>
      <c r="X1124" s="598"/>
      <c r="Y1124" s="599"/>
      <c r="Z1124" s="593"/>
      <c r="AA1124" s="600"/>
      <c r="AB1124" s="600"/>
      <c r="AC1124" s="601"/>
      <c r="AD1124" s="601"/>
      <c r="AE1124" s="597"/>
      <c r="AF1124" s="598"/>
      <c r="AG1124" s="602"/>
      <c r="AH1124" s="602"/>
      <c r="AI1124" s="602"/>
      <c r="AJ1124" s="603"/>
      <c r="AK1124" s="605"/>
      <c r="AL1124" s="605"/>
      <c r="AM1124" s="611"/>
      <c r="AN1124" s="606"/>
      <c r="AO1124" s="314" t="str">
        <f t="shared" si="2079"/>
        <v> </v>
      </c>
      <c r="AP1124" s="315">
        <f t="shared" si="2080"/>
        <v>0</v>
      </c>
      <c r="AQ1124" s="316" t="str">
        <f t="shared" si="2081"/>
        <v> </v>
      </c>
    </row>
    <row r="1125" ht="29.25" customHeight="1" outlineLevel="1" spans="1:43">
      <c r="A1125" s="607"/>
      <c r="B1125" s="608"/>
      <c r="C1125" s="293" t="str">
        <f t="shared" si="2073"/>
        <v> </v>
      </c>
      <c r="D1125" s="293" t="str">
        <f t="shared" si="2074"/>
        <v> </v>
      </c>
      <c r="E1125" s="293" t="str">
        <f t="shared" si="2075"/>
        <v> </v>
      </c>
      <c r="F1125" s="293" t="str">
        <f t="shared" si="2076"/>
        <v> </v>
      </c>
      <c r="G1125" s="293" t="str">
        <f t="shared" si="2077"/>
        <v> </v>
      </c>
      <c r="H1125" s="293" t="str">
        <f t="shared" ref="H1125:I1125" si="2214">TEXT(IF($B1125=0," ",$B1125+H$6),"hh:mm am/pm")</f>
        <v> </v>
      </c>
      <c r="I1125" s="293" t="str">
        <f t="shared" si="2214"/>
        <v> </v>
      </c>
      <c r="J1125" s="609"/>
      <c r="K1125" s="612"/>
      <c r="L1125" s="609"/>
      <c r="M1125" s="592"/>
      <c r="N1125" s="593"/>
      <c r="O1125" s="594"/>
      <c r="P1125" s="595"/>
      <c r="Q1125" s="596"/>
      <c r="R1125" s="596"/>
      <c r="S1125" s="613"/>
      <c r="T1125" s="597"/>
      <c r="U1125" s="593"/>
      <c r="V1125" s="593"/>
      <c r="W1125" s="593"/>
      <c r="X1125" s="598"/>
      <c r="Y1125" s="599"/>
      <c r="Z1125" s="593"/>
      <c r="AA1125" s="600"/>
      <c r="AB1125" s="600"/>
      <c r="AC1125" s="601"/>
      <c r="AD1125" s="601"/>
      <c r="AE1125" s="597"/>
      <c r="AF1125" s="598"/>
      <c r="AG1125" s="602"/>
      <c r="AH1125" s="602"/>
      <c r="AI1125" s="602"/>
      <c r="AJ1125" s="603"/>
      <c r="AK1125" s="605"/>
      <c r="AL1125" s="605"/>
      <c r="AM1125" s="611"/>
      <c r="AN1125" s="606"/>
      <c r="AO1125" s="314" t="str">
        <f t="shared" si="2079"/>
        <v> </v>
      </c>
      <c r="AP1125" s="315">
        <f t="shared" si="2080"/>
        <v>0</v>
      </c>
      <c r="AQ1125" s="316" t="str">
        <f t="shared" si="2081"/>
        <v> </v>
      </c>
    </row>
    <row r="1126" ht="29.25" customHeight="1" outlineLevel="1" spans="1:43">
      <c r="A1126" s="607"/>
      <c r="B1126" s="608"/>
      <c r="C1126" s="293" t="str">
        <f t="shared" si="2073"/>
        <v> </v>
      </c>
      <c r="D1126" s="293" t="str">
        <f t="shared" si="2074"/>
        <v> </v>
      </c>
      <c r="E1126" s="293" t="str">
        <f t="shared" si="2075"/>
        <v> </v>
      </c>
      <c r="F1126" s="293" t="str">
        <f t="shared" si="2076"/>
        <v> </v>
      </c>
      <c r="G1126" s="293" t="str">
        <f t="shared" si="2077"/>
        <v> </v>
      </c>
      <c r="H1126" s="293" t="str">
        <f t="shared" ref="H1126:I1126" si="2215">TEXT(IF($B1126=0," ",$B1126+H$6),"hh:mm am/pm")</f>
        <v> </v>
      </c>
      <c r="I1126" s="293" t="str">
        <f t="shared" si="2215"/>
        <v> </v>
      </c>
      <c r="J1126" s="609"/>
      <c r="K1126" s="612"/>
      <c r="L1126" s="609"/>
      <c r="M1126" s="592"/>
      <c r="N1126" s="593"/>
      <c r="O1126" s="594"/>
      <c r="P1126" s="595"/>
      <c r="Q1126" s="596"/>
      <c r="R1126" s="596"/>
      <c r="S1126" s="613"/>
      <c r="T1126" s="597"/>
      <c r="U1126" s="593"/>
      <c r="V1126" s="593"/>
      <c r="W1126" s="593"/>
      <c r="X1126" s="598"/>
      <c r="Y1126" s="599"/>
      <c r="Z1126" s="593"/>
      <c r="AA1126" s="600"/>
      <c r="AB1126" s="600"/>
      <c r="AC1126" s="601"/>
      <c r="AD1126" s="601"/>
      <c r="AE1126" s="597"/>
      <c r="AF1126" s="598"/>
      <c r="AG1126" s="602"/>
      <c r="AH1126" s="602"/>
      <c r="AI1126" s="602"/>
      <c r="AJ1126" s="603"/>
      <c r="AK1126" s="605"/>
      <c r="AL1126" s="605"/>
      <c r="AM1126" s="611"/>
      <c r="AN1126" s="606"/>
      <c r="AO1126" s="314" t="str">
        <f t="shared" si="2079"/>
        <v> </v>
      </c>
      <c r="AP1126" s="315">
        <f t="shared" si="2080"/>
        <v>0</v>
      </c>
      <c r="AQ1126" s="316" t="str">
        <f t="shared" si="2081"/>
        <v> </v>
      </c>
    </row>
    <row r="1127" ht="29.25" customHeight="1" outlineLevel="1" spans="1:43">
      <c r="A1127" s="607"/>
      <c r="B1127" s="608"/>
      <c r="C1127" s="293" t="str">
        <f t="shared" si="2073"/>
        <v> </v>
      </c>
      <c r="D1127" s="293" t="str">
        <f t="shared" si="2074"/>
        <v> </v>
      </c>
      <c r="E1127" s="293" t="str">
        <f t="shared" si="2075"/>
        <v> </v>
      </c>
      <c r="F1127" s="293" t="str">
        <f t="shared" si="2076"/>
        <v> </v>
      </c>
      <c r="G1127" s="293" t="str">
        <f t="shared" si="2077"/>
        <v> </v>
      </c>
      <c r="H1127" s="293" t="str">
        <f t="shared" ref="H1127:I1127" si="2216">TEXT(IF($B1127=0," ",$B1127+H$6),"hh:mm am/pm")</f>
        <v> </v>
      </c>
      <c r="I1127" s="293" t="str">
        <f t="shared" si="2216"/>
        <v> </v>
      </c>
      <c r="J1127" s="609"/>
      <c r="K1127" s="612"/>
      <c r="L1127" s="609"/>
      <c r="M1127" s="592"/>
      <c r="N1127" s="593"/>
      <c r="O1127" s="594"/>
      <c r="P1127" s="595"/>
      <c r="Q1127" s="596"/>
      <c r="R1127" s="596"/>
      <c r="S1127" s="613"/>
      <c r="T1127" s="597"/>
      <c r="U1127" s="593"/>
      <c r="V1127" s="593"/>
      <c r="W1127" s="593"/>
      <c r="X1127" s="598"/>
      <c r="Y1127" s="599"/>
      <c r="Z1127" s="593"/>
      <c r="AA1127" s="600"/>
      <c r="AB1127" s="600"/>
      <c r="AC1127" s="601"/>
      <c r="AD1127" s="601"/>
      <c r="AE1127" s="597"/>
      <c r="AF1127" s="598"/>
      <c r="AG1127" s="602"/>
      <c r="AH1127" s="602"/>
      <c r="AI1127" s="602"/>
      <c r="AJ1127" s="603"/>
      <c r="AK1127" s="605"/>
      <c r="AL1127" s="605"/>
      <c r="AM1127" s="611"/>
      <c r="AN1127" s="606"/>
      <c r="AO1127" s="314" t="str">
        <f t="shared" si="2079"/>
        <v> </v>
      </c>
      <c r="AP1127" s="315">
        <f t="shared" si="2080"/>
        <v>0</v>
      </c>
      <c r="AQ1127" s="316" t="str">
        <f t="shared" si="2081"/>
        <v> </v>
      </c>
    </row>
    <row r="1128" ht="29.25" customHeight="1" outlineLevel="1" spans="1:43">
      <c r="A1128" s="607"/>
      <c r="B1128" s="608"/>
      <c r="C1128" s="293" t="str">
        <f t="shared" si="2073"/>
        <v> </v>
      </c>
      <c r="D1128" s="293" t="str">
        <f t="shared" si="2074"/>
        <v> </v>
      </c>
      <c r="E1128" s="293" t="str">
        <f t="shared" si="2075"/>
        <v> </v>
      </c>
      <c r="F1128" s="293" t="str">
        <f t="shared" si="2076"/>
        <v> </v>
      </c>
      <c r="G1128" s="293" t="str">
        <f t="shared" si="2077"/>
        <v> </v>
      </c>
      <c r="H1128" s="293" t="str">
        <f t="shared" ref="H1128:I1128" si="2217">TEXT(IF($B1128=0," ",$B1128+H$6),"hh:mm am/pm")</f>
        <v> </v>
      </c>
      <c r="I1128" s="293" t="str">
        <f t="shared" si="2217"/>
        <v> </v>
      </c>
      <c r="J1128" s="609"/>
      <c r="K1128" s="612"/>
      <c r="L1128" s="609"/>
      <c r="M1128" s="592"/>
      <c r="N1128" s="593"/>
      <c r="O1128" s="594"/>
      <c r="P1128" s="595"/>
      <c r="Q1128" s="596"/>
      <c r="R1128" s="596"/>
      <c r="S1128" s="613"/>
      <c r="T1128" s="597"/>
      <c r="U1128" s="593"/>
      <c r="V1128" s="593"/>
      <c r="W1128" s="593"/>
      <c r="X1128" s="598"/>
      <c r="Y1128" s="599"/>
      <c r="Z1128" s="593"/>
      <c r="AA1128" s="600"/>
      <c r="AB1128" s="600"/>
      <c r="AC1128" s="601"/>
      <c r="AD1128" s="601"/>
      <c r="AE1128" s="597"/>
      <c r="AF1128" s="598"/>
      <c r="AG1128" s="602"/>
      <c r="AH1128" s="602"/>
      <c r="AI1128" s="602"/>
      <c r="AJ1128" s="603"/>
      <c r="AK1128" s="605"/>
      <c r="AL1128" s="605"/>
      <c r="AM1128" s="611"/>
      <c r="AN1128" s="606"/>
      <c r="AO1128" s="314" t="str">
        <f t="shared" si="2079"/>
        <v> </v>
      </c>
      <c r="AP1128" s="315">
        <f t="shared" si="2080"/>
        <v>0</v>
      </c>
      <c r="AQ1128" s="316" t="str">
        <f t="shared" si="2081"/>
        <v> </v>
      </c>
    </row>
    <row r="1129" ht="29.25" customHeight="1" outlineLevel="1" spans="1:43">
      <c r="A1129" s="607"/>
      <c r="B1129" s="608"/>
      <c r="C1129" s="293" t="str">
        <f t="shared" si="2073"/>
        <v> </v>
      </c>
      <c r="D1129" s="293" t="str">
        <f t="shared" si="2074"/>
        <v> </v>
      </c>
      <c r="E1129" s="293" t="str">
        <f t="shared" si="2075"/>
        <v> </v>
      </c>
      <c r="F1129" s="293" t="str">
        <f t="shared" si="2076"/>
        <v> </v>
      </c>
      <c r="G1129" s="293" t="str">
        <f t="shared" si="2077"/>
        <v> </v>
      </c>
      <c r="H1129" s="293" t="str">
        <f t="shared" ref="H1129:I1129" si="2218">TEXT(IF($B1129=0," ",$B1129+H$6),"hh:mm am/pm")</f>
        <v> </v>
      </c>
      <c r="I1129" s="293" t="str">
        <f t="shared" si="2218"/>
        <v> </v>
      </c>
      <c r="J1129" s="609" t="s">
        <v>219</v>
      </c>
      <c r="K1129" s="612"/>
      <c r="L1129" s="609" t="s">
        <v>219</v>
      </c>
      <c r="M1129" s="592" t="s">
        <v>497</v>
      </c>
      <c r="N1129" s="593" t="s">
        <v>57</v>
      </c>
      <c r="O1129" s="594" t="s">
        <v>74</v>
      </c>
      <c r="P1129" s="595" t="s">
        <v>75</v>
      </c>
      <c r="Q1129" s="596">
        <v>1710</v>
      </c>
      <c r="R1129" s="596" t="s">
        <v>60</v>
      </c>
      <c r="S1129" s="613"/>
      <c r="T1129" s="601">
        <v>0.1</v>
      </c>
      <c r="U1129" s="593" t="s">
        <v>62</v>
      </c>
      <c r="V1129" s="593">
        <v>200</v>
      </c>
      <c r="W1129" s="593"/>
      <c r="X1129" s="598"/>
      <c r="Y1129" s="599" t="s">
        <v>161</v>
      </c>
      <c r="Z1129" s="593"/>
      <c r="AA1129" s="600" t="s">
        <v>498</v>
      </c>
      <c r="AB1129" s="600" t="s">
        <v>183</v>
      </c>
      <c r="AC1129" s="601">
        <v>0.05</v>
      </c>
      <c r="AD1129" s="601"/>
      <c r="AE1129" s="597" t="s">
        <v>66</v>
      </c>
      <c r="AF1129" s="598">
        <v>10000</v>
      </c>
      <c r="AG1129" s="602">
        <v>8</v>
      </c>
      <c r="AH1129" s="602">
        <v>8</v>
      </c>
      <c r="AI1129" s="602">
        <v>8</v>
      </c>
      <c r="AJ1129" s="603">
        <v>1</v>
      </c>
      <c r="AK1129" s="614">
        <v>46267</v>
      </c>
      <c r="AL1129" s="605"/>
      <c r="AM1129" s="611"/>
      <c r="AN1129" s="606"/>
      <c r="AO1129" s="314" t="str">
        <f t="shared" si="2079"/>
        <v> </v>
      </c>
      <c r="AP1129" s="315">
        <f t="shared" si="2080"/>
        <v>9</v>
      </c>
      <c r="AQ1129" s="316" t="str">
        <f t="shared" si="2081"/>
        <v>HIGH</v>
      </c>
    </row>
    <row r="1130" ht="29.25" customHeight="1" outlineLevel="1" spans="1:43">
      <c r="A1130" s="607"/>
      <c r="B1130" s="608">
        <v>0.666678240740741</v>
      </c>
      <c r="C1130" s="293" t="str">
        <f t="shared" si="2073"/>
        <v>14:00 001/p1</v>
      </c>
      <c r="D1130" s="293" t="str">
        <f t="shared" si="2074"/>
        <v>12:00 001/p1</v>
      </c>
      <c r="E1130" s="293" t="str">
        <f t="shared" si="2075"/>
        <v>13:00 001/p1</v>
      </c>
      <c r="F1130" s="293" t="str">
        <f t="shared" si="2076"/>
        <v>14:00 001/p1</v>
      </c>
      <c r="G1130" s="293" t="str">
        <f t="shared" si="2077"/>
        <v>15:00 001/p1</v>
      </c>
      <c r="H1130" s="293" t="str">
        <f t="shared" ref="H1130:I1130" si="2219">TEXT(IF($B1130=0," ",$B1130+H$6),"hh:mm am/pm")</f>
        <v>22:00 001/p1</v>
      </c>
      <c r="I1130" s="293" t="str">
        <f t="shared" si="2219"/>
        <v>03:00 001/p1</v>
      </c>
      <c r="J1130" s="609" t="s">
        <v>499</v>
      </c>
      <c r="K1130" s="612"/>
      <c r="L1130" s="609" t="s">
        <v>500</v>
      </c>
      <c r="M1130" s="592" t="s">
        <v>56</v>
      </c>
      <c r="N1130" s="593" t="s">
        <v>57</v>
      </c>
      <c r="O1130" s="594" t="s">
        <v>82</v>
      </c>
      <c r="P1130" s="595" t="s">
        <v>75</v>
      </c>
      <c r="Q1130" s="596">
        <v>100000</v>
      </c>
      <c r="R1130" s="596" t="s">
        <v>60</v>
      </c>
      <c r="S1130" s="613"/>
      <c r="T1130" s="597" t="s">
        <v>92</v>
      </c>
      <c r="U1130" s="593" t="s">
        <v>62</v>
      </c>
      <c r="V1130" s="593">
        <v>15</v>
      </c>
      <c r="W1130" s="593">
        <v>15</v>
      </c>
      <c r="X1130" s="598">
        <v>60000</v>
      </c>
      <c r="Y1130" s="599" t="s">
        <v>63</v>
      </c>
      <c r="Z1130" s="593"/>
      <c r="AA1130" s="600" t="s">
        <v>64</v>
      </c>
      <c r="AB1130" s="600" t="s">
        <v>293</v>
      </c>
      <c r="AC1130" s="601">
        <v>0.1</v>
      </c>
      <c r="AD1130" s="601">
        <v>0</v>
      </c>
      <c r="AE1130" s="597" t="s">
        <v>66</v>
      </c>
      <c r="AF1130" s="598">
        <v>50000</v>
      </c>
      <c r="AG1130" s="602">
        <v>15</v>
      </c>
      <c r="AH1130" s="602">
        <v>15</v>
      </c>
      <c r="AI1130" s="602">
        <v>15</v>
      </c>
      <c r="AJ1130" s="603">
        <v>15</v>
      </c>
      <c r="AK1130" s="605" t="s">
        <v>67</v>
      </c>
      <c r="AL1130" s="605" t="s">
        <v>68</v>
      </c>
      <c r="AM1130" s="611" t="s">
        <v>69</v>
      </c>
      <c r="AN1130" s="606" t="s">
        <v>70</v>
      </c>
      <c r="AO1130" s="314">
        <f t="shared" si="2079"/>
        <v>0.833344907407407</v>
      </c>
      <c r="AP1130" s="315">
        <f t="shared" si="2080"/>
        <v>7408</v>
      </c>
      <c r="AQ1130" s="316" t="str">
        <f t="shared" si="2081"/>
        <v>LOW</v>
      </c>
    </row>
    <row r="1131" ht="29.25" customHeight="1" outlineLevel="1" spans="1:43">
      <c r="A1131" s="607"/>
      <c r="B1131" s="608">
        <v>0.625011574074074</v>
      </c>
      <c r="C1131" s="293" t="str">
        <f t="shared" si="2073"/>
        <v>13:00 001/p1</v>
      </c>
      <c r="D1131" s="293" t="str">
        <f t="shared" si="2074"/>
        <v>11:00 001/p1</v>
      </c>
      <c r="E1131" s="293" t="str">
        <f t="shared" si="2075"/>
        <v>12:00 001/p1</v>
      </c>
      <c r="F1131" s="293" t="str">
        <f t="shared" si="2076"/>
        <v>13:00 001/p1</v>
      </c>
      <c r="G1131" s="293" t="str">
        <f t="shared" si="2077"/>
        <v>14:00 001/p1</v>
      </c>
      <c r="H1131" s="293" t="str">
        <f t="shared" ref="H1131:I1131" si="2220">TEXT(IF($B1131=0," ",$B1131+H$6),"hh:mm am/pm")</f>
        <v>21:00 001/p1</v>
      </c>
      <c r="I1131" s="293" t="str">
        <f t="shared" si="2220"/>
        <v>02:00 001/p1</v>
      </c>
      <c r="J1131" s="609" t="s">
        <v>501</v>
      </c>
      <c r="K1131" s="610"/>
      <c r="L1131" s="609" t="s">
        <v>361</v>
      </c>
      <c r="M1131" s="592" t="s">
        <v>56</v>
      </c>
      <c r="N1131" s="593" t="s">
        <v>100</v>
      </c>
      <c r="O1131" s="594" t="s">
        <v>82</v>
      </c>
      <c r="P1131" s="595" t="s">
        <v>256</v>
      </c>
      <c r="Q1131" s="596">
        <v>1000000</v>
      </c>
      <c r="R1131" s="596" t="s">
        <v>60</v>
      </c>
      <c r="S1131" s="596"/>
      <c r="T1131" s="597" t="s">
        <v>92</v>
      </c>
      <c r="U1131" s="593" t="s">
        <v>62</v>
      </c>
      <c r="V1131" s="593">
        <v>1100</v>
      </c>
      <c r="W1131" s="593">
        <v>1100</v>
      </c>
      <c r="X1131" s="598">
        <v>60000</v>
      </c>
      <c r="Y1131" s="599" t="s">
        <v>63</v>
      </c>
      <c r="Z1131" s="593"/>
      <c r="AA1131" s="600" t="s">
        <v>64</v>
      </c>
      <c r="AB1131" s="600" t="s">
        <v>293</v>
      </c>
      <c r="AC1131" s="601">
        <v>0.08</v>
      </c>
      <c r="AD1131" s="601">
        <v>0</v>
      </c>
      <c r="AE1131" s="597" t="s">
        <v>66</v>
      </c>
      <c r="AF1131" s="598">
        <v>50000</v>
      </c>
      <c r="AG1131" s="602">
        <v>20</v>
      </c>
      <c r="AH1131" s="602">
        <v>20</v>
      </c>
      <c r="AI1131" s="602">
        <v>20</v>
      </c>
      <c r="AJ1131" s="603">
        <v>14</v>
      </c>
      <c r="AK1131" s="604">
        <v>1132285</v>
      </c>
      <c r="AL1131" s="605" t="s">
        <v>68</v>
      </c>
      <c r="AM1131" s="611" t="s">
        <v>69</v>
      </c>
      <c r="AN1131" s="606" t="s">
        <v>70</v>
      </c>
      <c r="AO1131" s="314">
        <f t="shared" si="2079"/>
        <v>0.833344907407407</v>
      </c>
      <c r="AP1131" s="315">
        <f t="shared" si="2080"/>
        <v>989</v>
      </c>
      <c r="AQ1131" s="316" t="str">
        <f t="shared" si="2081"/>
        <v>SUPER HIGH</v>
      </c>
    </row>
    <row r="1132" ht="6.75" customHeight="1" spans="1:43">
      <c r="A1132" s="615"/>
      <c r="B1132" s="616"/>
      <c r="C1132" s="617"/>
      <c r="D1132" s="617"/>
      <c r="E1132" s="617"/>
      <c r="F1132" s="617"/>
      <c r="G1132" s="617"/>
      <c r="H1132" s="617"/>
      <c r="I1132" s="618"/>
      <c r="J1132" s="619"/>
      <c r="K1132" s="620"/>
      <c r="L1132" s="619"/>
      <c r="M1132" s="621"/>
      <c r="N1132" s="273"/>
      <c r="O1132" s="622"/>
      <c r="P1132" s="622"/>
      <c r="Q1132" s="621"/>
      <c r="R1132" s="621"/>
      <c r="S1132" s="621"/>
      <c r="T1132" s="621"/>
      <c r="U1132" s="273"/>
      <c r="V1132" s="273"/>
      <c r="W1132" s="273"/>
      <c r="X1132" s="280"/>
      <c r="Y1132" s="621"/>
      <c r="Z1132" s="623"/>
      <c r="AA1132" s="621"/>
      <c r="AB1132" s="621"/>
      <c r="AC1132" s="621"/>
      <c r="AD1132" s="621"/>
      <c r="AE1132" s="621"/>
      <c r="AF1132" s="621"/>
      <c r="AG1132" s="621"/>
      <c r="AH1132" s="621"/>
      <c r="AI1132" s="621"/>
      <c r="AJ1132" s="621"/>
      <c r="AK1132" s="282"/>
      <c r="AL1132" s="273"/>
      <c r="AM1132" s="283"/>
      <c r="AN1132" s="624"/>
      <c r="AO1132" s="314"/>
      <c r="AP1132" s="315"/>
      <c r="AQ1132" s="316"/>
    </row>
  </sheetData>
  <mergeCells count="401">
    <mergeCell ref="L3:N3"/>
    <mergeCell ref="O3:P3"/>
    <mergeCell ref="Q3:U3"/>
    <mergeCell ref="V3:W3"/>
    <mergeCell ref="AG3:AI3"/>
    <mergeCell ref="A6:B6"/>
    <mergeCell ref="L6:N6"/>
    <mergeCell ref="O6:P6"/>
    <mergeCell ref="Q6:U6"/>
    <mergeCell ref="V6:AA6"/>
    <mergeCell ref="AB6:AD6"/>
    <mergeCell ref="AJ6:AL6"/>
    <mergeCell ref="A126:B126"/>
    <mergeCell ref="L126:N126"/>
    <mergeCell ref="O126:P126"/>
    <mergeCell ref="Q126:U126"/>
    <mergeCell ref="V126:AC126"/>
    <mergeCell ref="AJ126:AL126"/>
    <mergeCell ref="L247:N247"/>
    <mergeCell ref="O247:P247"/>
    <mergeCell ref="Q247:U247"/>
    <mergeCell ref="V247:AA247"/>
    <mergeCell ref="AB247:AD247"/>
    <mergeCell ref="AJ247:AL247"/>
    <mergeCell ref="A393:B393"/>
    <mergeCell ref="L393:N393"/>
    <mergeCell ref="O393:P393"/>
    <mergeCell ref="Q393:U393"/>
    <mergeCell ref="V393:AA393"/>
    <mergeCell ref="AB393:AD393"/>
    <mergeCell ref="AJ393:AL393"/>
    <mergeCell ref="A541:B541"/>
    <mergeCell ref="L541:N541"/>
    <mergeCell ref="O541:P541"/>
    <mergeCell ref="Q541:U541"/>
    <mergeCell ref="V541:AA541"/>
    <mergeCell ref="AB541:AD541"/>
    <mergeCell ref="AJ541:AL541"/>
    <mergeCell ref="A686:B686"/>
    <mergeCell ref="L686:N686"/>
    <mergeCell ref="O686:P686"/>
    <mergeCell ref="Q686:U686"/>
    <mergeCell ref="V686:AA686"/>
    <mergeCell ref="AB686:AD686"/>
    <mergeCell ref="AJ686:AL686"/>
    <mergeCell ref="L822:N822"/>
    <mergeCell ref="O822:P822"/>
    <mergeCell ref="Q822:U822"/>
    <mergeCell ref="V822:AA822"/>
    <mergeCell ref="AB822:AD822"/>
    <mergeCell ref="AJ822:AL822"/>
    <mergeCell ref="A991:B991"/>
    <mergeCell ref="L991:N991"/>
    <mergeCell ref="O991:P991"/>
    <mergeCell ref="Q991:U991"/>
    <mergeCell ref="V991:AA991"/>
    <mergeCell ref="AB991:AD991"/>
    <mergeCell ref="AJ991:AL991"/>
    <mergeCell ref="A4:A5"/>
    <mergeCell ref="A15:A17"/>
    <mergeCell ref="A18:A20"/>
    <mergeCell ref="A21:A23"/>
    <mergeCell ref="A24:A26"/>
    <mergeCell ref="A27:A29"/>
    <mergeCell ref="A30:A32"/>
    <mergeCell ref="A33:A34"/>
    <mergeCell ref="A35:A36"/>
    <mergeCell ref="A37:A39"/>
    <mergeCell ref="A40:A42"/>
    <mergeCell ref="A43:A44"/>
    <mergeCell ref="A45:A47"/>
    <mergeCell ref="A48:A50"/>
    <mergeCell ref="A51:A52"/>
    <mergeCell ref="A53:A55"/>
    <mergeCell ref="A56:A58"/>
    <mergeCell ref="A59:A61"/>
    <mergeCell ref="A62:A64"/>
    <mergeCell ref="A65:A66"/>
    <mergeCell ref="A67:A69"/>
    <mergeCell ref="A70:A72"/>
    <mergeCell ref="A73:A75"/>
    <mergeCell ref="A76:A77"/>
    <mergeCell ref="A78:A80"/>
    <mergeCell ref="A81:A83"/>
    <mergeCell ref="A84:A85"/>
    <mergeCell ref="A86:A88"/>
    <mergeCell ref="A89:A91"/>
    <mergeCell ref="A92:A93"/>
    <mergeCell ref="A94:A97"/>
    <mergeCell ref="A98:A99"/>
    <mergeCell ref="A100:A103"/>
    <mergeCell ref="A104:A106"/>
    <mergeCell ref="A107:A109"/>
    <mergeCell ref="A110:A111"/>
    <mergeCell ref="A112:A118"/>
    <mergeCell ref="A119:A122"/>
    <mergeCell ref="A123:A124"/>
    <mergeCell ref="A135:A137"/>
    <mergeCell ref="A138:A140"/>
    <mergeCell ref="A141:A143"/>
    <mergeCell ref="A144:A145"/>
    <mergeCell ref="A146:A148"/>
    <mergeCell ref="A149:A150"/>
    <mergeCell ref="A151:A153"/>
    <mergeCell ref="A154:A156"/>
    <mergeCell ref="A157:A158"/>
    <mergeCell ref="A159:A161"/>
    <mergeCell ref="A162:A164"/>
    <mergeCell ref="A165:A167"/>
    <mergeCell ref="A168:A170"/>
    <mergeCell ref="A171:A173"/>
    <mergeCell ref="A174:A176"/>
    <mergeCell ref="A177:A179"/>
    <mergeCell ref="A180:A181"/>
    <mergeCell ref="A182:A184"/>
    <mergeCell ref="A185:A187"/>
    <mergeCell ref="A188:A190"/>
    <mergeCell ref="A191:A193"/>
    <mergeCell ref="A194:A196"/>
    <mergeCell ref="A197:A198"/>
    <mergeCell ref="A199:A200"/>
    <mergeCell ref="A201:A203"/>
    <mergeCell ref="A204:A207"/>
    <mergeCell ref="A211:A215"/>
    <mergeCell ref="A216:A217"/>
    <mergeCell ref="A218:A220"/>
    <mergeCell ref="A221:A223"/>
    <mergeCell ref="A224:A226"/>
    <mergeCell ref="A227:A228"/>
    <mergeCell ref="A229:A231"/>
    <mergeCell ref="A232:A234"/>
    <mergeCell ref="A235:A237"/>
    <mergeCell ref="A238:A240"/>
    <mergeCell ref="A241:A244"/>
    <mergeCell ref="A255:A257"/>
    <mergeCell ref="A258:A260"/>
    <mergeCell ref="A261:A263"/>
    <mergeCell ref="A264:A266"/>
    <mergeCell ref="A267:A269"/>
    <mergeCell ref="A270:A273"/>
    <mergeCell ref="A274:A276"/>
    <mergeCell ref="A277:A278"/>
    <mergeCell ref="A279:A281"/>
    <mergeCell ref="A282:A284"/>
    <mergeCell ref="A285:A286"/>
    <mergeCell ref="A287:A289"/>
    <mergeCell ref="A290:A291"/>
    <mergeCell ref="A292:A293"/>
    <mergeCell ref="A294:A296"/>
    <mergeCell ref="A297:A299"/>
    <mergeCell ref="A300:A301"/>
    <mergeCell ref="A302:A304"/>
    <mergeCell ref="A305:A307"/>
    <mergeCell ref="A308:A310"/>
    <mergeCell ref="A311:A313"/>
    <mergeCell ref="A314:A316"/>
    <mergeCell ref="A317:A319"/>
    <mergeCell ref="A320:A322"/>
    <mergeCell ref="A323:A325"/>
    <mergeCell ref="A326:A328"/>
    <mergeCell ref="A329:A331"/>
    <mergeCell ref="A332:A334"/>
    <mergeCell ref="A335:A337"/>
    <mergeCell ref="A338:A340"/>
    <mergeCell ref="A341:A342"/>
    <mergeCell ref="A343:A345"/>
    <mergeCell ref="A346:A347"/>
    <mergeCell ref="A349:A351"/>
    <mergeCell ref="A352:A353"/>
    <mergeCell ref="A357:A359"/>
    <mergeCell ref="A360:A362"/>
    <mergeCell ref="A363:A365"/>
    <mergeCell ref="A366:A368"/>
    <mergeCell ref="A369:A371"/>
    <mergeCell ref="A372:A374"/>
    <mergeCell ref="A375:A377"/>
    <mergeCell ref="A378:A380"/>
    <mergeCell ref="A381:A383"/>
    <mergeCell ref="A384:A386"/>
    <mergeCell ref="A387:A392"/>
    <mergeCell ref="A402:A404"/>
    <mergeCell ref="A405:A407"/>
    <mergeCell ref="A408:A410"/>
    <mergeCell ref="A411:A413"/>
    <mergeCell ref="A414:A416"/>
    <mergeCell ref="A417:A420"/>
    <mergeCell ref="A421:A423"/>
    <mergeCell ref="A424:A425"/>
    <mergeCell ref="A426:A428"/>
    <mergeCell ref="A429:A430"/>
    <mergeCell ref="A431:A433"/>
    <mergeCell ref="A434:A436"/>
    <mergeCell ref="A437:A438"/>
    <mergeCell ref="A439:A440"/>
    <mergeCell ref="A441:A443"/>
    <mergeCell ref="A444:A446"/>
    <mergeCell ref="A447:A448"/>
    <mergeCell ref="A449:A451"/>
    <mergeCell ref="A452:A454"/>
    <mergeCell ref="A455:A457"/>
    <mergeCell ref="A458:A460"/>
    <mergeCell ref="A461:A464"/>
    <mergeCell ref="A465:A466"/>
    <mergeCell ref="A467:A469"/>
    <mergeCell ref="A470:A472"/>
    <mergeCell ref="A473:A475"/>
    <mergeCell ref="A476:A478"/>
    <mergeCell ref="A479:A481"/>
    <mergeCell ref="A482:A484"/>
    <mergeCell ref="A485:A487"/>
    <mergeCell ref="A488:A489"/>
    <mergeCell ref="A490:A492"/>
    <mergeCell ref="A494:A495"/>
    <mergeCell ref="A496:A498"/>
    <mergeCell ref="A500:A502"/>
    <mergeCell ref="A503:A505"/>
    <mergeCell ref="A506:A508"/>
    <mergeCell ref="A509:A511"/>
    <mergeCell ref="A512:A514"/>
    <mergeCell ref="A515:A516"/>
    <mergeCell ref="A517:A519"/>
    <mergeCell ref="A529:A531"/>
    <mergeCell ref="A532:A534"/>
    <mergeCell ref="A535:A537"/>
    <mergeCell ref="A549:A551"/>
    <mergeCell ref="A552:A554"/>
    <mergeCell ref="A555:A557"/>
    <mergeCell ref="A558:A560"/>
    <mergeCell ref="A561:A563"/>
    <mergeCell ref="A564:A567"/>
    <mergeCell ref="A568:A569"/>
    <mergeCell ref="A570:A571"/>
    <mergeCell ref="A572:A574"/>
    <mergeCell ref="A575:A577"/>
    <mergeCell ref="A578:A579"/>
    <mergeCell ref="A580:A582"/>
    <mergeCell ref="A583:A584"/>
    <mergeCell ref="A585:A587"/>
    <mergeCell ref="A589:A591"/>
    <mergeCell ref="A592:A593"/>
    <mergeCell ref="A594:A596"/>
    <mergeCell ref="A597:A599"/>
    <mergeCell ref="A600:A602"/>
    <mergeCell ref="A603:A605"/>
    <mergeCell ref="A606:A609"/>
    <mergeCell ref="A610:A612"/>
    <mergeCell ref="A613:A615"/>
    <mergeCell ref="A616:A618"/>
    <mergeCell ref="A619:A621"/>
    <mergeCell ref="A622:A624"/>
    <mergeCell ref="A625:A627"/>
    <mergeCell ref="A628:A630"/>
    <mergeCell ref="A631:A633"/>
    <mergeCell ref="A634:A635"/>
    <mergeCell ref="A636:A638"/>
    <mergeCell ref="A639:A641"/>
    <mergeCell ref="A642:A644"/>
    <mergeCell ref="A645:A647"/>
    <mergeCell ref="A648:A650"/>
    <mergeCell ref="A651:A653"/>
    <mergeCell ref="A654:A655"/>
    <mergeCell ref="A656:A658"/>
    <mergeCell ref="A659:A660"/>
    <mergeCell ref="A661:A665"/>
    <mergeCell ref="A666:A668"/>
    <mergeCell ref="A670:A674"/>
    <mergeCell ref="A675:A677"/>
    <mergeCell ref="A678:A680"/>
    <mergeCell ref="A681:A683"/>
    <mergeCell ref="A696:A697"/>
    <mergeCell ref="A698:A700"/>
    <mergeCell ref="A701:A703"/>
    <mergeCell ref="A704:A706"/>
    <mergeCell ref="A707:A709"/>
    <mergeCell ref="A710:A712"/>
    <mergeCell ref="A713:A715"/>
    <mergeCell ref="A716:A717"/>
    <mergeCell ref="A718:A720"/>
    <mergeCell ref="A721:A723"/>
    <mergeCell ref="A724:A726"/>
    <mergeCell ref="A727:A729"/>
    <mergeCell ref="A730:A731"/>
    <mergeCell ref="A732:A733"/>
    <mergeCell ref="A734:A736"/>
    <mergeCell ref="A737:A739"/>
    <mergeCell ref="A740:A741"/>
    <mergeCell ref="A742:A744"/>
    <mergeCell ref="A745:A747"/>
    <mergeCell ref="A748:A749"/>
    <mergeCell ref="A750:A752"/>
    <mergeCell ref="A753:A754"/>
    <mergeCell ref="A755:A757"/>
    <mergeCell ref="A758:A760"/>
    <mergeCell ref="A761:A763"/>
    <mergeCell ref="A764:A766"/>
    <mergeCell ref="A767:A769"/>
    <mergeCell ref="A770:A772"/>
    <mergeCell ref="A774:A775"/>
    <mergeCell ref="A776:A778"/>
    <mergeCell ref="A782:A783"/>
    <mergeCell ref="A785:A786"/>
    <mergeCell ref="A787:A789"/>
    <mergeCell ref="A790:A792"/>
    <mergeCell ref="A793:A794"/>
    <mergeCell ref="A795:A798"/>
    <mergeCell ref="A799:A800"/>
    <mergeCell ref="A801:A803"/>
    <mergeCell ref="A808:A810"/>
    <mergeCell ref="A811:A813"/>
    <mergeCell ref="A815:A817"/>
    <mergeCell ref="A818:A821"/>
    <mergeCell ref="A832:A835"/>
    <mergeCell ref="A836:A838"/>
    <mergeCell ref="A839:A841"/>
    <mergeCell ref="A842:A844"/>
    <mergeCell ref="A845:A847"/>
    <mergeCell ref="A848:A851"/>
    <mergeCell ref="A852:A855"/>
    <mergeCell ref="A856:A857"/>
    <mergeCell ref="A858:A860"/>
    <mergeCell ref="A861:A863"/>
    <mergeCell ref="A864:A866"/>
    <mergeCell ref="A867:A869"/>
    <mergeCell ref="A870:A871"/>
    <mergeCell ref="A872:A874"/>
    <mergeCell ref="A875:A877"/>
    <mergeCell ref="A878:A879"/>
    <mergeCell ref="A880:A882"/>
    <mergeCell ref="A883:A885"/>
    <mergeCell ref="A886:A888"/>
    <mergeCell ref="A889:A891"/>
    <mergeCell ref="A892:A894"/>
    <mergeCell ref="A895:A898"/>
    <mergeCell ref="A899:A901"/>
    <mergeCell ref="A902:A904"/>
    <mergeCell ref="A905:A907"/>
    <mergeCell ref="A908:A910"/>
    <mergeCell ref="A911:A913"/>
    <mergeCell ref="A914:A917"/>
    <mergeCell ref="A918:A919"/>
    <mergeCell ref="A920:A922"/>
    <mergeCell ref="A923:A925"/>
    <mergeCell ref="A926:A928"/>
    <mergeCell ref="A929:A931"/>
    <mergeCell ref="A932:A934"/>
    <mergeCell ref="A935:A937"/>
    <mergeCell ref="A941:A943"/>
    <mergeCell ref="A944:A946"/>
    <mergeCell ref="A947:A948"/>
    <mergeCell ref="A949:A951"/>
    <mergeCell ref="A954:A956"/>
    <mergeCell ref="A957:A959"/>
    <mergeCell ref="A960:A961"/>
    <mergeCell ref="A983:A985"/>
    <mergeCell ref="A986:A990"/>
    <mergeCell ref="B4:B5"/>
    <mergeCell ref="C4:C5"/>
    <mergeCell ref="D4:D5"/>
    <mergeCell ref="E4:E5"/>
    <mergeCell ref="F4:F5"/>
    <mergeCell ref="G4:G5"/>
    <mergeCell ref="H4:H5"/>
    <mergeCell ref="I4:I5"/>
    <mergeCell ref="J83:J84"/>
    <mergeCell ref="J86:J90"/>
    <mergeCell ref="J96:J97"/>
    <mergeCell ref="J101:J102"/>
    <mergeCell ref="J112:J115"/>
    <mergeCell ref="J119:J124"/>
    <mergeCell ref="J197:J198"/>
    <mergeCell ref="J200:J204"/>
    <mergeCell ref="J232:J236"/>
    <mergeCell ref="J240:J245"/>
    <mergeCell ref="J340:J341"/>
    <mergeCell ref="J343:J347"/>
    <mergeCell ref="J377:J384"/>
    <mergeCell ref="J386:J391"/>
    <mergeCell ref="J486:J487"/>
    <mergeCell ref="J489:J493"/>
    <mergeCell ref="J521:J528"/>
    <mergeCell ref="J530:J532"/>
    <mergeCell ref="J534:J539"/>
    <mergeCell ref="J633:J634"/>
    <mergeCell ref="J638:J642"/>
    <mergeCell ref="J666:J673"/>
    <mergeCell ref="J675:J677"/>
    <mergeCell ref="J679:J684"/>
    <mergeCell ref="J771:J773"/>
    <mergeCell ref="J775:J779"/>
    <mergeCell ref="J799:J806"/>
    <mergeCell ref="J808:J813"/>
    <mergeCell ref="J815:J820"/>
    <mergeCell ref="J914:J920"/>
    <mergeCell ref="J922:J924"/>
    <mergeCell ref="J926:J928"/>
    <mergeCell ref="J932:J934"/>
    <mergeCell ref="J936:J937"/>
    <mergeCell ref="J941:J943"/>
    <mergeCell ref="J967:J972"/>
    <mergeCell ref="J974:J978"/>
    <mergeCell ref="J982:J989"/>
  </mergeCells>
  <dataValidations count="21">
    <dataValidation type="list" allowBlank="1" showErrorMessage="1" sqref="AM78:AN78 AM125:AN125 AM192:AN192 AM237:AN237 AM246:AN246 AM481:AN481 AM540:AN540 AF628 AM628:AN628 AM685:AN685 AM821:AN821 AM979:AN979 AM7:AM77 AM79:AM124 AM127:AM191 AM193:AM236 AM238:AM245 AM248:AM334 AM336:AM392 AM394:AM480 AM482:AM539 AM542:AM627 AM629:AM684 AM687:AM767 AM769:AM820 AM823:AM978 AM980:AM990 AM992:AM1131">
      <formula1>"Allow for everyone,Only for in-game players,Ban chat for everyone"</formula1>
    </dataValidation>
    <dataValidation type="list" allowBlank="1" sqref="M111 M116 M117 M118 M125 M231 M237 M238 M239 M246 M376 M385 M392 M520 M533 M540 M663 M664 M665 M678 M685 M796 M797 M798 M821 M964 M965 M966 M973 M979 M980 M981 M990 M7:M77 M79:M110 M112:M115 M119:M124 M127:M191 M193:M230 M232:M236 M240:M245 M248:M334 M336:M375 M377:M384 M386:M391 M394:M480 M482:M519 M521:M532 M534:M539 M542:M627 M629:M662 M666:M677 M679:M684 M687:M767 M769:M795 M799:M807 M808:M813 M814:M820 M823:M912 M914:M920 M921:M940 M941:M943 M944:M963 M967:M972 M974:M978 M982:M989 M992:M1131">
      <formula1>"Side Event,Main Event,SAT"</formula1>
    </dataValidation>
    <dataValidation type="list" allowBlank="1" sqref="N111 N116 N117 N118 N125 N231 N237 N238 N239 N246 N376 N385 N392 N520 N540 N663 N664 N665 N685 N796 N797 N798 N821 N964 N965 N966 N973 N979 N980 N981 N990 N7:N77 N79:N110 N112:N115 N119:N124 N127:N191 N193:N230 N232:N236 N240:N245 N248:N334 N336:N375 N377:N384 N386:N391 N394:N480 N482:N519 N521:N529 N530:N533 N534:N539 N542:N627 N629:N662 N666:N674 N675:N678 N679:N684 N687:N767 N769:N795 N799:N807 N808:N813 N814:N820 N823:N912 N914:N920 N921:N940 N941:N943 N944:N963 N967:N972 N974:N978 N982:N989 N992:N1131">
      <formula1>"NLH,SWAP,PLO4,PLO5,PLO6,6+ NLH,NLH SWAP"</formula1>
    </dataValidation>
    <dataValidation type="list" allowBlank="1" sqref="O111 O116 O117 O118 O125 O231 O237 O238 O239 O246 O376 O385 O392 O520 O540 O663 O664 O665 O685 O796 O797 O798 O821 O964 O965 O966 O973 O979 O980 O981 O990 O7:O77 O79:O110 O112:O115 O119:O124 O127:O191 O193:O230 O232:O236 O240:O245 O248:O334 O336:O375 O377:O384 O386:O391 O394:O480 O482:O519 O521:O529 O530:O533 O534:O539 O542:O627 O629:O662 O666:O674 O675:O678 O679:O684 O687:O767 O769:O795 O799:O807 O808:O813 O814:O820 O823:O912 O914:O920 O921:O940 O941:O943 O944:O963 O967:O972 O974:O978 O982:O989 O992:O1131">
      <formula1>"Regular KO 1/4,Regular KO 1/3,Regular KO 1/2,Regular KO 2/3,Progressive KO 1/4,Progressive KO 1/3,Progressive KO 1/2,Progressive KO 2/3,Mystery Bounty 1/4,Mystery Bounty 1/3,Mystery Bounty 1/2,Mystery Bounty 2/3,OFF"</formula1>
    </dataValidation>
    <dataValidation type="list" allowBlank="1" sqref="P111 P116 P117 P118 P125 P231 P237 P238 P239 P246 P376 P385 P392 P520 P540 P663 P664 P665 P685 P796 P797 P798 P821 P964 P965 P966 P973 P979 P980 P981 P990 P7:P77 P79:P110 P112:P115 P119:P124 P127:P191 P193:P230 P232:P236 P240:P245 P248:P334 P336:P375 P377:P384 P386:P391 P394:P480 P482:P519 P521:P529 P530:P533 P534:P539 P542:P627 P629:P662 P666:P674 P675:P678 P679:P684 P687:P767 P769:P795 P799:P807 P808:P813 P814:P820 P823:P912 P914:P920 P921:P940 P941:P943 P944:P963 P967:P972 P974:P978 P982:P989 P992:P1131">
      <formula1>"2,4,6,7,8,9"</formula1>
    </dataValidation>
    <dataValidation type="list" allowBlank="1" sqref="T111 T116 T118 T125 T231 T237 T239 T246 T376 T385 T392 T520 T540 T663 T665 T685 T796 T798 T814 T821 T964 T966 T973 T979 T981 T990 T530:T533 T675:T678 T808:T813 T914:T920 T941:T943">
      <formula1>"10%,10% Plus,10% Flat,15%,15% Flat,20%,20% Flat"</formula1>
    </dataValidation>
    <dataValidation type="list" allowBlank="1" sqref="U111 U116 U117 U118 U125 U231 U237 U238 U239 U246 U376 U385 U392 U520 U540 U663 U664 U665 U685 U796 U797 U798 U821 U964 U965 U966 U973 U979 U980 U981 U990 U7:U77 U79:U110 U112:U115 U119:U124 U127:U191 U193:U230 U232:U236 U240:U245 U248:U334 U336:U375 U377:U384 U386:U391 U394:U480 U482:U519 U521:U529 U530:U533 U534:U539 U542:U627 U629:U662 U666:U674 U675:U678 U679:U684 U687:U767 U769:U795 U799:U807 U808:U813 U814:U820 U823:U912 U914:U920 U921:U940 U941:U943 U944:U963 U967:U972 U974:U978 U982:U989 U992:U1131">
      <formula1>"Buy-in+Rebuy,Only buy-in"</formula1>
    </dataValidation>
    <dataValidation type="list" allowBlank="1" sqref="Y111 Y116 Y118 Y125 Y231 Y237 Y239 Y246 Y376 Y385 Y392 Y520 Y540 Y663 Y665 Y685 Y796 Y798 Y821 Y964 Y966 Y973 Y979 Y981 Y990 Y530:Y533 Y675:Y678 Y810:Y811">
      <formula1>"Off (0),No Limit,No limit + double rebuy,1 Reentry,2 Reentry,3 Reentry"</formula1>
    </dataValidation>
    <dataValidation type="list" allowBlank="1" sqref="AC111 AC116 AC117 AC118 AC125 AC231 AC237 AC238 AC239 AC246 AC376 AC385 AC392 AC520 AC540 AC663 AC664 AC665 AC685 AC796 AC797 AC798 AC821 AC964 AC965 AC966 AC973 AC979 AC980 AC981 AC990 AC7:AC77 AC79:AC110 AC112:AC115 AC119:AC124 AC127:AC191 AC193:AC230 AC232:AC236 AC240:AC245 AC248:AC334 AC336:AC375 AC377:AC384 AC386:AC391 AC394:AC480 AC482:AC519 AC521:AC529 AC530:AC533 AC534:AC539 AC542:AC627 AC629:AC662 AC666:AC674 AC675:AC678 AC679:AC684 AC687:AC767 AC769:AC795 AC799:AC807 AC808:AC813 AC814:AC820 AC823:AC912 AC914:AC963 AC967:AC972 AC974:AC978 AC982:AC989 AC992:AC1131">
      <formula1>"0%,1%,2%,3%,4%,5%,8%,10%,12%,15%"</formula1>
    </dataValidation>
    <dataValidation type="list" allowBlank="1" sqref="AD111 AD116 AD117 AD118 AD125 AD231 AD237 AD238 AD239 AD246 AD376 AD385 AD392 AD520 AD540 AD663 AD664 AD665 AD685 AD796 AD797 AD798 AD821 AD964 AD965 AD966 AD973 AD979 AD980 AD981 AD990 AD7:AD77 AD79:AD110 AD112:AD115 AD119:AD124 AD126:AD191 AD193:AD230 AD232:AD236 AD240:AD245 AD248:AD334 AD336:AD375 AD377:AD384 AD386:AD391 AD394:AD480 AD482:AD519 AD521:AD529 AD530:AD533 AD534:AD539 AD542:AD627 AD629:AD662 AD666:AD674 AD675:AD678 AD679:AD684 AD687:AD767 AD769:AD795 AD799:AD807 AD808:AD813 AD814:AD820 AD823:AD912 AD914:AD963 AD967:AD972 AD974:AD978 AD982:AD989 AD992:AD1131">
      <formula1>"0%,1%,2%,3%,4%,5%"</formula1>
    </dataValidation>
    <dataValidation type="list" allowBlank="1" sqref="AE111 AE116 AE117 AE118 AE125 AE231 AE237 AE238 AE239 AE246 AE376 AE385 AE392 AE520 AE540 AE663 AE664 AE665 AE685 AE796 AE797 AE798 AE821 AE964 AE965 AE966 AE973 AE979 AE980 AE981 AE990 AE7:AE77 AE79:AE110 AE112:AE115 AE119:AE124 AE127:AE191 AE193:AE230 AE232:AE236 AE240:AE245 AE248:AE334 AE336:AE375 AE377:AE384 AE386:AE391 AE394:AE480 AE482:AE519 AE521:AE529 AE530:AE533 AE534:AE539 AE542:AE627 AE629:AE662 AE666:AE674 AE675:AE678 AE679:AE684 AE687:AE767 AE769:AE795 AE799:AE807 AE808:AE813 AE814:AE820 AE823:AE912 AE914:AE963 AE967:AE972 AE974:AE978 AE982:AE989 AE992:AE1131">
      <formula1>"Hyper turbo,Turbo,Regular (padrão),Regular - Ante off,Turbo - Ante off,Hyper Turbo - Ante off,Ante Only,Ante Only Turbo"</formula1>
    </dataValidation>
    <dataValidation type="list" allowBlank="1" sqref="AF111 AF116 AF118 AF125 AF231 AF237 AF239 AF246 AF376 AF385 AF392 AF520 AF540 AF663 AF665 AF685 AF796 AF798 AF821 AF964 AF966 AF973 AF979 AF981 AF990 AF530:AF533 AF675:AF678 AF808:AF813">
      <formula1>"1.000,1.500,2.000,3.000,5.000,7.500,10.000,12.000,15.000,20.000,30.000,40.000,50.000,60.000,70.000,80.000,100.000"</formula1>
    </dataValidation>
    <dataValidation type="list" allowBlank="1" sqref="AG111:AI111 AG116:AI116 AG117:AI117 AG118:AI118 AG125:AI125 AG231:AI231 AG237:AI237 AG238:AI238 AG239:AI239 AG246:AI246 AG376:AI376 AG385:AI385 AG392:AI392 AG520:AI520 AG540:AI540 AB628 AG663:AI663 AG664:AI664 AG665:AI665 AG685:AI685 AG796:AI796 AG797:AI797 AG798:AI798 AG821:AI821 AG964:AI964 AG965:AI965 AG966:AI966 AG973:AI973 AG979:AI979 AG980:AI980 AG981:AI981 AG990:AI990 AG7:AI77 AG79:AI110 AG112:AI115 AG119:AI124 AG127:AI191 AG193:AI230 AG232:AI236 AG240:AI245 AG534:AI539 AG248:AI334 AG336:AI375 AG377:AI384 AG386:AI391 AG394:AI480 AG482:AI519 AG521:AI529 AG542:AI627 AG629:AI662 AG666:AI674 AG679:AI684 AG967:AI972 AG687:AI767 AG769:AI795 AG799:AI807 AG814:AI820 AG823:AI912 AG914:AI963 AG974:AI978 AG982:AI989 AG992:AI1131 AG530:AI533 AG675:AI678 AG808:AI813">
      <formula1>"2,3,4,5,6,7,8,10,12,15,20,30,45"</formula1>
    </dataValidation>
    <dataValidation type="list" allowBlank="1" sqref="AJ111 AJ116 AJ117 AJ118 AJ125 AJ231 AJ237 AJ238 AJ239 AJ246 AJ376 AJ385 AJ392 AJ520 AJ540 AC628 AJ663 AJ664 AJ665 AJ685 AJ796 AJ797 AJ798 AJ821 AJ964 AJ965 AJ966 AJ973 AJ979 AJ980 AJ981 AJ990 AJ7:AJ77 AJ79:AJ110 AJ112:AJ115 AJ119:AJ124 AJ127:AJ191 AJ193:AJ230 AJ232:AJ236 AJ240:AJ245 AJ248:AJ334 AJ336:AJ375 AJ377:AJ384 AJ386:AJ391 AJ394:AJ480 AJ482:AJ519 AJ521:AJ529 AJ530:AJ533 AJ534:AJ539 AJ542:AJ627 AJ629:AJ662 AJ666:AJ674 AJ675:AJ678 AJ679:AJ684 AJ687:AJ767 AJ769:AJ795 AJ799:AJ807 AJ808:AJ813 AJ814:AJ820 AJ823:AJ912 AJ914:AJ963 AJ967:AJ972 AJ974:AJ978 AJ982:AJ989 AJ992:AJ1131">
      <formula1>"1,2,3,4,5,6,7,8,9,10,11,12,13,14,15"</formula1>
    </dataValidation>
    <dataValidation type="list" allowBlank="1" sqref="AL111 AL116 AL118 AL125 AL231 AL237 AL239 AL246 AL376 AL385 AL392 AL520 AL533 AL540 AL663 AL665 AL678 AL685 AL796 AL798 AL821 AL964 AL966 AL973 AL979 AL981 AL990 AL914:AL920">
      <formula1>"Level 0 20%,Level 1 20%,Level 2 20%,Level 3 20%,Level 0 50%"</formula1>
    </dataValidation>
    <dataValidation type="list" allowBlank="1" sqref="T117 T238 T664 T797 T965 T980 T7:T77 T79:T110 T112:T115 T119:T124 T127:T191 T193:T230 T232:T236 T240:T245 T248:T334 T336:T375 T377:T384 T386:T391 T394:T480 T482:T519 T521:T529 T534:T539 T542:T627 T629:T662 T666:T674 T679:T684 T687:T767 T769:T795 T799:T807 T815:T820 T823:T912 T921:T940 T944:T963 T967:T972 T974:T978 T982:T989 T992:T1131">
      <formula1>"10%,10% New,10% Plus,10% Plus New,10% Flat,15%,15% New,15% Plus,15% Flat,20%,20% Flat"</formula1>
    </dataValidation>
    <dataValidation type="list" allowBlank="1" sqref="Y117 Y238 Y664 Y797 Y965 Y980 Y7:Y77 Y79:Y110 Y112:Y115 Y119:Y124 Y127:Y191 Y193:Y230 Y232:Y236 Y240:Y245 Y248:Y334 Y336:Y375 Y377:Y384 Y386:Y391 Y394:Y480 Y482:Y519 Y521:Y529 Y534:Y539 Y542:Y627 Y629:Y662 Y666:Y674 Y679:Y684 Y687:Y767 Y769:Y795 Y799:Y809 Y812:Y820 Y823:Y912 Y914:Y963 Y967:Y972 Y974:Y978 Y982:Y989 Y992:Y1131">
      <formula1>"Off (0),No Limit,No limit + double rebuy,1 Reentry,2 Reentry,3 Reentry,4 Reentry,5 Reentry"</formula1>
    </dataValidation>
    <dataValidation type="list" allowBlank="1" sqref="AF117 AF238 AF664 AF797 AF965 AF980 AF7:AF77 AF79:AF110 AF112:AF115 AF119:AF124 AF127:AF191 AF193:AF230 AF232:AF236 AF240:AF245 AF248:AF334 AF336:AF375 AF377:AF384 AF386:AF391 AF394:AF480 AF482:AF519 AF521:AF529 AF534:AF539 AF542:AF627 AF629:AF662 AF666:AF674 AF679:AF684 AF687:AF767 AF769:AF795 AF799:AF807 AF814:AF820 AF823:AF912 AF914:AF963 AF967:AF972 AF974:AF978 AF982:AF989 AF992:AF1131">
      <formula1>"1.000,1.500,2.000,3.000,5.000,7.500,10.000,12.000,15.000,20.000,30.000,35.000,40.000,50.000,60.000,70.000,80.000,100.000"</formula1>
    </dataValidation>
    <dataValidation type="list" allowBlank="1" sqref="AL117 AL238 AE628 AL664 AL797 AL965 AL980 AL7:AL77 AL79:AL110 AL112:AL115 AL119:AL124 AL127:AL191 AL193:AL230 AL232:AL236 AL240:AL245 AL248:AL334 AL336:AL375 AL377:AL384 AL386:AL391 AL394:AL480 AL482:AL519 AL521:AL532 AL534:AL539 AL542:AL627 AL629:AL662 AL666:AL677 AL679:AL684 AL687:AL767 AL769:AL795 AL799:AL820 AL823:AL912 AL921:AL963 AL967:AL972 AL974:AL978 AL982:AL989 AL992:AL1131">
      <formula1>"Level 0 10%,Level 0 20%,Level 0 30%,Level 0 40%,Level 0 50%,Level 1 10%,Level 1 20%,Level 1 30%,Level 1 40%,Level 1 50%,Level 2 10%,Level 2 20%,Level 2 30%,Level 2 40%,Level 2 50%,Level 3 10%,Level 3 20%,Level 3 30%,Level 3 40%,Level 3 50%,Level 4 10%,Lev"&amp;"el 4 20%,Level 4 30%,Level 4 40%,Level 4 50%,Level 5 10%,Level 5 20%,Level 5 30%,Level 5 40%,Level 5 50%"</formula1>
    </dataValidation>
    <dataValidation type="list" allowBlank="1" showErrorMessage="1" sqref="AG628 AN7:AN77 AN79:AN124 AN127:AN191 AN193:AN236 AN238:AN245 AN248:AN334 AN336:AN392 AN394:AN480 AN482:AN539 AN542:AN627 AN629:AN684 AN687:AN820 AN823:AN978 AN980:AN990 AN992:AN1131">
      <formula1>"Off - ilimitado,1X,2X,3X,4X,5X,6X,7X,8X,9X,10X"</formula1>
    </dataValidation>
    <dataValidation type="list" allowBlank="1" sqref="AB7:AB77 AB79:AB125 AB127:AB191 AB193:AB246 AB248:AB334 AB336:AB392 AB394:AB480 AB482:AB540 AB542:AB627 AB629:AB685 AB687:AB767 AB769:AB821 AB823:AB912 AB914:AB990 AB992:AB1131">
      <formula1>"30 seg,3 min,5 min,8 min,10 min,12 min,15 min,18 min,20 min"</formula1>
    </dataValidation>
  </dataValidations>
  <pageMargins left="0.75" right="0.75" top="1" bottom="1" header="0.5" footer="0.5"/>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AA84F"/>
    <outlinePr summaryBelow="0" summaryRight="0"/>
  </sheetPr>
  <dimension ref="A1:S1123"/>
  <sheetViews>
    <sheetView showGridLines="0" tabSelected="1" workbookViewId="0">
      <pane xSplit="2" ySplit="5" topLeftCell="C576" activePane="bottomRight" state="frozen"/>
      <selection/>
      <selection pane="topRight"/>
      <selection pane="bottomLeft"/>
      <selection pane="bottomRight" activeCell="D11" sqref="D11"/>
    </sheetView>
  </sheetViews>
  <sheetFormatPr defaultColWidth="12.6285714285714" defaultRowHeight="15.75" customHeight="1"/>
  <cols>
    <col min="1" max="1" width="14.8761904761905" customWidth="1"/>
    <col min="2" max="2" width="8.24761904761905" customWidth="1"/>
    <col min="3" max="3" width="23.8761904761905" customWidth="1"/>
    <col min="4" max="4" width="11.5047619047619" customWidth="1"/>
    <col min="5" max="5" width="8.62857142857143" customWidth="1"/>
    <col min="6" max="6" width="18.3809523809524" customWidth="1"/>
    <col min="7" max="7" width="14" customWidth="1"/>
    <col min="8" max="8" width="9.87619047619048" customWidth="1"/>
    <col min="9" max="9" width="8.87619047619048" customWidth="1"/>
    <col min="10" max="10" width="7.24761904761905" customWidth="1"/>
    <col min="11" max="11" width="9.38095238095238" customWidth="1"/>
    <col min="12" max="12" width="8.62857142857143" customWidth="1"/>
    <col min="13" max="13" width="11.6285714285714" customWidth="1"/>
    <col min="14" max="16" width="7.13333333333333" customWidth="1"/>
    <col min="17" max="17" width="7" customWidth="1"/>
    <col min="18" max="18" width="9" customWidth="1"/>
    <col min="19" max="19" width="9.75238095238095" customWidth="1"/>
  </cols>
  <sheetData>
    <row r="1" ht="6" customHeight="1" spans="1:19">
      <c r="A1" s="1" t="s">
        <v>502</v>
      </c>
      <c r="B1" s="2"/>
      <c r="C1" s="3"/>
      <c r="D1" s="4"/>
      <c r="E1" s="5"/>
      <c r="F1" s="6"/>
      <c r="G1" s="7"/>
      <c r="H1" s="8"/>
      <c r="I1" s="8"/>
      <c r="J1" s="9"/>
      <c r="K1" s="10"/>
      <c r="L1" s="10"/>
      <c r="M1" s="10"/>
      <c r="N1" s="11"/>
      <c r="O1" s="11"/>
      <c r="P1" s="11"/>
      <c r="Q1" s="11"/>
      <c r="R1" s="12"/>
      <c r="S1" s="12"/>
    </row>
    <row r="2" ht="61.5" customHeight="1" spans="1:19">
      <c r="A2" s="13">
        <f>SUM(Q3:R3)</f>
        <v>556</v>
      </c>
      <c r="B2" s="14"/>
      <c r="C2" s="14" t="s">
        <v>503</v>
      </c>
      <c r="D2" s="15"/>
      <c r="E2" s="15"/>
      <c r="F2" s="15"/>
      <c r="G2" s="15"/>
      <c r="H2" s="15"/>
      <c r="I2" s="15"/>
      <c r="J2" s="15"/>
      <c r="K2" s="15"/>
      <c r="L2" s="15"/>
      <c r="M2" s="15"/>
      <c r="N2" s="15"/>
      <c r="O2" s="15"/>
      <c r="P2" s="15"/>
      <c r="Q2" s="15"/>
      <c r="R2" s="15"/>
      <c r="S2" s="15"/>
    </row>
    <row r="3" ht="27" customHeight="1" spans="1:19">
      <c r="A3" s="16">
        <v>5</v>
      </c>
      <c r="B3" s="17" t="s">
        <v>504</v>
      </c>
      <c r="C3" s="18" t="s">
        <v>21</v>
      </c>
      <c r="D3" s="18" t="s">
        <v>505</v>
      </c>
      <c r="E3" s="18" t="s">
        <v>506</v>
      </c>
      <c r="F3" s="19" t="s">
        <v>507</v>
      </c>
      <c r="G3" s="20" t="s">
        <v>508</v>
      </c>
      <c r="H3" s="20" t="s">
        <v>31</v>
      </c>
      <c r="I3" s="20" t="s">
        <v>32</v>
      </c>
      <c r="J3" s="20" t="s">
        <v>35</v>
      </c>
      <c r="K3" s="18" t="s">
        <v>509</v>
      </c>
      <c r="L3" s="18" t="s">
        <v>33</v>
      </c>
      <c r="M3" s="18" t="s">
        <v>36</v>
      </c>
      <c r="N3" s="21" t="s">
        <v>11</v>
      </c>
      <c r="P3" s="22"/>
      <c r="Q3" s="23">
        <f>COUNTIF($D1:$D997,"Main event")</f>
        <v>65</v>
      </c>
      <c r="R3" s="23">
        <f>COUNTIF($D1:$D997,"side event")</f>
        <v>491</v>
      </c>
      <c r="S3" s="23">
        <f>COUNTIF($D1:$D997,"sat")</f>
        <v>266</v>
      </c>
    </row>
    <row r="4" ht="27.75" customHeight="1" spans="1:19">
      <c r="A4" s="24" t="s">
        <v>12</v>
      </c>
      <c r="B4" s="25" t="s">
        <v>510</v>
      </c>
      <c r="C4" s="22"/>
      <c r="D4" s="22"/>
      <c r="E4" s="22"/>
      <c r="F4" s="22"/>
      <c r="G4" s="22"/>
      <c r="H4" s="22"/>
      <c r="I4" s="22"/>
      <c r="J4" s="22"/>
      <c r="K4" s="22"/>
      <c r="L4" s="22"/>
      <c r="M4" s="22"/>
      <c r="N4" s="26" t="s">
        <v>42</v>
      </c>
      <c r="O4" s="26" t="s">
        <v>43</v>
      </c>
      <c r="P4" s="26" t="s">
        <v>44</v>
      </c>
      <c r="Q4" s="18" t="s">
        <v>45</v>
      </c>
      <c r="R4" s="27" t="s">
        <v>511</v>
      </c>
      <c r="S4" s="28" t="s">
        <v>52</v>
      </c>
    </row>
    <row r="5" ht="6.75" customHeight="1" spans="1:19">
      <c r="A5" s="15"/>
      <c r="B5" s="29"/>
      <c r="C5" s="30"/>
      <c r="D5" s="28"/>
      <c r="E5" s="28"/>
      <c r="F5" s="31"/>
      <c r="G5" s="32"/>
      <c r="H5" s="32"/>
      <c r="I5" s="32"/>
      <c r="J5" s="32"/>
      <c r="K5" s="28"/>
      <c r="L5" s="28"/>
      <c r="M5" s="28"/>
      <c r="N5" s="28"/>
      <c r="O5" s="28"/>
      <c r="P5" s="28"/>
      <c r="Q5" s="28"/>
      <c r="R5" s="28"/>
      <c r="S5" s="28"/>
    </row>
    <row r="6" ht="21.75" customHeight="1" spans="1:19">
      <c r="A6" s="33" t="s">
        <v>512</v>
      </c>
      <c r="B6" s="15"/>
      <c r="C6" s="34" t="s">
        <v>512</v>
      </c>
      <c r="G6" s="15"/>
      <c r="H6" s="35" t="s">
        <v>512</v>
      </c>
      <c r="Q6" s="15"/>
      <c r="R6" s="33"/>
      <c r="S6" s="24"/>
    </row>
    <row r="7" ht="29.25" customHeight="1" outlineLevel="1" spans="1:19">
      <c r="A7" s="33" t="s">
        <v>512</v>
      </c>
      <c r="B7" s="36">
        <f>'G MTTS'!B7</f>
        <v>0.583344907407407</v>
      </c>
      <c r="C7" s="37" t="str">
        <f>'G MTTS'!J7</f>
        <v>#AS 25K WarmUp</v>
      </c>
      <c r="D7" s="38" t="str">
        <f>'G MTTS'!M7</f>
        <v>Main Event</v>
      </c>
      <c r="E7" s="39" t="str">
        <f>'G MTTS'!N7</f>
        <v>NLH</v>
      </c>
      <c r="F7" s="40" t="str">
        <f>'G MTTS'!O7</f>
        <v>Progressive KO 1/3</v>
      </c>
      <c r="G7" s="41">
        <f>IF('G MTTS'!Q7=0," ",'G MTTS'!Q7*$A$3)</f>
        <v>25000</v>
      </c>
      <c r="H7" s="42">
        <f>IF('G MTTS'!V7=0," ",'G MTTS'!V7*$A$3)</f>
        <v>110</v>
      </c>
      <c r="I7" s="42">
        <f>IF('G MTTS'!W7=0," ",'G MTTS'!W7*$A$3)</f>
        <v>110</v>
      </c>
      <c r="J7" s="42" t="str">
        <f>IF('G MTTS'!Z7=0," ",'G MTTS'!Z7*$A$3)</f>
        <v> </v>
      </c>
      <c r="K7" s="43">
        <f>'G MTTS'!AF7</f>
        <v>50000</v>
      </c>
      <c r="L7" s="43">
        <f>'G MTTS'!X7</f>
        <v>0</v>
      </c>
      <c r="M7" s="43" t="str">
        <f>'G MTTS'!AA7</f>
        <v>REENTRY</v>
      </c>
      <c r="N7" s="44">
        <f>'G MTTS'!AG7</f>
        <v>12</v>
      </c>
      <c r="O7" s="44">
        <f>'G MTTS'!AH7</f>
        <v>10</v>
      </c>
      <c r="P7" s="44">
        <f>'G MTTS'!AI7</f>
        <v>10</v>
      </c>
      <c r="Q7" s="45">
        <f>'G MTTS'!AJ7</f>
        <v>15</v>
      </c>
      <c r="R7" s="46">
        <f t="shared" ref="R7:R77" si="0">IF(B7=0," ",TIME(,ROUNDDOWN(N7*Q7/60,0)*5+(N7*Q7),)+B7)</f>
        <v>0.718761574074074</v>
      </c>
      <c r="S7" s="47" t="str">
        <f t="shared" ref="S7:S16" si="1">IFERROR(IF(H7=0," ",IF(H7&lt;=25,"MICRO",IF(H7&lt;=99,"LOW",IF(H7&lt;=499,"MEDIUM",IF(H7&lt;=2500,"HIGH",IF(H7&gt;2500,"SUPER HIGH",)))))),"")</f>
        <v>MEDIUM</v>
      </c>
    </row>
    <row r="8" ht="29.25" customHeight="1" outlineLevel="1" spans="1:19">
      <c r="A8" s="33" t="s">
        <v>71</v>
      </c>
      <c r="B8" s="36">
        <f>'G MTTS'!B8</f>
        <v>0.625011574074074</v>
      </c>
      <c r="C8" s="48" t="str">
        <f>'G MTTS'!J8</f>
        <v>#AS 25K Plus+SPS</v>
      </c>
      <c r="D8" s="49" t="str">
        <f>'G MTTS'!M8</f>
        <v>Main Event</v>
      </c>
      <c r="E8" s="50" t="str">
        <f>'G MTTS'!N8</f>
        <v>NLH</v>
      </c>
      <c r="F8" s="51" t="str">
        <f>'G MTTS'!O8</f>
        <v>OFF</v>
      </c>
      <c r="G8" s="52">
        <f>IF('G MTTS'!Q8=0," ",'G MTTS'!Q8*$A$3)</f>
        <v>26000</v>
      </c>
      <c r="H8" s="53">
        <f>IF('G MTTS'!V8=0," ",'G MTTS'!V8*$A$3)</f>
        <v>55</v>
      </c>
      <c r="I8" s="53">
        <f>IF('G MTTS'!W8=0," ",'G MTTS'!W8*$A$3)</f>
        <v>55</v>
      </c>
      <c r="J8" s="53">
        <f>IF('G MTTS'!Z8=0," ",'G MTTS'!Z8*$A$3)</f>
        <v>55</v>
      </c>
      <c r="K8" s="54">
        <f>'G MTTS'!AF8</f>
        <v>40000</v>
      </c>
      <c r="L8" s="54">
        <f>'G MTTS'!X8</f>
        <v>0</v>
      </c>
      <c r="M8" s="54">
        <f>'G MTTS'!AA8</f>
        <v>120000</v>
      </c>
      <c r="N8" s="55">
        <f>'G MTTS'!AG8</f>
        <v>10</v>
      </c>
      <c r="O8" s="55">
        <f>'G MTTS'!AH8</f>
        <v>10</v>
      </c>
      <c r="P8" s="55">
        <f>'G MTTS'!AI8</f>
        <v>10</v>
      </c>
      <c r="Q8" s="56">
        <f>'G MTTS'!AJ8</f>
        <v>15</v>
      </c>
      <c r="R8" s="46">
        <f t="shared" si="0"/>
        <v>0.736122685185185</v>
      </c>
      <c r="S8" s="47" t="str">
        <f t="shared" si="1"/>
        <v>LOW</v>
      </c>
    </row>
    <row r="9" ht="29.25" customHeight="1" outlineLevel="1" spans="1:19">
      <c r="A9" s="33">
        <f>COUNTIF(D7:D77,"Side event")</f>
        <v>60</v>
      </c>
      <c r="B9" s="36">
        <f>'G MTTS'!B9</f>
        <v>0.666678240740741</v>
      </c>
      <c r="C9" s="37" t="str">
        <f>'G MTTS'!J9</f>
        <v>#AS 20K Bounty</v>
      </c>
      <c r="D9" s="38" t="str">
        <f>'G MTTS'!M9</f>
        <v>Main Event</v>
      </c>
      <c r="E9" s="39" t="str">
        <f>'G MTTS'!N9</f>
        <v>NLH</v>
      </c>
      <c r="F9" s="40" t="str">
        <f>'G MTTS'!O9</f>
        <v>Progressive KO 1/2</v>
      </c>
      <c r="G9" s="41">
        <f>IF('G MTTS'!Q9=0," ",'G MTTS'!Q9*$A$3)</f>
        <v>20000</v>
      </c>
      <c r="H9" s="42">
        <f>IF('G MTTS'!V9=0," ",'G MTTS'!V9*$A$3)</f>
        <v>80</v>
      </c>
      <c r="I9" s="42">
        <f>IF('G MTTS'!W9=0," ",'G MTTS'!W9*$A$3)</f>
        <v>80</v>
      </c>
      <c r="J9" s="42" t="str">
        <f>IF('G MTTS'!Z9=0," ",'G MTTS'!Z9*$A$3)</f>
        <v> </v>
      </c>
      <c r="K9" s="43">
        <f>'G MTTS'!AF9</f>
        <v>50000</v>
      </c>
      <c r="L9" s="43">
        <f>'G MTTS'!X9</f>
        <v>60000</v>
      </c>
      <c r="M9" s="43" t="str">
        <f>'G MTTS'!AA9</f>
        <v>REENTRY</v>
      </c>
      <c r="N9" s="44">
        <f>'G MTTS'!AG9</f>
        <v>12</v>
      </c>
      <c r="O9" s="44">
        <f>'G MTTS'!AH9</f>
        <v>10</v>
      </c>
      <c r="P9" s="44">
        <f>'G MTTS'!AI9</f>
        <v>10</v>
      </c>
      <c r="Q9" s="45">
        <f>'G MTTS'!AJ9</f>
        <v>15</v>
      </c>
      <c r="R9" s="46">
        <f t="shared" si="0"/>
        <v>0.802094907407407</v>
      </c>
      <c r="S9" s="47" t="str">
        <f t="shared" si="1"/>
        <v>LOW</v>
      </c>
    </row>
    <row r="10" ht="29.25" customHeight="1" outlineLevel="1" spans="1:19">
      <c r="A10" s="33" t="s">
        <v>56</v>
      </c>
      <c r="B10" s="36">
        <f>'G MTTS'!B10</f>
        <v>0.750011574074074</v>
      </c>
      <c r="C10" s="48" t="str">
        <f>'G MTTS'!J10</f>
        <v>#AS 75K Big Plus+SPS</v>
      </c>
      <c r="D10" s="49" t="str">
        <f>'G MTTS'!M10</f>
        <v>Main Event</v>
      </c>
      <c r="E10" s="50" t="str">
        <f>'G MTTS'!N10</f>
        <v>NLH</v>
      </c>
      <c r="F10" s="51" t="str">
        <f>'G MTTS'!O10</f>
        <v>OFF</v>
      </c>
      <c r="G10" s="52">
        <f>IF('G MTTS'!Q10=0," ",'G MTTS'!Q10*$A$3)</f>
        <v>76000</v>
      </c>
      <c r="H10" s="53">
        <f>IF('G MTTS'!V10=0," ",'G MTTS'!V10*$A$3)</f>
        <v>75</v>
      </c>
      <c r="I10" s="53">
        <f>IF('G MTTS'!W10=0," ",'G MTTS'!W10*$A$3)</f>
        <v>75</v>
      </c>
      <c r="J10" s="53">
        <f>IF('G MTTS'!Z10=0," ",'G MTTS'!Z10*$A$3)</f>
        <v>75</v>
      </c>
      <c r="K10" s="54">
        <f>'G MTTS'!AF10</f>
        <v>40000</v>
      </c>
      <c r="L10" s="54">
        <f>'G MTTS'!X10</f>
        <v>0</v>
      </c>
      <c r="M10" s="54">
        <f>'G MTTS'!AA10</f>
        <v>120000</v>
      </c>
      <c r="N10" s="55">
        <f>'G MTTS'!AG10</f>
        <v>12</v>
      </c>
      <c r="O10" s="55">
        <f>'G MTTS'!AH10</f>
        <v>10</v>
      </c>
      <c r="P10" s="55">
        <f>'G MTTS'!AI10</f>
        <v>10</v>
      </c>
      <c r="Q10" s="56">
        <f>'G MTTS'!AJ10</f>
        <v>15</v>
      </c>
      <c r="R10" s="46">
        <f t="shared" si="0"/>
        <v>0.885428240740741</v>
      </c>
      <c r="S10" s="47" t="str">
        <f t="shared" si="1"/>
        <v>LOW</v>
      </c>
    </row>
    <row r="11" ht="29.25" customHeight="1" outlineLevel="1" spans="1:19">
      <c r="A11" s="33">
        <f>COUNTIF(D7:D77,"Main Event")</f>
        <v>10</v>
      </c>
      <c r="B11" s="36">
        <f>'G MTTS'!B11</f>
        <v>0.750011574074074</v>
      </c>
      <c r="C11" s="37" t="str">
        <f>'G MTTS'!J11</f>
        <v>#AS 100K Plus+SPT</v>
      </c>
      <c r="D11" s="38" t="str">
        <f>'G MTTS'!M11</f>
        <v>Main Event</v>
      </c>
      <c r="E11" s="39" t="str">
        <f>'G MTTS'!N11</f>
        <v>NLH</v>
      </c>
      <c r="F11" s="40" t="str">
        <f>'G MTTS'!O11</f>
        <v>OFF</v>
      </c>
      <c r="G11" s="41">
        <f>IF('G MTTS'!Q11=0," ",'G MTTS'!Q11*$A$3)</f>
        <v>108500</v>
      </c>
      <c r="H11" s="42">
        <f>IF('G MTTS'!V11=0," ",'G MTTS'!V11*$A$3)</f>
        <v>25</v>
      </c>
      <c r="I11" s="42">
        <f>IF('G MTTS'!W11=0," ",'G MTTS'!W11*$A$3)</f>
        <v>25</v>
      </c>
      <c r="J11" s="42">
        <f>IF('G MTTS'!Z11=0," ",'G MTTS'!Z11*$A$3)</f>
        <v>30</v>
      </c>
      <c r="K11" s="43">
        <f>'G MTTS'!AF11</f>
        <v>50000</v>
      </c>
      <c r="L11" s="43">
        <f>'G MTTS'!X11</f>
        <v>0</v>
      </c>
      <c r="M11" s="43">
        <f>'G MTTS'!AA11</f>
        <v>250000</v>
      </c>
      <c r="N11" s="44">
        <f>'G MTTS'!AG11</f>
        <v>10</v>
      </c>
      <c r="O11" s="44">
        <f>'G MTTS'!AH11</f>
        <v>8</v>
      </c>
      <c r="P11" s="44">
        <f>'G MTTS'!AI11</f>
        <v>10</v>
      </c>
      <c r="Q11" s="45">
        <f>'G MTTS'!AJ11</f>
        <v>15</v>
      </c>
      <c r="R11" s="46">
        <f t="shared" si="0"/>
        <v>0.861122685185185</v>
      </c>
      <c r="S11" s="47" t="str">
        <f t="shared" si="1"/>
        <v>MICRO</v>
      </c>
    </row>
    <row r="12" ht="29.25" customHeight="1" outlineLevel="1" spans="1:19">
      <c r="A12" s="57" t="s">
        <v>513</v>
      </c>
      <c r="B12" s="36">
        <f>'G MTTS'!B12</f>
        <v>0.770844907407407</v>
      </c>
      <c r="C12" s="48" t="str">
        <f>'G MTTS'!J12</f>
        <v>#AS 100K Battle+SPS</v>
      </c>
      <c r="D12" s="49" t="str">
        <f>'G MTTS'!M12</f>
        <v>Main Event</v>
      </c>
      <c r="E12" s="50" t="str">
        <f>'G MTTS'!N12</f>
        <v>NLH</v>
      </c>
      <c r="F12" s="51" t="str">
        <f>'G MTTS'!O12</f>
        <v>Progressive KO 1/2</v>
      </c>
      <c r="G12" s="52">
        <f>IF('G MTTS'!Q12=0," ",'G MTTS'!Q12*$A$3)</f>
        <v>101000</v>
      </c>
      <c r="H12" s="53">
        <f>IF('G MTTS'!V12=0," ",'G MTTS'!V12*$A$3)</f>
        <v>75</v>
      </c>
      <c r="I12" s="53">
        <f>IF('G MTTS'!W12=0," ",'G MTTS'!W12*$A$3)</f>
        <v>75</v>
      </c>
      <c r="J12" s="53" t="str">
        <f>IF('G MTTS'!Z12=0," ",'G MTTS'!Z12*$A$3)</f>
        <v> </v>
      </c>
      <c r="K12" s="54">
        <f>'G MTTS'!AF12</f>
        <v>80000</v>
      </c>
      <c r="L12" s="54">
        <f>'G MTTS'!X12</f>
        <v>0</v>
      </c>
      <c r="M12" s="54" t="str">
        <f>'G MTTS'!AA12</f>
        <v>REENTRY</v>
      </c>
      <c r="N12" s="55">
        <f>'G MTTS'!AG12</f>
        <v>12</v>
      </c>
      <c r="O12" s="55">
        <f>'G MTTS'!AH12</f>
        <v>10</v>
      </c>
      <c r="P12" s="55">
        <f>'G MTTS'!AI12</f>
        <v>10</v>
      </c>
      <c r="Q12" s="56">
        <f>'G MTTS'!AJ12</f>
        <v>15</v>
      </c>
      <c r="R12" s="46">
        <f t="shared" si="0"/>
        <v>0.906261574074074</v>
      </c>
      <c r="S12" s="47" t="str">
        <f t="shared" si="1"/>
        <v>LOW</v>
      </c>
    </row>
    <row r="13" ht="29.25" customHeight="1" outlineLevel="1" spans="1:19">
      <c r="A13" s="58">
        <f>SUM(G7:G77,G80:G126)</f>
        <v>1256475</v>
      </c>
      <c r="B13" s="36">
        <f>'G MTTS'!B13</f>
        <v>0.791678240740741</v>
      </c>
      <c r="C13" s="37" t="str">
        <f>'G MTTS'!J13</f>
        <v>#AS 300K Monday HighS</v>
      </c>
      <c r="D13" s="38" t="str">
        <f>'G MTTS'!M13</f>
        <v>Main Event</v>
      </c>
      <c r="E13" s="39" t="str">
        <f>'G MTTS'!N13</f>
        <v>NLH</v>
      </c>
      <c r="F13" s="40" t="str">
        <f>'G MTTS'!O13</f>
        <v>Progressive KO 1/2</v>
      </c>
      <c r="G13" s="41">
        <f>IF('G MTTS'!Q13=0," ",'G MTTS'!Q13*$A$3)</f>
        <v>300000</v>
      </c>
      <c r="H13" s="42">
        <f>IF('G MTTS'!V13=0," ",'G MTTS'!V13*$A$3)</f>
        <v>750</v>
      </c>
      <c r="I13" s="42">
        <f>IF('G MTTS'!W13=0," ",'G MTTS'!W13*$A$3)</f>
        <v>750</v>
      </c>
      <c r="J13" s="42" t="str">
        <f>IF('G MTTS'!Z13=0," ",'G MTTS'!Z13*$A$3)</f>
        <v> </v>
      </c>
      <c r="K13" s="43">
        <f>'G MTTS'!AF13</f>
        <v>50000</v>
      </c>
      <c r="L13" s="43">
        <f>'G MTTS'!X13</f>
        <v>60000</v>
      </c>
      <c r="M13" s="43" t="str">
        <f>'G MTTS'!AA13</f>
        <v>REENTRY</v>
      </c>
      <c r="N13" s="44">
        <f>'G MTTS'!AG13</f>
        <v>15</v>
      </c>
      <c r="O13" s="44">
        <f>'G MTTS'!AH13</f>
        <v>12</v>
      </c>
      <c r="P13" s="44">
        <f>'G MTTS'!AI13</f>
        <v>12</v>
      </c>
      <c r="Q13" s="45">
        <f>'G MTTS'!AJ13</f>
        <v>14</v>
      </c>
      <c r="R13" s="46">
        <f t="shared" si="0"/>
        <v>0.947928240740741</v>
      </c>
      <c r="S13" s="47" t="str">
        <f t="shared" si="1"/>
        <v>HIGH</v>
      </c>
    </row>
    <row r="14" ht="29.25" customHeight="1" outlineLevel="1" spans="1:19">
      <c r="A14" s="59"/>
      <c r="B14" s="36">
        <f>'G MTTS'!B14</f>
        <v>0.791678240740741</v>
      </c>
      <c r="C14" s="48" t="str">
        <f>'G MTTS'!J14</f>
        <v>#AS 150K Battle HR+SPS</v>
      </c>
      <c r="D14" s="49" t="str">
        <f>'G MTTS'!M14</f>
        <v>Main Event</v>
      </c>
      <c r="E14" s="50" t="str">
        <f>'G MTTS'!N14</f>
        <v>NLH</v>
      </c>
      <c r="F14" s="51" t="str">
        <f>'G MTTS'!O14</f>
        <v>Progressive KO 1/2</v>
      </c>
      <c r="G14" s="52">
        <f>IF('G MTTS'!Q14=0," ",'G MTTS'!Q14*$A$3)</f>
        <v>151500</v>
      </c>
      <c r="H14" s="53">
        <f>IF('G MTTS'!V14=0," ",'G MTTS'!V14*$A$3)</f>
        <v>250</v>
      </c>
      <c r="I14" s="53">
        <f>IF('G MTTS'!W14=0," ",'G MTTS'!W14*$A$3)</f>
        <v>250</v>
      </c>
      <c r="J14" s="53" t="str">
        <f>IF('G MTTS'!Z14=0," ",'G MTTS'!Z14*$A$3)</f>
        <v> </v>
      </c>
      <c r="K14" s="54">
        <f>'G MTTS'!AF14</f>
        <v>50000</v>
      </c>
      <c r="L14" s="54">
        <f>'G MTTS'!X14</f>
        <v>60000</v>
      </c>
      <c r="M14" s="54" t="str">
        <f>'G MTTS'!AA14</f>
        <v>REENTRY</v>
      </c>
      <c r="N14" s="55">
        <f>'G MTTS'!AG14</f>
        <v>12</v>
      </c>
      <c r="O14" s="55">
        <f>'G MTTS'!AH14</f>
        <v>12</v>
      </c>
      <c r="P14" s="55">
        <f>'G MTTS'!AI14</f>
        <v>12</v>
      </c>
      <c r="Q14" s="56">
        <f>'G MTTS'!AJ14</f>
        <v>15</v>
      </c>
      <c r="R14" s="46">
        <f t="shared" si="0"/>
        <v>0.927094907407407</v>
      </c>
      <c r="S14" s="47" t="str">
        <f t="shared" si="1"/>
        <v>MEDIUM</v>
      </c>
    </row>
    <row r="15" ht="29.25" customHeight="1" outlineLevel="1" spans="1:19">
      <c r="A15" s="60" t="s">
        <v>512</v>
      </c>
      <c r="B15" s="61">
        <f>'G MTTS'!B15</f>
        <v>0.833344907407407</v>
      </c>
      <c r="C15" s="37" t="str">
        <f>'G MTTS'!J15</f>
        <v>#AS 60K OmaX HR</v>
      </c>
      <c r="D15" s="38" t="str">
        <f>'G MTTS'!M15</f>
        <v>Main Event</v>
      </c>
      <c r="E15" s="39" t="str">
        <f>'G MTTS'!N15</f>
        <v>PLO5</v>
      </c>
      <c r="F15" s="40" t="str">
        <f>'G MTTS'!O15</f>
        <v>Progressive KO 1/2</v>
      </c>
      <c r="G15" s="41">
        <f>IF('G MTTS'!Q15=0," ",'G MTTS'!Q15*$A$3)</f>
        <v>60000</v>
      </c>
      <c r="H15" s="42">
        <f>IF('G MTTS'!V15=0," ",'G MTTS'!V15*$A$3)</f>
        <v>550</v>
      </c>
      <c r="I15" s="42">
        <f>IF('G MTTS'!W15=0," ",'G MTTS'!W15*$A$3)</f>
        <v>550</v>
      </c>
      <c r="J15" s="42" t="str">
        <f>IF('G MTTS'!Z15=0," ",'G MTTS'!Z15*$A$3)</f>
        <v> </v>
      </c>
      <c r="K15" s="43">
        <f>'G MTTS'!AF15</f>
        <v>50000</v>
      </c>
      <c r="L15" s="43">
        <f>'G MTTS'!X15</f>
        <v>60000</v>
      </c>
      <c r="M15" s="43" t="str">
        <f>'G MTTS'!AA15</f>
        <v>REENTRY</v>
      </c>
      <c r="N15" s="44">
        <f>'G MTTS'!AG15</f>
        <v>12</v>
      </c>
      <c r="O15" s="44">
        <f>'G MTTS'!AH15</f>
        <v>12</v>
      </c>
      <c r="P15" s="44">
        <f>'G MTTS'!AI15</f>
        <v>12</v>
      </c>
      <c r="Q15" s="45">
        <f>'G MTTS'!AJ15</f>
        <v>15</v>
      </c>
      <c r="R15" s="46">
        <f t="shared" si="0"/>
        <v>0.968761574074074</v>
      </c>
      <c r="S15" s="47" t="str">
        <f t="shared" si="1"/>
        <v>HIGH</v>
      </c>
    </row>
    <row r="16" ht="29.25" customHeight="1" outlineLevel="1" spans="1:19">
      <c r="B16" s="61">
        <f>'G MTTS'!B16</f>
        <v>0.833344907407407</v>
      </c>
      <c r="C16" s="48" t="str">
        <f>'G MTTS'!J16</f>
        <v>#AS 50K Big Mystery+SPS</v>
      </c>
      <c r="D16" s="49" t="str">
        <f>'G MTTS'!M16</f>
        <v>Main Event</v>
      </c>
      <c r="E16" s="50" t="str">
        <f>'G MTTS'!N16</f>
        <v>NLH</v>
      </c>
      <c r="F16" s="51" t="str">
        <f>'G MTTS'!O16</f>
        <v>Mystery Bounty 1/2</v>
      </c>
      <c r="G16" s="52">
        <f>IF('G MTTS'!Q16=0," ",'G MTTS'!Q16*$A$3)</f>
        <v>51000</v>
      </c>
      <c r="H16" s="53">
        <f>IF('G MTTS'!V16=0," ",'G MTTS'!V16*$A$3)</f>
        <v>110</v>
      </c>
      <c r="I16" s="53">
        <f>IF('G MTTS'!W16=0," ",'G MTTS'!W16*$A$3)</f>
        <v>110</v>
      </c>
      <c r="J16" s="53" t="str">
        <f>IF('G MTTS'!Z16=0," ",'G MTTS'!Z16*$A$3)</f>
        <v> </v>
      </c>
      <c r="K16" s="54">
        <f>'G MTTS'!AF16</f>
        <v>60000</v>
      </c>
      <c r="L16" s="54">
        <f>'G MTTS'!X16</f>
        <v>0</v>
      </c>
      <c r="M16" s="54" t="str">
        <f>'G MTTS'!AA16</f>
        <v>REENTRY</v>
      </c>
      <c r="N16" s="55">
        <f>'G MTTS'!AG16</f>
        <v>10</v>
      </c>
      <c r="O16" s="55">
        <f>'G MTTS'!AH16</f>
        <v>10</v>
      </c>
      <c r="P16" s="55">
        <f>'G MTTS'!AI16</f>
        <v>10</v>
      </c>
      <c r="Q16" s="56">
        <f>'G MTTS'!AJ16</f>
        <v>14</v>
      </c>
      <c r="R16" s="46">
        <f t="shared" si="0"/>
        <v>0.937511574074074</v>
      </c>
      <c r="S16" s="47" t="str">
        <f t="shared" si="1"/>
        <v>MEDIUM</v>
      </c>
    </row>
    <row r="17" ht="29.25" customHeight="1" outlineLevel="1" spans="1:19">
      <c r="B17" s="62">
        <f>'G MTTS'!B17</f>
        <v>0</v>
      </c>
      <c r="C17" s="63">
        <f>'G MTTS'!J17</f>
        <v>0</v>
      </c>
      <c r="D17" s="64">
        <f>'G MTTS'!M17</f>
        <v>0</v>
      </c>
      <c r="E17" s="65">
        <f>'G MTTS'!N17</f>
        <v>0</v>
      </c>
      <c r="F17" s="66">
        <f>'G MTTS'!O17</f>
        <v>0</v>
      </c>
      <c r="G17" s="67" t="str">
        <f>IF('G MTTS'!Q17=0," ",'G MTTS'!Q17*5)</f>
        <v> </v>
      </c>
      <c r="H17" s="68" t="str">
        <f>IF('G MTTS'!V17=0," ",'G MTTS'!V17*5)</f>
        <v> </v>
      </c>
      <c r="I17" s="68" t="str">
        <f>IF('G MTTS'!W17=0," ",'G MTTS'!W17*5)</f>
        <v> </v>
      </c>
      <c r="J17" s="68"/>
      <c r="K17" s="69">
        <f>'G MTTS'!AF17</f>
        <v>0</v>
      </c>
      <c r="L17" s="69">
        <f>'G MTTS'!X17</f>
        <v>0</v>
      </c>
      <c r="M17" s="69">
        <f>'G MTTS'!AA17</f>
        <v>0</v>
      </c>
      <c r="N17" s="70">
        <f>'G MTTS'!AG17</f>
        <v>0</v>
      </c>
      <c r="O17" s="70">
        <f>'G MTTS'!AH17</f>
        <v>0</v>
      </c>
      <c r="P17" s="70">
        <f>'G MTTS'!AI17</f>
        <v>0</v>
      </c>
      <c r="Q17" s="71">
        <f>'G MTTS'!AJ17</f>
        <v>0</v>
      </c>
      <c r="R17" s="46" t="str">
        <f t="shared" si="0"/>
        <v> </v>
      </c>
      <c r="S17" s="47"/>
    </row>
    <row r="18" ht="29.25" customHeight="1" outlineLevel="1" spans="1:19">
      <c r="A18" s="60" t="s">
        <v>512</v>
      </c>
      <c r="B18" s="36">
        <f>'G MTTS'!B18</f>
        <v>1.15740740740741e-5</v>
      </c>
      <c r="C18" s="48" t="str">
        <f>'G MTTS'!J18</f>
        <v>#AS 6K Sonic+SPS</v>
      </c>
      <c r="D18" s="49" t="str">
        <f>'G MTTS'!M18</f>
        <v>Side Event</v>
      </c>
      <c r="E18" s="50" t="str">
        <f>'G MTTS'!N18</f>
        <v>NLH</v>
      </c>
      <c r="F18" s="51" t="str">
        <f>'G MTTS'!O18</f>
        <v>OFF</v>
      </c>
      <c r="G18" s="52">
        <f>IF('G MTTS'!Q18=0," ",'G MTTS'!Q18*$A$3)</f>
        <v>7000</v>
      </c>
      <c r="H18" s="53">
        <f>IF('G MTTS'!V18=0," ",'G MTTS'!V18*$A$3)</f>
        <v>35</v>
      </c>
      <c r="I18" s="53">
        <f>IF('G MTTS'!W18=0," ",'G MTTS'!W18*$A$3)</f>
        <v>35</v>
      </c>
      <c r="J18" s="53" t="str">
        <f>IF('G MTTS'!Z18=0," ",'G MTTS'!Z18*$A$3)</f>
        <v> </v>
      </c>
      <c r="K18" s="54">
        <f>'G MTTS'!AF18</f>
        <v>50000</v>
      </c>
      <c r="L18" s="54">
        <f>'G MTTS'!X18</f>
        <v>0</v>
      </c>
      <c r="M18" s="54" t="str">
        <f>'G MTTS'!AA18</f>
        <v>REENTRY</v>
      </c>
      <c r="N18" s="55">
        <f>'G MTTS'!AG18</f>
        <v>6</v>
      </c>
      <c r="O18" s="55">
        <f>'G MTTS'!AH18</f>
        <v>5</v>
      </c>
      <c r="P18" s="55">
        <f>'G MTTS'!AI18</f>
        <v>5</v>
      </c>
      <c r="Q18" s="56">
        <f>'G MTTS'!AJ18</f>
        <v>13</v>
      </c>
      <c r="R18" s="46">
        <f t="shared" si="0"/>
        <v>0.057650462962963</v>
      </c>
      <c r="S18" s="47" t="str">
        <f t="shared" ref="S18:S80" si="2">IFERROR(IF(H18=0," ",IF(H18&lt;=25,"MICRO",IF(H18&lt;=99,"LOW",IF(H18&lt;=499,"MEDIUM",IF(H18&lt;=2500,"HIGH",IF(H18&gt;2500,"SUPER HIGH",)))))),"")</f>
        <v>LOW</v>
      </c>
    </row>
    <row r="19" ht="29.25" customHeight="1" outlineLevel="1" spans="1:19">
      <c r="B19" s="36">
        <f>'G MTTS'!B19</f>
        <v>1.15740740740741e-5</v>
      </c>
      <c r="C19" s="37" t="str">
        <f>'G MTTS'!J19</f>
        <v>1.2K Omax K.O</v>
      </c>
      <c r="D19" s="38" t="str">
        <f>'G MTTS'!M19</f>
        <v>Side Event</v>
      </c>
      <c r="E19" s="39" t="str">
        <f>'G MTTS'!N19</f>
        <v>PLO5</v>
      </c>
      <c r="F19" s="40" t="str">
        <f>'G MTTS'!O19</f>
        <v>Regular KO 1/3</v>
      </c>
      <c r="G19" s="41">
        <f>IF('G MTTS'!Q19=0," ",'G MTTS'!Q19*$A$3)</f>
        <v>1200</v>
      </c>
      <c r="H19" s="42">
        <f>IF('G MTTS'!V19=0," ",'G MTTS'!V19*$A$3)</f>
        <v>10</v>
      </c>
      <c r="I19" s="42">
        <f>IF('G MTTS'!W19=0," ",'G MTTS'!W19*$A$3)</f>
        <v>10</v>
      </c>
      <c r="J19" s="42" t="str">
        <f>IF('G MTTS'!Z19=0," ",'G MTTS'!Z19*$A$3)</f>
        <v> </v>
      </c>
      <c r="K19" s="43">
        <f>'G MTTS'!AF19</f>
        <v>60000</v>
      </c>
      <c r="L19" s="43">
        <f>'G MTTS'!X19</f>
        <v>0</v>
      </c>
      <c r="M19" s="43" t="str">
        <f>'G MTTS'!AA19</f>
        <v>REENTRY</v>
      </c>
      <c r="N19" s="44">
        <f>'G MTTS'!AG19</f>
        <v>6</v>
      </c>
      <c r="O19" s="44">
        <f>'G MTTS'!AH19</f>
        <v>5</v>
      </c>
      <c r="P19" s="44">
        <f>'G MTTS'!AI19</f>
        <v>5</v>
      </c>
      <c r="Q19" s="45">
        <f>'G MTTS'!AJ19</f>
        <v>12</v>
      </c>
      <c r="R19" s="46">
        <f t="shared" si="0"/>
        <v>0.0534837962962963</v>
      </c>
      <c r="S19" s="47" t="str">
        <f t="shared" si="2"/>
        <v>MICRO</v>
      </c>
    </row>
    <row r="20" ht="29.25" customHeight="1" outlineLevel="1" spans="1:19">
      <c r="B20" s="36">
        <f>'G MTTS'!B20</f>
        <v>0.013900462962963</v>
      </c>
      <c r="C20" s="48" t="str">
        <f>'G MTTS'!J20</f>
        <v>600 Battle Turbo</v>
      </c>
      <c r="D20" s="49" t="str">
        <f>'G MTTS'!M20</f>
        <v>Side Event</v>
      </c>
      <c r="E20" s="50" t="str">
        <f>'G MTTS'!N20</f>
        <v>NLH</v>
      </c>
      <c r="F20" s="51" t="str">
        <f>'G MTTS'!O20</f>
        <v>Regular KO 1/3</v>
      </c>
      <c r="G20" s="52">
        <f>IF('G MTTS'!Q20=0," ",'G MTTS'!Q20*$A$3)</f>
        <v>600</v>
      </c>
      <c r="H20" s="53">
        <f>IF('G MTTS'!V20=0," ",'G MTTS'!V20*$A$3)</f>
        <v>5</v>
      </c>
      <c r="I20" s="53">
        <f>IF('G MTTS'!W20=0," ",'G MTTS'!W20*$A$3)</f>
        <v>5</v>
      </c>
      <c r="J20" s="53" t="str">
        <f>IF('G MTTS'!Z20=0," ",'G MTTS'!Z20*$A$3)</f>
        <v> </v>
      </c>
      <c r="K20" s="54">
        <f>'G MTTS'!AF20</f>
        <v>15000</v>
      </c>
      <c r="L20" s="54">
        <f>'G MTTS'!X20</f>
        <v>0</v>
      </c>
      <c r="M20" s="54" t="str">
        <f>'G MTTS'!AA20</f>
        <v>REENTRY</v>
      </c>
      <c r="N20" s="55">
        <f>'G MTTS'!AG20</f>
        <v>6</v>
      </c>
      <c r="O20" s="55">
        <f>'G MTTS'!AH20</f>
        <v>5</v>
      </c>
      <c r="P20" s="55">
        <f>'G MTTS'!AI20</f>
        <v>5</v>
      </c>
      <c r="Q20" s="56">
        <f>'G MTTS'!AJ20</f>
        <v>13</v>
      </c>
      <c r="R20" s="46">
        <f t="shared" si="0"/>
        <v>0.0715393518518519</v>
      </c>
      <c r="S20" s="47" t="str">
        <f t="shared" si="2"/>
        <v>MICRO</v>
      </c>
    </row>
    <row r="21" ht="29.25" customHeight="1" outlineLevel="1" spans="1:19">
      <c r="A21" s="60" t="s">
        <v>512</v>
      </c>
      <c r="B21" s="36">
        <f>'G MTTS'!B21</f>
        <v>0.0208449074074074</v>
      </c>
      <c r="C21" s="37" t="str">
        <f>'G MTTS'!J21</f>
        <v>750 Plus</v>
      </c>
      <c r="D21" s="38" t="str">
        <f>'G MTTS'!M21</f>
        <v>Side Event</v>
      </c>
      <c r="E21" s="39" t="str">
        <f>'G MTTS'!N21</f>
        <v>NLH</v>
      </c>
      <c r="F21" s="40" t="str">
        <f>'G MTTS'!O21</f>
        <v>OFF</v>
      </c>
      <c r="G21" s="41">
        <f>IF('G MTTS'!Q21=0," ",'G MTTS'!Q21*$A$3)</f>
        <v>750</v>
      </c>
      <c r="H21" s="42">
        <f>IF('G MTTS'!V21=0," ",'G MTTS'!V21*$A$3)</f>
        <v>2</v>
      </c>
      <c r="I21" s="42">
        <f>IF('G MTTS'!W21=0," ",'G MTTS'!W21*$A$3)</f>
        <v>2</v>
      </c>
      <c r="J21" s="42">
        <f>IF('G MTTS'!Z21=0," ",'G MTTS'!Z21*$A$3)</f>
        <v>2</v>
      </c>
      <c r="K21" s="43">
        <f>'G MTTS'!AF21</f>
        <v>30000</v>
      </c>
      <c r="L21" s="43">
        <f>'G MTTS'!X21</f>
        <v>0</v>
      </c>
      <c r="M21" s="43">
        <f>'G MTTS'!AA21</f>
        <v>50000</v>
      </c>
      <c r="N21" s="44">
        <f>'G MTTS'!AG21</f>
        <v>5</v>
      </c>
      <c r="O21" s="44">
        <f>'G MTTS'!AH21</f>
        <v>5</v>
      </c>
      <c r="P21" s="44">
        <f>'G MTTS'!AI21</f>
        <v>5</v>
      </c>
      <c r="Q21" s="45">
        <f>'G MTTS'!AJ21</f>
        <v>13</v>
      </c>
      <c r="R21" s="46">
        <f t="shared" si="0"/>
        <v>0.0694560185185185</v>
      </c>
      <c r="S21" s="47" t="str">
        <f t="shared" si="2"/>
        <v>MICRO</v>
      </c>
    </row>
    <row r="22" ht="29.25" customHeight="1" outlineLevel="1" spans="1:19">
      <c r="B22" s="36">
        <f>'G MTTS'!B22</f>
        <v>0.0208449074074074</v>
      </c>
      <c r="C22" s="48" t="str">
        <f>'G MTTS'!J22</f>
        <v>#AS 1.2K Omax</v>
      </c>
      <c r="D22" s="49" t="str">
        <f>'G MTTS'!M22</f>
        <v>Side Event</v>
      </c>
      <c r="E22" s="50" t="str">
        <f>'G MTTS'!N22</f>
        <v>PLO5</v>
      </c>
      <c r="F22" s="51" t="str">
        <f>'G MTTS'!O22</f>
        <v>OFF</v>
      </c>
      <c r="G22" s="52">
        <f>IF('G MTTS'!Q22=0," ",'G MTTS'!Q22*$A$3)</f>
        <v>1200</v>
      </c>
      <c r="H22" s="53">
        <f>IF('G MTTS'!V22=0," ",'G MTTS'!V22*$A$3)</f>
        <v>5</v>
      </c>
      <c r="I22" s="53">
        <f>IF('G MTTS'!W22=0," ",'G MTTS'!W22*$A$3)</f>
        <v>5</v>
      </c>
      <c r="J22" s="53">
        <f>IF('G MTTS'!Z22=0," ",'G MTTS'!Z22*$A$3)</f>
        <v>5</v>
      </c>
      <c r="K22" s="54">
        <f>'G MTTS'!AF22</f>
        <v>30000</v>
      </c>
      <c r="L22" s="54">
        <f>'G MTTS'!X22</f>
        <v>0</v>
      </c>
      <c r="M22" s="54">
        <f>'G MTTS'!AA22</f>
        <v>70000</v>
      </c>
      <c r="N22" s="55">
        <f>'G MTTS'!AG22</f>
        <v>6</v>
      </c>
      <c r="O22" s="55">
        <f>'G MTTS'!AH22</f>
        <v>5</v>
      </c>
      <c r="P22" s="55">
        <f>'G MTTS'!AI22</f>
        <v>5</v>
      </c>
      <c r="Q22" s="56">
        <f>'G MTTS'!AJ22</f>
        <v>12</v>
      </c>
      <c r="R22" s="46">
        <f t="shared" si="0"/>
        <v>0.0743171296296296</v>
      </c>
      <c r="S22" s="47" t="str">
        <f t="shared" si="2"/>
        <v>MICRO</v>
      </c>
    </row>
    <row r="23" ht="29.25" customHeight="1" outlineLevel="1" spans="1:19">
      <c r="B23" s="36">
        <f>'G MTTS'!B23</f>
        <v>0.0416782407407407</v>
      </c>
      <c r="C23" s="37" t="str">
        <f>'G MTTS'!J23</f>
        <v>#AS 8K Plus</v>
      </c>
      <c r="D23" s="38" t="str">
        <f>'G MTTS'!M23</f>
        <v>Side Event</v>
      </c>
      <c r="E23" s="39" t="str">
        <f>'G MTTS'!N23</f>
        <v>NLH</v>
      </c>
      <c r="F23" s="40" t="str">
        <f>'G MTTS'!O23</f>
        <v>OFF</v>
      </c>
      <c r="G23" s="41">
        <f>IF('G MTTS'!Q23=0," ",'G MTTS'!Q23*$A$3)</f>
        <v>8000</v>
      </c>
      <c r="H23" s="42">
        <f>IF('G MTTS'!V23=0," ",'G MTTS'!V23*$A$3)</f>
        <v>15</v>
      </c>
      <c r="I23" s="42">
        <f>IF('G MTTS'!W23=0," ",'G MTTS'!W23*$A$3)</f>
        <v>15</v>
      </c>
      <c r="J23" s="42">
        <f>IF('G MTTS'!Z23=0," ",'G MTTS'!Z23*$A$3)</f>
        <v>15</v>
      </c>
      <c r="K23" s="43">
        <f>'G MTTS'!AF23</f>
        <v>40000</v>
      </c>
      <c r="L23" s="43">
        <f>'G MTTS'!X23</f>
        <v>0</v>
      </c>
      <c r="M23" s="43">
        <f>'G MTTS'!AA23</f>
        <v>160000</v>
      </c>
      <c r="N23" s="44">
        <f>'G MTTS'!AG23</f>
        <v>6</v>
      </c>
      <c r="O23" s="44">
        <f>'G MTTS'!AH23</f>
        <v>5</v>
      </c>
      <c r="P23" s="44">
        <f>'G MTTS'!AI23</f>
        <v>5</v>
      </c>
      <c r="Q23" s="45">
        <f>'G MTTS'!AJ23</f>
        <v>13</v>
      </c>
      <c r="R23" s="46">
        <f t="shared" si="0"/>
        <v>0.0993171296296296</v>
      </c>
      <c r="S23" s="47" t="str">
        <f t="shared" si="2"/>
        <v>MICRO</v>
      </c>
    </row>
    <row r="24" ht="29.25" customHeight="1" outlineLevel="1" spans="1:19">
      <c r="A24" s="60" t="s">
        <v>512</v>
      </c>
      <c r="B24" s="36">
        <f>'G MTTS'!B24</f>
        <v>0.0416782407407407</v>
      </c>
      <c r="C24" s="48" t="str">
        <f>'G MTTS'!J24</f>
        <v>#AS 2.5K Omax K.O</v>
      </c>
      <c r="D24" s="49" t="str">
        <f>'G MTTS'!M24</f>
        <v>Side Event</v>
      </c>
      <c r="E24" s="50" t="str">
        <f>'G MTTS'!N24</f>
        <v>PLO4</v>
      </c>
      <c r="F24" s="51" t="str">
        <f>'G MTTS'!O24</f>
        <v>Regular KO 1/3</v>
      </c>
      <c r="G24" s="52">
        <f>IF('G MTTS'!Q24=0," ",'G MTTS'!Q24*$A$3)</f>
        <v>2500</v>
      </c>
      <c r="H24" s="53">
        <f>IF('G MTTS'!V24=0," ",'G MTTS'!V24*$A$3)</f>
        <v>50</v>
      </c>
      <c r="I24" s="53">
        <f>IF('G MTTS'!W24=0," ",'G MTTS'!W24*$A$3)</f>
        <v>50</v>
      </c>
      <c r="J24" s="53" t="str">
        <f>IF('G MTTS'!Z24=0," ",'G MTTS'!Z24*$A$3)</f>
        <v> </v>
      </c>
      <c r="K24" s="54">
        <f>'G MTTS'!AF24</f>
        <v>50000</v>
      </c>
      <c r="L24" s="54">
        <f>'G MTTS'!X24</f>
        <v>0</v>
      </c>
      <c r="M24" s="54" t="str">
        <f>'G MTTS'!AA24</f>
        <v>REENTRY</v>
      </c>
      <c r="N24" s="55">
        <f>'G MTTS'!AG24</f>
        <v>6</v>
      </c>
      <c r="O24" s="55">
        <f>'G MTTS'!AH24</f>
        <v>5</v>
      </c>
      <c r="P24" s="55">
        <f>'G MTTS'!AI24</f>
        <v>5</v>
      </c>
      <c r="Q24" s="56">
        <f>'G MTTS'!AJ24</f>
        <v>15</v>
      </c>
      <c r="R24" s="46">
        <f t="shared" si="0"/>
        <v>0.107650462962963</v>
      </c>
      <c r="S24" s="47" t="str">
        <f t="shared" si="2"/>
        <v>LOW</v>
      </c>
    </row>
    <row r="25" ht="29.25" customHeight="1" outlineLevel="1" spans="1:19">
      <c r="B25" s="36">
        <f>'G MTTS'!B25</f>
        <v>0.0625115740740741</v>
      </c>
      <c r="C25" s="37" t="str">
        <f>'G MTTS'!J25</f>
        <v>500 Omax PKO</v>
      </c>
      <c r="D25" s="38" t="str">
        <f>'G MTTS'!M25</f>
        <v>Side Event</v>
      </c>
      <c r="E25" s="39" t="str">
        <f>'G MTTS'!N25</f>
        <v>PLO5</v>
      </c>
      <c r="F25" s="40" t="str">
        <f>'G MTTS'!O25</f>
        <v>Progressive KO 1/2</v>
      </c>
      <c r="G25" s="41">
        <f>IF('G MTTS'!Q25=0," ",'G MTTS'!Q25*$A$3)</f>
        <v>500</v>
      </c>
      <c r="H25" s="42">
        <f>IF('G MTTS'!V25=0," ",'G MTTS'!V25*$A$3)</f>
        <v>3</v>
      </c>
      <c r="I25" s="42">
        <f>IF('G MTTS'!W25=0," ",'G MTTS'!W25*$A$3)</f>
        <v>3</v>
      </c>
      <c r="J25" s="42" t="str">
        <f>IF('G MTTS'!Z25=0," ",'G MTTS'!Z25*$A$3)</f>
        <v> </v>
      </c>
      <c r="K25" s="43">
        <f>'G MTTS'!AF25</f>
        <v>30000</v>
      </c>
      <c r="L25" s="43">
        <f>'G MTTS'!X25</f>
        <v>0</v>
      </c>
      <c r="M25" s="43" t="str">
        <f>'G MTTS'!AA25</f>
        <v>REENTRY</v>
      </c>
      <c r="N25" s="44">
        <f>'G MTTS'!AG25</f>
        <v>5</v>
      </c>
      <c r="O25" s="44">
        <f>'G MTTS'!AH25</f>
        <v>5</v>
      </c>
      <c r="P25" s="44">
        <f>'G MTTS'!AI25</f>
        <v>5</v>
      </c>
      <c r="Q25" s="45">
        <f>'G MTTS'!AJ25</f>
        <v>13</v>
      </c>
      <c r="R25" s="46">
        <f t="shared" si="0"/>
        <v>0.111122685185185</v>
      </c>
      <c r="S25" s="47" t="str">
        <f t="shared" si="2"/>
        <v>MICRO</v>
      </c>
    </row>
    <row r="26" ht="29.25" customHeight="1" outlineLevel="1" spans="1:19">
      <c r="B26" s="36">
        <f>'G MTTS'!B26</f>
        <v>0.0833449074074074</v>
      </c>
      <c r="C26" s="48" t="str">
        <f>'G MTTS'!J26</f>
        <v>#AS 5K Battle</v>
      </c>
      <c r="D26" s="49" t="str">
        <f>'G MTTS'!M26</f>
        <v>Side Event</v>
      </c>
      <c r="E26" s="50" t="str">
        <f>'G MTTS'!N26</f>
        <v>NLH</v>
      </c>
      <c r="F26" s="51" t="str">
        <f>'G MTTS'!O26</f>
        <v>Progressive KO 1/2</v>
      </c>
      <c r="G26" s="52">
        <f>IF('G MTTS'!Q26=0," ",'G MTTS'!Q26*$A$3)</f>
        <v>5000</v>
      </c>
      <c r="H26" s="53">
        <f>IF('G MTTS'!V26=0," ",'G MTTS'!V26*$A$3)</f>
        <v>35</v>
      </c>
      <c r="I26" s="53">
        <f>IF('G MTTS'!W26=0," ",'G MTTS'!W26*$A$3)</f>
        <v>35</v>
      </c>
      <c r="J26" s="53" t="str">
        <f>IF('G MTTS'!Z26=0," ",'G MTTS'!Z26*$A$3)</f>
        <v> </v>
      </c>
      <c r="K26" s="54">
        <f>'G MTTS'!AF26</f>
        <v>40000</v>
      </c>
      <c r="L26" s="54">
        <f>'G MTTS'!X26</f>
        <v>0</v>
      </c>
      <c r="M26" s="54" t="str">
        <f>'G MTTS'!AA26</f>
        <v>REENTRY</v>
      </c>
      <c r="N26" s="55">
        <f>'G MTTS'!AG26</f>
        <v>6</v>
      </c>
      <c r="O26" s="55">
        <f>'G MTTS'!AH26</f>
        <v>5</v>
      </c>
      <c r="P26" s="55">
        <f>'G MTTS'!AI26</f>
        <v>5</v>
      </c>
      <c r="Q26" s="56">
        <f>'G MTTS'!AJ26</f>
        <v>13</v>
      </c>
      <c r="R26" s="46">
        <f t="shared" si="0"/>
        <v>0.140983796296296</v>
      </c>
      <c r="S26" s="47" t="str">
        <f t="shared" si="2"/>
        <v>LOW</v>
      </c>
    </row>
    <row r="27" ht="29.25" customHeight="1" outlineLevel="1" spans="1:19">
      <c r="A27" s="60" t="s">
        <v>512</v>
      </c>
      <c r="B27" s="36">
        <f>'G MTTS'!B27</f>
        <v>0.104178240740741</v>
      </c>
      <c r="C27" s="37" t="str">
        <f>'G MTTS'!J27</f>
        <v>1.2K Plus</v>
      </c>
      <c r="D27" s="38" t="str">
        <f>'G MTTS'!M27</f>
        <v>Side Event</v>
      </c>
      <c r="E27" s="39" t="str">
        <f>'G MTTS'!N27</f>
        <v>NLH</v>
      </c>
      <c r="F27" s="40" t="str">
        <f>'G MTTS'!O27</f>
        <v>OFF</v>
      </c>
      <c r="G27" s="41">
        <f>IF('G MTTS'!Q27=0," ",'G MTTS'!Q27*$A$3)</f>
        <v>1200</v>
      </c>
      <c r="H27" s="42">
        <f>IF('G MTTS'!V27=0," ",'G MTTS'!V27*$A$3)</f>
        <v>3</v>
      </c>
      <c r="I27" s="42">
        <f>IF('G MTTS'!W27=0," ",'G MTTS'!W27*$A$3)</f>
        <v>3</v>
      </c>
      <c r="J27" s="42">
        <f>IF('G MTTS'!Z27=0," ",'G MTTS'!Z27*$A$3)</f>
        <v>4</v>
      </c>
      <c r="K27" s="43">
        <f>'G MTTS'!AF27</f>
        <v>50000</v>
      </c>
      <c r="L27" s="43">
        <f>'G MTTS'!X27</f>
        <v>0</v>
      </c>
      <c r="M27" s="43">
        <f>'G MTTS'!AA27</f>
        <v>100000</v>
      </c>
      <c r="N27" s="44">
        <f>'G MTTS'!AG27</f>
        <v>5</v>
      </c>
      <c r="O27" s="44">
        <f>'G MTTS'!AH27</f>
        <v>5</v>
      </c>
      <c r="P27" s="44">
        <f>'G MTTS'!AI27</f>
        <v>5</v>
      </c>
      <c r="Q27" s="45">
        <f>'G MTTS'!AJ27</f>
        <v>13</v>
      </c>
      <c r="R27" s="46">
        <f t="shared" si="0"/>
        <v>0.152789351851852</v>
      </c>
      <c r="S27" s="47" t="str">
        <f t="shared" si="2"/>
        <v>MICRO</v>
      </c>
    </row>
    <row r="28" ht="29.25" customHeight="1" outlineLevel="1" spans="1:19">
      <c r="B28" s="36">
        <f>'G MTTS'!B28</f>
        <v>0.131956018518519</v>
      </c>
      <c r="C28" s="48" t="str">
        <f>'G MTTS'!J28</f>
        <v>800 Omax</v>
      </c>
      <c r="D28" s="49" t="str">
        <f>'G MTTS'!M28</f>
        <v>Side Event</v>
      </c>
      <c r="E28" s="50" t="str">
        <f>'G MTTS'!N28</f>
        <v>PLO5</v>
      </c>
      <c r="F28" s="51" t="str">
        <f>'G MTTS'!O28</f>
        <v>OFF</v>
      </c>
      <c r="G28" s="52">
        <f>IF('G MTTS'!Q28=0," ",'G MTTS'!Q28*$A$3)</f>
        <v>800</v>
      </c>
      <c r="H28" s="53">
        <f>IF('G MTTS'!V28=0," ",'G MTTS'!V28*$A$3)</f>
        <v>10</v>
      </c>
      <c r="I28" s="53">
        <f>IF('G MTTS'!W28=0," ",'G MTTS'!W28*$A$3)</f>
        <v>10</v>
      </c>
      <c r="J28" s="53">
        <f>IF('G MTTS'!Z28=0," ",'G MTTS'!Z28*$A$3)</f>
        <v>10</v>
      </c>
      <c r="K28" s="54">
        <f>'G MTTS'!AF28</f>
        <v>30000</v>
      </c>
      <c r="L28" s="54">
        <f>'G MTTS'!X28</f>
        <v>0</v>
      </c>
      <c r="M28" s="54">
        <f>'G MTTS'!AA28</f>
        <v>75000</v>
      </c>
      <c r="N28" s="55">
        <f>'G MTTS'!AG28</f>
        <v>5</v>
      </c>
      <c r="O28" s="55">
        <f>'G MTTS'!AH28</f>
        <v>5</v>
      </c>
      <c r="P28" s="55">
        <f>'G MTTS'!AI28</f>
        <v>5</v>
      </c>
      <c r="Q28" s="56">
        <f>'G MTTS'!AJ28</f>
        <v>12</v>
      </c>
      <c r="R28" s="46">
        <f t="shared" si="0"/>
        <v>0.177094907407407</v>
      </c>
      <c r="S28" s="47" t="str">
        <f t="shared" si="2"/>
        <v>MICRO</v>
      </c>
    </row>
    <row r="29" ht="29.25" customHeight="1" outlineLevel="1" spans="1:19">
      <c r="B29" s="36">
        <f>'G MTTS'!B29</f>
        <v>0.131956018518519</v>
      </c>
      <c r="C29" s="37" t="str">
        <f>'G MTTS'!J29</f>
        <v>#AS 1.25K Battle</v>
      </c>
      <c r="D29" s="38" t="str">
        <f>'G MTTS'!M29</f>
        <v>Side Event</v>
      </c>
      <c r="E29" s="39" t="str">
        <f>'G MTTS'!N29</f>
        <v>NLH</v>
      </c>
      <c r="F29" s="40" t="str">
        <f>'G MTTS'!O29</f>
        <v>Progressive KO 1/2</v>
      </c>
      <c r="G29" s="41">
        <f>IF('G MTTS'!Q29=0," ",'G MTTS'!Q29*$A$3)</f>
        <v>1250</v>
      </c>
      <c r="H29" s="42">
        <f>IF('G MTTS'!V29=0," ",'G MTTS'!V29*$A$3)</f>
        <v>25</v>
      </c>
      <c r="I29" s="42">
        <f>IF('G MTTS'!W29=0," ",'G MTTS'!W29*$A$3)</f>
        <v>25</v>
      </c>
      <c r="J29" s="42" t="str">
        <f>IF('G MTTS'!Z29=0," ",'G MTTS'!Z29*$A$3)</f>
        <v> </v>
      </c>
      <c r="K29" s="43">
        <f>'G MTTS'!AF29</f>
        <v>30000</v>
      </c>
      <c r="L29" s="43">
        <f>'G MTTS'!X29</f>
        <v>0</v>
      </c>
      <c r="M29" s="43" t="str">
        <f>'G MTTS'!AA29</f>
        <v>REENTRY</v>
      </c>
      <c r="N29" s="44">
        <f>'G MTTS'!AG29</f>
        <v>5</v>
      </c>
      <c r="O29" s="44">
        <f>'G MTTS'!AH29</f>
        <v>5</v>
      </c>
      <c r="P29" s="44">
        <f>'G MTTS'!AI29</f>
        <v>5</v>
      </c>
      <c r="Q29" s="45">
        <f>'G MTTS'!AJ29</f>
        <v>12</v>
      </c>
      <c r="R29" s="46">
        <f t="shared" si="0"/>
        <v>0.177094907407407</v>
      </c>
      <c r="S29" s="47" t="str">
        <f t="shared" si="2"/>
        <v>MICRO</v>
      </c>
    </row>
    <row r="30" ht="29.25" customHeight="1" outlineLevel="1" spans="1:19">
      <c r="A30" s="60" t="s">
        <v>512</v>
      </c>
      <c r="B30" s="36">
        <f>'G MTTS'!B30</f>
        <v>0.173622685185185</v>
      </c>
      <c r="C30" s="48" t="str">
        <f>'G MTTS'!J30</f>
        <v>#AS 1.25K Plus</v>
      </c>
      <c r="D30" s="49" t="str">
        <f>'G MTTS'!M30</f>
        <v>Side Event</v>
      </c>
      <c r="E30" s="50" t="str">
        <f>'G MTTS'!N30</f>
        <v>NLH</v>
      </c>
      <c r="F30" s="51" t="str">
        <f>'G MTTS'!O30</f>
        <v>OFF</v>
      </c>
      <c r="G30" s="52">
        <f>IF('G MTTS'!Q30=0," ",'G MTTS'!Q30*$A$3)</f>
        <v>1250</v>
      </c>
      <c r="H30" s="53">
        <f>IF('G MTTS'!V30=0," ",'G MTTS'!V30*$A$3)</f>
        <v>10</v>
      </c>
      <c r="I30" s="53">
        <f>IF('G MTTS'!W30=0," ",'G MTTS'!W30*$A$3)</f>
        <v>10</v>
      </c>
      <c r="J30" s="53">
        <f>IF('G MTTS'!Z30=0," ",'G MTTS'!Z30*$A$3)</f>
        <v>10</v>
      </c>
      <c r="K30" s="54">
        <f>'G MTTS'!AF30</f>
        <v>30000</v>
      </c>
      <c r="L30" s="54">
        <f>'G MTTS'!X30</f>
        <v>0</v>
      </c>
      <c r="M30" s="54">
        <f>'G MTTS'!AA30</f>
        <v>75000</v>
      </c>
      <c r="N30" s="55">
        <f>'G MTTS'!AG30</f>
        <v>5</v>
      </c>
      <c r="O30" s="55">
        <f>'G MTTS'!AH30</f>
        <v>5</v>
      </c>
      <c r="P30" s="55">
        <f>'G MTTS'!AI30</f>
        <v>5</v>
      </c>
      <c r="Q30" s="56">
        <f>'G MTTS'!AJ30</f>
        <v>12</v>
      </c>
      <c r="R30" s="46">
        <f t="shared" si="0"/>
        <v>0.218761574074074</v>
      </c>
      <c r="S30" s="47" t="str">
        <f t="shared" si="2"/>
        <v>MICRO</v>
      </c>
    </row>
    <row r="31" ht="29.25" customHeight="1" outlineLevel="1" spans="1:19">
      <c r="B31" s="36">
        <f>'G MTTS'!B31</f>
        <v>0.208344907407407</v>
      </c>
      <c r="C31" s="72" t="str">
        <f>'G MTTS'!J31</f>
        <v>500 Bounty</v>
      </c>
      <c r="D31" s="73" t="str">
        <f>'G MTTS'!M31</f>
        <v>Side Event</v>
      </c>
      <c r="E31" s="74" t="str">
        <f>'G MTTS'!N31</f>
        <v>NLH</v>
      </c>
      <c r="F31" s="75" t="str">
        <f>'G MTTS'!O31</f>
        <v>Progressive KO 1/3</v>
      </c>
      <c r="G31" s="76">
        <f>IF('G MTTS'!Q31=0," ",'G MTTS'!Q31*$A$3)</f>
        <v>500</v>
      </c>
      <c r="H31" s="77">
        <f>IF('G MTTS'!V31=0," ",'G MTTS'!V31*$A$3)</f>
        <v>8</v>
      </c>
      <c r="I31" s="77">
        <f>IF('G MTTS'!W31=0," ",'G MTTS'!W31*$A$3)</f>
        <v>8</v>
      </c>
      <c r="J31" s="77" t="str">
        <f>IF('G MTTS'!Z31=0," ",'G MTTS'!Z31*$A$3)</f>
        <v> </v>
      </c>
      <c r="K31" s="78">
        <f>'G MTTS'!AF31</f>
        <v>40000</v>
      </c>
      <c r="L31" s="78">
        <f>'G MTTS'!X31</f>
        <v>0</v>
      </c>
      <c r="M31" s="78" t="str">
        <f>'G MTTS'!AA31</f>
        <v>REENTRY</v>
      </c>
      <c r="N31" s="79">
        <f>'G MTTS'!AG31</f>
        <v>8</v>
      </c>
      <c r="O31" s="79">
        <f>'G MTTS'!AH31</f>
        <v>7</v>
      </c>
      <c r="P31" s="79">
        <f>'G MTTS'!AI31</f>
        <v>7</v>
      </c>
      <c r="Q31" s="80">
        <f>'G MTTS'!AJ31</f>
        <v>14</v>
      </c>
      <c r="R31" s="46">
        <f t="shared" si="0"/>
        <v>0.289594907407407</v>
      </c>
      <c r="S31" s="47" t="str">
        <f t="shared" si="2"/>
        <v>MICRO</v>
      </c>
    </row>
    <row r="32" ht="29.25" customHeight="1" outlineLevel="1" spans="1:19">
      <c r="B32" s="36">
        <f>'G MTTS'!B32</f>
        <v>0.215289351851852</v>
      </c>
      <c r="C32" s="48" t="str">
        <f>'G MTTS'!J32</f>
        <v>1K Plus</v>
      </c>
      <c r="D32" s="49" t="str">
        <f>'G MTTS'!M32</f>
        <v>Side Event</v>
      </c>
      <c r="E32" s="50" t="str">
        <f>'G MTTS'!N32</f>
        <v>NLH</v>
      </c>
      <c r="F32" s="51" t="str">
        <f>'G MTTS'!O32</f>
        <v>OFF</v>
      </c>
      <c r="G32" s="52">
        <f>IF('G MTTS'!Q32=0," ",'G MTTS'!Q32*$A$3)</f>
        <v>1000</v>
      </c>
      <c r="H32" s="53">
        <f>IF('G MTTS'!V32=0," ",'G MTTS'!V32*$A$3)</f>
        <v>10</v>
      </c>
      <c r="I32" s="53" t="e">
        <f>IF('G MTTS'!W32=0," ",'G MTTS'!W32*$A$3)</f>
        <v>#VALUE!</v>
      </c>
      <c r="J32" s="53">
        <f>IF('G MTTS'!Z32=0," ",'G MTTS'!Z32*$A$3)</f>
        <v>10</v>
      </c>
      <c r="K32" s="54">
        <f>'G MTTS'!AF32</f>
        <v>40000</v>
      </c>
      <c r="L32" s="54">
        <f>'G MTTS'!X32</f>
        <v>0</v>
      </c>
      <c r="M32" s="54">
        <f>'G MTTS'!AA32</f>
        <v>80000</v>
      </c>
      <c r="N32" s="55">
        <f>'G MTTS'!AG32</f>
        <v>6</v>
      </c>
      <c r="O32" s="55">
        <f>'G MTTS'!AH32</f>
        <v>6</v>
      </c>
      <c r="P32" s="55">
        <f>'G MTTS'!AI32</f>
        <v>6</v>
      </c>
      <c r="Q32" s="56">
        <f>'G MTTS'!AJ32</f>
        <v>13</v>
      </c>
      <c r="R32" s="46">
        <f t="shared" si="0"/>
        <v>0.272928240740741</v>
      </c>
      <c r="S32" s="47" t="str">
        <f t="shared" si="2"/>
        <v>MICRO</v>
      </c>
    </row>
    <row r="33" ht="29.25" customHeight="1" outlineLevel="1" spans="1:19">
      <c r="A33" s="60"/>
      <c r="B33" s="36">
        <f>'G MTTS'!B33</f>
        <v>0.256956018518519</v>
      </c>
      <c r="C33" s="72" t="str">
        <f>'G MTTS'!J33</f>
        <v>500 Plus</v>
      </c>
      <c r="D33" s="73" t="str">
        <f>'G MTTS'!M33</f>
        <v>Side Event</v>
      </c>
      <c r="E33" s="74" t="str">
        <f>'G MTTS'!N33</f>
        <v>NLH</v>
      </c>
      <c r="F33" s="75" t="str">
        <f>'G MTTS'!O33</f>
        <v>OFF</v>
      </c>
      <c r="G33" s="76">
        <f>IF('G MTTS'!Q33=0," ",'G MTTS'!Q33*$A$3)</f>
        <v>500</v>
      </c>
      <c r="H33" s="77">
        <f>IF('G MTTS'!V33=0," ",'G MTTS'!V33*$A$3)</f>
        <v>5</v>
      </c>
      <c r="I33" s="77">
        <f>IF('G MTTS'!W33=0," ",'G MTTS'!W33*$A$3)</f>
        <v>5</v>
      </c>
      <c r="J33" s="77">
        <f>IF('G MTTS'!Z33=0," ",'G MTTS'!Z33*$A$3)</f>
        <v>5</v>
      </c>
      <c r="K33" s="78">
        <f>'G MTTS'!AF33</f>
        <v>40000</v>
      </c>
      <c r="L33" s="78">
        <f>'G MTTS'!X33</f>
        <v>0</v>
      </c>
      <c r="M33" s="78">
        <f>'G MTTS'!AA33</f>
        <v>80000</v>
      </c>
      <c r="N33" s="79">
        <f>'G MTTS'!AG33</f>
        <v>6</v>
      </c>
      <c r="O33" s="79">
        <f>'G MTTS'!AH33</f>
        <v>6</v>
      </c>
      <c r="P33" s="79">
        <f>'G MTTS'!AI33</f>
        <v>6</v>
      </c>
      <c r="Q33" s="80">
        <f>'G MTTS'!AJ33</f>
        <v>13</v>
      </c>
      <c r="R33" s="46">
        <f t="shared" si="0"/>
        <v>0.314594907407407</v>
      </c>
      <c r="S33" s="47" t="str">
        <f t="shared" si="2"/>
        <v>MICRO</v>
      </c>
    </row>
    <row r="34" ht="29.25" customHeight="1" outlineLevel="1" spans="1:19">
      <c r="B34" s="36">
        <f>'G MTTS'!B34</f>
        <v>0.298622685185185</v>
      </c>
      <c r="C34" s="48" t="str">
        <f>'G MTTS'!J34</f>
        <v>500 Omax</v>
      </c>
      <c r="D34" s="49" t="str">
        <f>'G MTTS'!M34</f>
        <v>Side Event</v>
      </c>
      <c r="E34" s="50" t="str">
        <f>'G MTTS'!N34</f>
        <v>PLO5</v>
      </c>
      <c r="F34" s="51" t="str">
        <f>'G MTTS'!O34</f>
        <v>OFF</v>
      </c>
      <c r="G34" s="52">
        <f>IF('G MTTS'!Q34=0," ",'G MTTS'!Q34*$A$3)</f>
        <v>500</v>
      </c>
      <c r="H34" s="53">
        <f>IF('G MTTS'!V34=0," ",'G MTTS'!V34*$A$3)</f>
        <v>5</v>
      </c>
      <c r="I34" s="53">
        <f>IF('G MTTS'!W34=0," ",'G MTTS'!W34*$A$3)</f>
        <v>5</v>
      </c>
      <c r="J34" s="53">
        <f>IF('G MTTS'!Z34=0," ",'G MTTS'!Z34*$A$3)</f>
        <v>5</v>
      </c>
      <c r="K34" s="54">
        <f>'G MTTS'!AF34</f>
        <v>30000</v>
      </c>
      <c r="L34" s="54">
        <f>'G MTTS'!X34</f>
        <v>0</v>
      </c>
      <c r="M34" s="54">
        <f>'G MTTS'!AA34</f>
        <v>75000</v>
      </c>
      <c r="N34" s="55">
        <f>'G MTTS'!AG34</f>
        <v>5</v>
      </c>
      <c r="O34" s="55">
        <f>'G MTTS'!AH34</f>
        <v>5</v>
      </c>
      <c r="P34" s="55">
        <f>'G MTTS'!AI34</f>
        <v>5</v>
      </c>
      <c r="Q34" s="56">
        <f>'G MTTS'!AJ34</f>
        <v>12</v>
      </c>
      <c r="R34" s="46">
        <f t="shared" si="0"/>
        <v>0.343761574074074</v>
      </c>
      <c r="S34" s="47" t="str">
        <f t="shared" si="2"/>
        <v>MICRO</v>
      </c>
    </row>
    <row r="35" ht="29.25" customHeight="1" outlineLevel="1" spans="1:19">
      <c r="A35" s="60"/>
      <c r="B35" s="36">
        <f>'G MTTS'!B35</f>
        <v>0.322928240740741</v>
      </c>
      <c r="C35" s="72" t="str">
        <f>'G MTTS'!J35</f>
        <v>#AS 1.5K Omax PKO</v>
      </c>
      <c r="D35" s="73" t="str">
        <f>'G MTTS'!M35</f>
        <v>Side Event</v>
      </c>
      <c r="E35" s="74" t="str">
        <f>'G MTTS'!N35</f>
        <v>PLO4</v>
      </c>
      <c r="F35" s="75" t="str">
        <f>'G MTTS'!O35</f>
        <v>Progressive KO 1/2</v>
      </c>
      <c r="G35" s="76">
        <f>IF('G MTTS'!Q35=0," ",'G MTTS'!Q35*$A$3)</f>
        <v>1500</v>
      </c>
      <c r="H35" s="77">
        <f>IF('G MTTS'!V35=0," ",'G MTTS'!V35*$A$3)</f>
        <v>15</v>
      </c>
      <c r="I35" s="77">
        <f>IF('G MTTS'!W35=0," ",'G MTTS'!W35*$A$3)</f>
        <v>15</v>
      </c>
      <c r="J35" s="77" t="str">
        <f>IF('G MTTS'!Z35=0," ",'G MTTS'!Z35*$A$3)</f>
        <v> </v>
      </c>
      <c r="K35" s="78">
        <f>'G MTTS'!AF35</f>
        <v>40000</v>
      </c>
      <c r="L35" s="78">
        <f>'G MTTS'!X35</f>
        <v>0</v>
      </c>
      <c r="M35" s="78" t="str">
        <f>'G MTTS'!AA35</f>
        <v>REENTRY</v>
      </c>
      <c r="N35" s="79">
        <f>'G MTTS'!AG35</f>
        <v>10</v>
      </c>
      <c r="O35" s="79">
        <f>'G MTTS'!AH35</f>
        <v>8</v>
      </c>
      <c r="P35" s="79">
        <f>'G MTTS'!AI35</f>
        <v>8</v>
      </c>
      <c r="Q35" s="80">
        <f>'G MTTS'!AJ35</f>
        <v>14</v>
      </c>
      <c r="R35" s="46">
        <f t="shared" si="0"/>
        <v>0.427094907407407</v>
      </c>
      <c r="S35" s="47" t="str">
        <f t="shared" si="2"/>
        <v>MICRO</v>
      </c>
    </row>
    <row r="36" ht="29.25" customHeight="1" outlineLevel="1" spans="1:19">
      <c r="B36" s="36">
        <f>'G MTTS'!B36</f>
        <v>0.333344907407407</v>
      </c>
      <c r="C36" s="48" t="str">
        <f>'G MTTS'!J36</f>
        <v>#AS 2.5K Plus</v>
      </c>
      <c r="D36" s="49" t="str">
        <f>'G MTTS'!M36</f>
        <v>Side Event</v>
      </c>
      <c r="E36" s="50" t="str">
        <f>'G MTTS'!N36</f>
        <v>NLH</v>
      </c>
      <c r="F36" s="51" t="str">
        <f>'G MTTS'!O36</f>
        <v>OFF</v>
      </c>
      <c r="G36" s="52">
        <f>IF('G MTTS'!Q36=0," ",'G MTTS'!Q36*$A$3)</f>
        <v>2500</v>
      </c>
      <c r="H36" s="53">
        <f>IF('G MTTS'!V36=0," ",'G MTTS'!V36*$A$3)</f>
        <v>5</v>
      </c>
      <c r="I36" s="53">
        <f>IF('G MTTS'!W36=0," ",'G MTTS'!W36*$A$3)</f>
        <v>5</v>
      </c>
      <c r="J36" s="53">
        <f>IF('G MTTS'!Z36=0," ",'G MTTS'!Z36*$A$3)</f>
        <v>5</v>
      </c>
      <c r="K36" s="54">
        <f>'G MTTS'!AF36</f>
        <v>40000</v>
      </c>
      <c r="L36" s="54">
        <f>'G MTTS'!X36</f>
        <v>0</v>
      </c>
      <c r="M36" s="54">
        <f>'G MTTS'!AA36</f>
        <v>120000</v>
      </c>
      <c r="N36" s="55">
        <f>'G MTTS'!AG36</f>
        <v>8</v>
      </c>
      <c r="O36" s="55">
        <f>'G MTTS'!AH36</f>
        <v>7</v>
      </c>
      <c r="P36" s="55">
        <f>'G MTTS'!AI36</f>
        <v>7</v>
      </c>
      <c r="Q36" s="56">
        <f>'G MTTS'!AJ36</f>
        <v>15</v>
      </c>
      <c r="R36" s="46">
        <f t="shared" si="0"/>
        <v>0.423622685185185</v>
      </c>
      <c r="S36" s="47" t="str">
        <f t="shared" si="2"/>
        <v>MICRO</v>
      </c>
    </row>
    <row r="37" ht="29.25" customHeight="1" outlineLevel="1" spans="1:19">
      <c r="A37" s="60" t="s">
        <v>512</v>
      </c>
      <c r="B37" s="36">
        <f>'G MTTS'!B37</f>
        <v>0.347233796296296</v>
      </c>
      <c r="C37" s="72" t="str">
        <f>'G MTTS'!J37</f>
        <v>300 Plus</v>
      </c>
      <c r="D37" s="73" t="str">
        <f>'G MTTS'!M37</f>
        <v>Side Event</v>
      </c>
      <c r="E37" s="74" t="str">
        <f>'G MTTS'!N37</f>
        <v>NLH</v>
      </c>
      <c r="F37" s="75" t="str">
        <f>'G MTTS'!O37</f>
        <v>OFF</v>
      </c>
      <c r="G37" s="76">
        <f>IF('G MTTS'!Q37=0," ",'G MTTS'!Q37*$A$3)</f>
        <v>300</v>
      </c>
      <c r="H37" s="77">
        <f>IF('G MTTS'!V37=0," ",'G MTTS'!V37*$A$3)</f>
        <v>1</v>
      </c>
      <c r="I37" s="77">
        <f>IF('G MTTS'!W37=0," ",'G MTTS'!W37*$A$3)</f>
        <v>1</v>
      </c>
      <c r="J37" s="77">
        <f>IF('G MTTS'!Z37=0," ",'G MTTS'!Z37*$A$3)</f>
        <v>1</v>
      </c>
      <c r="K37" s="78">
        <f>'G MTTS'!AF37</f>
        <v>20000</v>
      </c>
      <c r="L37" s="78">
        <f>'G MTTS'!X37</f>
        <v>0</v>
      </c>
      <c r="M37" s="78">
        <f>'G MTTS'!AA37</f>
        <v>50000</v>
      </c>
      <c r="N37" s="79">
        <f>'G MTTS'!AG37</f>
        <v>6</v>
      </c>
      <c r="O37" s="79">
        <f>'G MTTS'!AH37</f>
        <v>5</v>
      </c>
      <c r="P37" s="79">
        <f>'G MTTS'!AI37</f>
        <v>5</v>
      </c>
      <c r="Q37" s="80">
        <f>'G MTTS'!AJ37</f>
        <v>13</v>
      </c>
      <c r="R37" s="46">
        <f t="shared" si="0"/>
        <v>0.404872685185185</v>
      </c>
      <c r="S37" s="47" t="str">
        <f t="shared" si="2"/>
        <v>MICRO</v>
      </c>
    </row>
    <row r="38" ht="29.25" customHeight="1" outlineLevel="1" spans="1:19">
      <c r="B38" s="36">
        <f>'G MTTS'!B38</f>
        <v>0.375011574074074</v>
      </c>
      <c r="C38" s="48" t="str">
        <f>'G MTTS'!J38</f>
        <v>750 Bounty</v>
      </c>
      <c r="D38" s="49" t="str">
        <f>'G MTTS'!M38</f>
        <v>Side Event</v>
      </c>
      <c r="E38" s="50" t="str">
        <f>'G MTTS'!N38</f>
        <v>NLH</v>
      </c>
      <c r="F38" s="51" t="str">
        <f>'G MTTS'!O38</f>
        <v>Progressive KO 1/3</v>
      </c>
      <c r="G38" s="52">
        <f>IF('G MTTS'!Q38=0," ",'G MTTS'!Q38*$A$3)</f>
        <v>750</v>
      </c>
      <c r="H38" s="53">
        <f>IF('G MTTS'!V38=0," ",'G MTTS'!V38*$A$3)</f>
        <v>7.5</v>
      </c>
      <c r="I38" s="53">
        <f>IF('G MTTS'!W38=0," ",'G MTTS'!W38*$A$3)</f>
        <v>7.5</v>
      </c>
      <c r="J38" s="53" t="str">
        <f>IF('G MTTS'!Z38=0," ",'G MTTS'!Z38*$A$3)</f>
        <v> </v>
      </c>
      <c r="K38" s="54">
        <f>'G MTTS'!AF38</f>
        <v>50000</v>
      </c>
      <c r="L38" s="54">
        <f>'G MTTS'!X38</f>
        <v>60000</v>
      </c>
      <c r="M38" s="54" t="str">
        <f>'G MTTS'!AA38</f>
        <v>REENTRY</v>
      </c>
      <c r="N38" s="55">
        <f>'G MTTS'!AG38</f>
        <v>8</v>
      </c>
      <c r="O38" s="55">
        <f>'G MTTS'!AH38</f>
        <v>7</v>
      </c>
      <c r="P38" s="55">
        <f>'G MTTS'!AI38</f>
        <v>7</v>
      </c>
      <c r="Q38" s="56">
        <f>'G MTTS'!AJ38</f>
        <v>15</v>
      </c>
      <c r="R38" s="46">
        <f t="shared" si="0"/>
        <v>0.465289351851852</v>
      </c>
      <c r="S38" s="47" t="str">
        <f t="shared" si="2"/>
        <v>MICRO</v>
      </c>
    </row>
    <row r="39" ht="29.25" customHeight="1" outlineLevel="1" spans="1:19">
      <c r="B39" s="36">
        <f>'G MTTS'!B39</f>
        <v>0.375011574074074</v>
      </c>
      <c r="C39" s="72" t="str">
        <f>'G MTTS'!J39</f>
        <v>500 Omax</v>
      </c>
      <c r="D39" s="73" t="str">
        <f>'G MTTS'!M39</f>
        <v>Side Event</v>
      </c>
      <c r="E39" s="74" t="str">
        <f>'G MTTS'!N39</f>
        <v>PLO4</v>
      </c>
      <c r="F39" s="75" t="str">
        <f>'G MTTS'!O39</f>
        <v>OFF</v>
      </c>
      <c r="G39" s="76">
        <f>IF('G MTTS'!Q39=0," ",'G MTTS'!Q39*$A$3)</f>
        <v>500</v>
      </c>
      <c r="H39" s="77">
        <f>IF('G MTTS'!V39=0," ",'G MTTS'!V39*$A$3)</f>
        <v>5</v>
      </c>
      <c r="I39" s="77">
        <f>IF('G MTTS'!W39=0," ",'G MTTS'!W39*$A$3)</f>
        <v>5</v>
      </c>
      <c r="J39" s="77">
        <f>IF('G MTTS'!Z39=0," ",'G MTTS'!Z39*$A$3)</f>
        <v>5</v>
      </c>
      <c r="K39" s="78">
        <f>'G MTTS'!AF39</f>
        <v>40000</v>
      </c>
      <c r="L39" s="78">
        <f>'G MTTS'!X39</f>
        <v>0</v>
      </c>
      <c r="M39" s="78">
        <f>'G MTTS'!AA39</f>
        <v>80000</v>
      </c>
      <c r="N39" s="79">
        <f>'G MTTS'!AG39</f>
        <v>7</v>
      </c>
      <c r="O39" s="79">
        <f>'G MTTS'!AH39</f>
        <v>7</v>
      </c>
      <c r="P39" s="79">
        <f>'G MTTS'!AI39</f>
        <v>7</v>
      </c>
      <c r="Q39" s="80">
        <f>'G MTTS'!AJ39</f>
        <v>13</v>
      </c>
      <c r="R39" s="46">
        <f t="shared" si="0"/>
        <v>0.441678240740741</v>
      </c>
      <c r="S39" s="47" t="str">
        <f t="shared" si="2"/>
        <v>MICRO</v>
      </c>
    </row>
    <row r="40" ht="29.25" customHeight="1" outlineLevel="1" spans="1:19">
      <c r="A40" s="60" t="s">
        <v>512</v>
      </c>
      <c r="B40" s="36">
        <f>'G MTTS'!B40</f>
        <v>0.416678240740741</v>
      </c>
      <c r="C40" s="48" t="str">
        <f>'G MTTS'!J40</f>
        <v>#AS 4K Battle</v>
      </c>
      <c r="D40" s="49" t="str">
        <f>'G MTTS'!M40</f>
        <v>Side Event</v>
      </c>
      <c r="E40" s="50" t="str">
        <f>'G MTTS'!N40</f>
        <v>NLH</v>
      </c>
      <c r="F40" s="51" t="str">
        <f>'G MTTS'!O40</f>
        <v>Regular KO 1/2</v>
      </c>
      <c r="G40" s="52">
        <f>IF('G MTTS'!Q40=0," ",'G MTTS'!Q40*$A$3)</f>
        <v>4000</v>
      </c>
      <c r="H40" s="53">
        <f>IF('G MTTS'!V40=0," ",'G MTTS'!V40*$A$3)</f>
        <v>30</v>
      </c>
      <c r="I40" s="53">
        <f>IF('G MTTS'!W40=0," ",'G MTTS'!W40*$A$3)</f>
        <v>30</v>
      </c>
      <c r="J40" s="53" t="str">
        <f>IF('G MTTS'!Z40=0," ",'G MTTS'!Z40*$A$3)</f>
        <v> </v>
      </c>
      <c r="K40" s="54">
        <f>'G MTTS'!AF40</f>
        <v>40000</v>
      </c>
      <c r="L40" s="54">
        <f>'G MTTS'!X40</f>
        <v>0</v>
      </c>
      <c r="M40" s="54" t="str">
        <f>'G MTTS'!AA40</f>
        <v>REENTRY</v>
      </c>
      <c r="N40" s="55">
        <f>'G MTTS'!AG40</f>
        <v>10</v>
      </c>
      <c r="O40" s="55">
        <f>'G MTTS'!AH40</f>
        <v>8</v>
      </c>
      <c r="P40" s="55">
        <f>'G MTTS'!AI40</f>
        <v>8</v>
      </c>
      <c r="Q40" s="56">
        <f>'G MTTS'!AJ40</f>
        <v>14</v>
      </c>
      <c r="R40" s="46">
        <f t="shared" si="0"/>
        <v>0.520844907407407</v>
      </c>
      <c r="S40" s="47" t="str">
        <f t="shared" si="2"/>
        <v>LOW</v>
      </c>
    </row>
    <row r="41" ht="29.25" customHeight="1" outlineLevel="1" spans="1:19">
      <c r="B41" s="36">
        <f>'G MTTS'!B41</f>
        <v>0.416678240740741</v>
      </c>
      <c r="C41" s="37" t="str">
        <f>'G MTTS'!J41</f>
        <v>1K Plus</v>
      </c>
      <c r="D41" s="38" t="str">
        <f>'G MTTS'!M41</f>
        <v>Side Event</v>
      </c>
      <c r="E41" s="39" t="str">
        <f>'G MTTS'!N41</f>
        <v>NLH</v>
      </c>
      <c r="F41" s="40" t="str">
        <f>'G MTTS'!O41</f>
        <v>OFF</v>
      </c>
      <c r="G41" s="41">
        <f>IF('G MTTS'!Q41=0," ",'G MTTS'!Q41*$A$3)</f>
        <v>1000</v>
      </c>
      <c r="H41" s="42">
        <f>IF('G MTTS'!V41=0," ",'G MTTS'!V41*$A$3)</f>
        <v>2</v>
      </c>
      <c r="I41" s="42">
        <f>IF('G MTTS'!W41=0," ",'G MTTS'!W41*$A$3)</f>
        <v>2</v>
      </c>
      <c r="J41" s="42">
        <f>IF('G MTTS'!Z41=0," ",'G MTTS'!Z41*$A$3)</f>
        <v>2</v>
      </c>
      <c r="K41" s="43">
        <f>'G MTTS'!AF41</f>
        <v>40000</v>
      </c>
      <c r="L41" s="43">
        <f>'G MTTS'!X41</f>
        <v>0</v>
      </c>
      <c r="M41" s="43">
        <f>'G MTTS'!AA41</f>
        <v>80000</v>
      </c>
      <c r="N41" s="44">
        <f>'G MTTS'!AG41</f>
        <v>7</v>
      </c>
      <c r="O41" s="44">
        <f>'G MTTS'!AH41</f>
        <v>6</v>
      </c>
      <c r="P41" s="44">
        <f>'G MTTS'!AI41</f>
        <v>6</v>
      </c>
      <c r="Q41" s="45">
        <f>'G MTTS'!AJ41</f>
        <v>15</v>
      </c>
      <c r="R41" s="46">
        <f t="shared" si="0"/>
        <v>0.49306712962963</v>
      </c>
      <c r="S41" s="47" t="str">
        <f t="shared" si="2"/>
        <v>MICRO</v>
      </c>
    </row>
    <row r="42" ht="29.25" customHeight="1" outlineLevel="1" spans="1:19">
      <c r="B42" s="36">
        <f>'G MTTS'!B42</f>
        <v>0.416678240740741</v>
      </c>
      <c r="C42" s="48" t="str">
        <f>'G MTTS'!J42</f>
        <v>#AS 3K Plus</v>
      </c>
      <c r="D42" s="49" t="str">
        <f>'G MTTS'!M42</f>
        <v>Side Event</v>
      </c>
      <c r="E42" s="50" t="str">
        <f>'G MTTS'!N42</f>
        <v>NLH</v>
      </c>
      <c r="F42" s="51" t="str">
        <f>'G MTTS'!O42</f>
        <v>OFF</v>
      </c>
      <c r="G42" s="52">
        <f>IF('G MTTS'!Q42=0," ",'G MTTS'!Q42*$A$3)</f>
        <v>3000</v>
      </c>
      <c r="H42" s="53">
        <f>IF('G MTTS'!V42=0," ",'G MTTS'!V42*$A$3)</f>
        <v>8</v>
      </c>
      <c r="I42" s="53">
        <f>IF('G MTTS'!W42=0," ",'G MTTS'!W42*$A$3)</f>
        <v>8</v>
      </c>
      <c r="J42" s="53">
        <f>IF('G MTTS'!Z42=0," ",'G MTTS'!Z42*$A$3)</f>
        <v>8</v>
      </c>
      <c r="K42" s="54">
        <f>'G MTTS'!AF42</f>
        <v>40000</v>
      </c>
      <c r="L42" s="54">
        <f>'G MTTS'!X42</f>
        <v>0</v>
      </c>
      <c r="M42" s="54">
        <f>'G MTTS'!AA42</f>
        <v>160000</v>
      </c>
      <c r="N42" s="55">
        <f>'G MTTS'!AG42</f>
        <v>8</v>
      </c>
      <c r="O42" s="55">
        <f>'G MTTS'!AH42</f>
        <v>7</v>
      </c>
      <c r="P42" s="55">
        <f>'G MTTS'!AI42</f>
        <v>7</v>
      </c>
      <c r="Q42" s="56">
        <f>'G MTTS'!AJ42</f>
        <v>15</v>
      </c>
      <c r="R42" s="46">
        <f t="shared" si="0"/>
        <v>0.506956018518518</v>
      </c>
      <c r="S42" s="47" t="str">
        <f t="shared" si="2"/>
        <v>MICRO</v>
      </c>
    </row>
    <row r="43" ht="29.25" customHeight="1" outlineLevel="1" spans="1:19">
      <c r="A43" s="60" t="s">
        <v>512</v>
      </c>
      <c r="B43" s="36">
        <f>'G MTTS'!B43</f>
        <v>0.437511574074074</v>
      </c>
      <c r="C43" s="37" t="str">
        <f>'G MTTS'!J43</f>
        <v>#AS 2K Omax</v>
      </c>
      <c r="D43" s="38" t="str">
        <f>'G MTTS'!M43</f>
        <v>Side Event</v>
      </c>
      <c r="E43" s="39" t="str">
        <f>'G MTTS'!N43</f>
        <v>PLO5</v>
      </c>
      <c r="F43" s="40" t="str">
        <f>'G MTTS'!O43</f>
        <v>OFF</v>
      </c>
      <c r="G43" s="41">
        <f>IF('G MTTS'!Q43=0," ",'G MTTS'!Q43*$A$3)</f>
        <v>2000</v>
      </c>
      <c r="H43" s="42">
        <f>IF('G MTTS'!V43=0," ",'G MTTS'!V43*$A$3)</f>
        <v>15</v>
      </c>
      <c r="I43" s="42">
        <f>IF('G MTTS'!W43=0," ",'G MTTS'!W43*$A$3)</f>
        <v>15</v>
      </c>
      <c r="J43" s="42">
        <f>IF('G MTTS'!Z43=0," ",'G MTTS'!Z43*$A$3)</f>
        <v>15</v>
      </c>
      <c r="K43" s="43">
        <f>'G MTTS'!AF43</f>
        <v>40000</v>
      </c>
      <c r="L43" s="43">
        <f>'G MTTS'!X43</f>
        <v>0</v>
      </c>
      <c r="M43" s="43">
        <f>'G MTTS'!AA43</f>
        <v>100000</v>
      </c>
      <c r="N43" s="44">
        <f>'G MTTS'!AG43</f>
        <v>8</v>
      </c>
      <c r="O43" s="44">
        <f>'G MTTS'!AH43</f>
        <v>7</v>
      </c>
      <c r="P43" s="44">
        <f>'G MTTS'!AI43</f>
        <v>7</v>
      </c>
      <c r="Q43" s="45">
        <f>'G MTTS'!AJ43</f>
        <v>13</v>
      </c>
      <c r="R43" s="46">
        <f t="shared" si="0"/>
        <v>0.513206018518519</v>
      </c>
      <c r="S43" s="47" t="str">
        <f t="shared" si="2"/>
        <v>MICRO</v>
      </c>
    </row>
    <row r="44" ht="29.25" customHeight="1" outlineLevel="1" spans="1:19">
      <c r="B44" s="36">
        <f>'G MTTS'!B44</f>
        <v>0.458344907407407</v>
      </c>
      <c r="C44" s="48" t="str">
        <f>'G MTTS'!J44</f>
        <v>#AS 15K Plus+SPS</v>
      </c>
      <c r="D44" s="81" t="str">
        <f>'G MTTS'!M44</f>
        <v>Side Event</v>
      </c>
      <c r="E44" s="82" t="str">
        <f>'G MTTS'!N44</f>
        <v>NLH</v>
      </c>
      <c r="F44" s="83" t="str">
        <f>'G MTTS'!O44</f>
        <v>OFF</v>
      </c>
      <c r="G44" s="84">
        <f>IF('G MTTS'!Q44=0," ",'G MTTS'!Q44*$A$3)</f>
        <v>16000</v>
      </c>
      <c r="H44" s="85">
        <f>IF('G MTTS'!V44=0," ",'G MTTS'!V44*$A$3)</f>
        <v>15</v>
      </c>
      <c r="I44" s="85">
        <f>IF('G MTTS'!W44=0," ",'G MTTS'!W44*$A$3)</f>
        <v>15</v>
      </c>
      <c r="J44" s="85">
        <f>IF('G MTTS'!Z44=0," ",'G MTTS'!Z44*$A$3)</f>
        <v>15</v>
      </c>
      <c r="K44" s="86">
        <f>'G MTTS'!AF44</f>
        <v>40000</v>
      </c>
      <c r="L44" s="86">
        <f>'G MTTS'!X44</f>
        <v>0</v>
      </c>
      <c r="M44" s="86">
        <f>'G MTTS'!AA44</f>
        <v>160000</v>
      </c>
      <c r="N44" s="87">
        <f>'G MTTS'!AG44</f>
        <v>10</v>
      </c>
      <c r="O44" s="87">
        <f>'G MTTS'!AH44</f>
        <v>8</v>
      </c>
      <c r="P44" s="87">
        <f>'G MTTS'!AI44</f>
        <v>8</v>
      </c>
      <c r="Q44" s="88">
        <f>'G MTTS'!AJ44</f>
        <v>15</v>
      </c>
      <c r="R44" s="46">
        <f t="shared" si="0"/>
        <v>0.569456018518518</v>
      </c>
      <c r="S44" s="47" t="str">
        <f t="shared" si="2"/>
        <v>MICRO</v>
      </c>
    </row>
    <row r="45" ht="29.25" customHeight="1" outlineLevel="1" spans="1:19">
      <c r="A45" s="60" t="s">
        <v>512</v>
      </c>
      <c r="B45" s="36">
        <f>'G MTTS'!B45</f>
        <v>0.458344907407407</v>
      </c>
      <c r="C45" s="37" t="str">
        <f>'G MTTS'!J45</f>
        <v>600 Omax</v>
      </c>
      <c r="D45" s="73" t="str">
        <f>'G MTTS'!M45</f>
        <v>Side Event</v>
      </c>
      <c r="E45" s="74" t="str">
        <f>'G MTTS'!N45</f>
        <v>PLO4</v>
      </c>
      <c r="F45" s="75" t="str">
        <f>'G MTTS'!O45</f>
        <v>OFF</v>
      </c>
      <c r="G45" s="76">
        <f>IF('G MTTS'!Q45=0," ",'G MTTS'!Q45*$A$3)</f>
        <v>600</v>
      </c>
      <c r="H45" s="77">
        <f>IF('G MTTS'!V45=0," ",'G MTTS'!V45*$A$3)</f>
        <v>4</v>
      </c>
      <c r="I45" s="77">
        <f>IF('G MTTS'!W45=0," ",'G MTTS'!W45*$A$3)</f>
        <v>4</v>
      </c>
      <c r="J45" s="77">
        <f>IF('G MTTS'!Z45=0," ",'G MTTS'!Z45*$A$3)</f>
        <v>5</v>
      </c>
      <c r="K45" s="78">
        <f>'G MTTS'!AF45</f>
        <v>40000</v>
      </c>
      <c r="L45" s="78">
        <f>'G MTTS'!X45</f>
        <v>0</v>
      </c>
      <c r="M45" s="78">
        <f>'G MTTS'!AA45</f>
        <v>100000</v>
      </c>
      <c r="N45" s="79">
        <f>'G MTTS'!AG45</f>
        <v>8</v>
      </c>
      <c r="O45" s="79">
        <f>'G MTTS'!AH45</f>
        <v>7</v>
      </c>
      <c r="P45" s="79">
        <f>'G MTTS'!AI45</f>
        <v>7</v>
      </c>
      <c r="Q45" s="80">
        <f>'G MTTS'!AJ45</f>
        <v>15</v>
      </c>
      <c r="R45" s="46">
        <f t="shared" si="0"/>
        <v>0.548622685185185</v>
      </c>
      <c r="S45" s="47" t="str">
        <f t="shared" si="2"/>
        <v>MICRO</v>
      </c>
    </row>
    <row r="46" ht="29.25" customHeight="1" outlineLevel="1" spans="1:19">
      <c r="B46" s="36">
        <f>'G MTTS'!B46</f>
        <v>0.458344907407407</v>
      </c>
      <c r="C46" s="48" t="str">
        <f>'G MTTS'!J46</f>
        <v>Sit&amp;go 200p max.</v>
      </c>
      <c r="D46" s="81" t="str">
        <f>'G MTTS'!M46</f>
        <v>Side Event</v>
      </c>
      <c r="E46" s="82" t="str">
        <f>'G MTTS'!N46</f>
        <v>NLH</v>
      </c>
      <c r="F46" s="83" t="str">
        <f>'G MTTS'!O46</f>
        <v>OFF</v>
      </c>
      <c r="G46" s="84">
        <f>IF('G MTTS'!Q46=0," ",'G MTTS'!Q46*$A$3)</f>
        <v>200</v>
      </c>
      <c r="H46" s="85">
        <f>IF('G MTTS'!V46=0," ",'G MTTS'!V46*$A$3)</f>
        <v>3</v>
      </c>
      <c r="I46" s="85">
        <f>IF('G MTTS'!W46=0," ",'G MTTS'!W46*$A$3)</f>
        <v>3</v>
      </c>
      <c r="J46" s="85">
        <f>IF('G MTTS'!Z46=0," ",'G MTTS'!Z46*$A$3)</f>
        <v>3</v>
      </c>
      <c r="K46" s="86">
        <f>'G MTTS'!AF46</f>
        <v>20000</v>
      </c>
      <c r="L46" s="86">
        <f>'G MTTS'!X46</f>
        <v>0</v>
      </c>
      <c r="M46" s="86">
        <f>'G MTTS'!AA46</f>
        <v>30000</v>
      </c>
      <c r="N46" s="87">
        <f>'G MTTS'!AG46</f>
        <v>5</v>
      </c>
      <c r="O46" s="87">
        <f>'G MTTS'!AH46</f>
        <v>5</v>
      </c>
      <c r="P46" s="87">
        <f>'G MTTS'!AI46</f>
        <v>5</v>
      </c>
      <c r="Q46" s="88">
        <f>'G MTTS'!AJ46</f>
        <v>15</v>
      </c>
      <c r="R46" s="46">
        <f t="shared" si="0"/>
        <v>0.513900462962963</v>
      </c>
      <c r="S46" s="47" t="str">
        <f t="shared" si="2"/>
        <v>MICRO</v>
      </c>
    </row>
    <row r="47" ht="29.25" customHeight="1" outlineLevel="1" spans="1:19">
      <c r="B47" s="36">
        <f>'G MTTS'!B47</f>
        <v>0.500011574074074</v>
      </c>
      <c r="C47" s="37" t="str">
        <f>'G MTTS'!J47</f>
        <v>#AS 3K Big Mystery</v>
      </c>
      <c r="D47" s="73" t="str">
        <f>'G MTTS'!M47</f>
        <v>Side Event</v>
      </c>
      <c r="E47" s="74" t="str">
        <f>'G MTTS'!N47</f>
        <v>NLH</v>
      </c>
      <c r="F47" s="75" t="str">
        <f>'G MTTS'!O47</f>
        <v>Mystery Bounty 1/2</v>
      </c>
      <c r="G47" s="76">
        <f>IF('G MTTS'!Q47=0," ",'G MTTS'!Q47*$A$3)</f>
        <v>3000</v>
      </c>
      <c r="H47" s="77">
        <f>IF('G MTTS'!V47=0," ",'G MTTS'!V47*$A$3)</f>
        <v>10</v>
      </c>
      <c r="I47" s="77">
        <f>IF('G MTTS'!W47=0," ",'G MTTS'!W47*$A$3)</f>
        <v>10</v>
      </c>
      <c r="J47" s="77" t="str">
        <f>IF('G MTTS'!Z47=0," ",'G MTTS'!Z47*$A$3)</f>
        <v> </v>
      </c>
      <c r="K47" s="78">
        <f>'G MTTS'!AF47</f>
        <v>60000</v>
      </c>
      <c r="L47" s="78">
        <f>'G MTTS'!X47</f>
        <v>0</v>
      </c>
      <c r="M47" s="78" t="str">
        <f>'G MTTS'!AA47</f>
        <v>REENTRY</v>
      </c>
      <c r="N47" s="79">
        <f>'G MTTS'!AG47</f>
        <v>10</v>
      </c>
      <c r="O47" s="79">
        <f>'G MTTS'!AH47</f>
        <v>8</v>
      </c>
      <c r="P47" s="79">
        <f>'G MTTS'!AI47</f>
        <v>8</v>
      </c>
      <c r="Q47" s="80">
        <f>'G MTTS'!AJ47</f>
        <v>14</v>
      </c>
      <c r="R47" s="46">
        <f t="shared" si="0"/>
        <v>0.604178240740741</v>
      </c>
      <c r="S47" s="47" t="str">
        <f t="shared" si="2"/>
        <v>MICRO</v>
      </c>
    </row>
    <row r="48" ht="29.25" customHeight="1" outlineLevel="1" spans="1:19">
      <c r="A48" s="60" t="s">
        <v>512</v>
      </c>
      <c r="B48" s="36">
        <f>'G MTTS'!B48</f>
        <v>0.500011574074074</v>
      </c>
      <c r="C48" s="48" t="str">
        <f>'G MTTS'!J48</f>
        <v>1.5K Plus</v>
      </c>
      <c r="D48" s="49" t="str">
        <f>'G MTTS'!M48</f>
        <v>Side Event</v>
      </c>
      <c r="E48" s="50" t="str">
        <f>'G MTTS'!N48</f>
        <v>NLH</v>
      </c>
      <c r="F48" s="51" t="str">
        <f>'G MTTS'!O48</f>
        <v>OFF</v>
      </c>
      <c r="G48" s="52">
        <f>IF('G MTTS'!Q48=0," ",'G MTTS'!Q48*$A$3)</f>
        <v>1500</v>
      </c>
      <c r="H48" s="53">
        <f>IF('G MTTS'!V48=0," ",'G MTTS'!V48*$A$3)</f>
        <v>3</v>
      </c>
      <c r="I48" s="53">
        <f>IF('G MTTS'!W48=0," ",'G MTTS'!W48*$A$3)</f>
        <v>3</v>
      </c>
      <c r="J48" s="53">
        <f>IF('G MTTS'!Z48=0," ",'G MTTS'!Z48*$A$3)</f>
        <v>4</v>
      </c>
      <c r="K48" s="54">
        <f>'G MTTS'!AF48</f>
        <v>40000</v>
      </c>
      <c r="L48" s="54">
        <f>'G MTTS'!X48</f>
        <v>0</v>
      </c>
      <c r="M48" s="54">
        <f>'G MTTS'!AA48</f>
        <v>100000</v>
      </c>
      <c r="N48" s="55">
        <f>'G MTTS'!AG48</f>
        <v>7</v>
      </c>
      <c r="O48" s="55">
        <f>'G MTTS'!AH48</f>
        <v>6</v>
      </c>
      <c r="P48" s="55">
        <f>'G MTTS'!AI48</f>
        <v>6</v>
      </c>
      <c r="Q48" s="56">
        <f>'G MTTS'!AJ48</f>
        <v>15</v>
      </c>
      <c r="R48" s="46">
        <f t="shared" si="0"/>
        <v>0.576400462962963</v>
      </c>
      <c r="S48" s="47" t="str">
        <f t="shared" si="2"/>
        <v>MICRO</v>
      </c>
    </row>
    <row r="49" ht="29.25" customHeight="1" outlineLevel="1" spans="1:19">
      <c r="B49" s="36">
        <f>'G MTTS'!B49</f>
        <v>0.500011574074074</v>
      </c>
      <c r="C49" s="37" t="str">
        <f>'G MTTS'!J49</f>
        <v>#AS 10K Reentry</v>
      </c>
      <c r="D49" s="38" t="str">
        <f>'G MTTS'!M49</f>
        <v>Side Event</v>
      </c>
      <c r="E49" s="39" t="str">
        <f>'G MTTS'!N49</f>
        <v>NLH</v>
      </c>
      <c r="F49" s="40" t="str">
        <f>'G MTTS'!O49</f>
        <v>OFF</v>
      </c>
      <c r="G49" s="41">
        <f>IF('G MTTS'!Q49=0," ",'G MTTS'!Q49*$A$3)</f>
        <v>10000</v>
      </c>
      <c r="H49" s="42">
        <f>IF('G MTTS'!V49=0," ",'G MTTS'!V49*$A$3)</f>
        <v>75</v>
      </c>
      <c r="I49" s="42">
        <f>IF('G MTTS'!W49=0," ",'G MTTS'!W49*$A$3)</f>
        <v>75</v>
      </c>
      <c r="J49" s="42" t="str">
        <f>IF('G MTTS'!Z49=0," ",'G MTTS'!Z49*$A$3)</f>
        <v> </v>
      </c>
      <c r="K49" s="43">
        <f>'G MTTS'!AF49</f>
        <v>80000</v>
      </c>
      <c r="L49" s="43">
        <f>'G MTTS'!X49</f>
        <v>0</v>
      </c>
      <c r="M49" s="43" t="str">
        <f>'G MTTS'!AA49</f>
        <v>REENTRY</v>
      </c>
      <c r="N49" s="44">
        <f>'G MTTS'!AG49</f>
        <v>12</v>
      </c>
      <c r="O49" s="44">
        <f>'G MTTS'!AH49</f>
        <v>10</v>
      </c>
      <c r="P49" s="44">
        <f>'G MTTS'!AI49</f>
        <v>10</v>
      </c>
      <c r="Q49" s="45">
        <f>'G MTTS'!AJ49</f>
        <v>15</v>
      </c>
      <c r="R49" s="46">
        <f t="shared" si="0"/>
        <v>0.635428240740741</v>
      </c>
      <c r="S49" s="47" t="str">
        <f t="shared" si="2"/>
        <v>LOW</v>
      </c>
    </row>
    <row r="50" ht="29.25" customHeight="1" outlineLevel="1" spans="1:19">
      <c r="B50" s="36">
        <f>'G MTTS'!B50</f>
        <v>0.520844907407407</v>
      </c>
      <c r="C50" s="48" t="str">
        <f>'G MTTS'!J50</f>
        <v>#AS 10K OmaX PKO</v>
      </c>
      <c r="D50" s="49" t="str">
        <f>'G MTTS'!M50</f>
        <v>Side Event</v>
      </c>
      <c r="E50" s="50" t="str">
        <f>'G MTTS'!N50</f>
        <v>PLO5</v>
      </c>
      <c r="F50" s="51" t="str">
        <f>'G MTTS'!O50</f>
        <v>Progressive KO 1/2</v>
      </c>
      <c r="G50" s="52">
        <f>IF('G MTTS'!Q50=0," ",'G MTTS'!Q50*$A$3)</f>
        <v>10000</v>
      </c>
      <c r="H50" s="53">
        <f>IF('G MTTS'!V50=0," ",'G MTTS'!V50*$A$3)</f>
        <v>60</v>
      </c>
      <c r="I50" s="53">
        <f>IF('G MTTS'!W50=0," ",'G MTTS'!W50*$A$3)</f>
        <v>60</v>
      </c>
      <c r="J50" s="53" t="str">
        <f>IF('G MTTS'!Z50=0," ",'G MTTS'!Z50*$A$3)</f>
        <v> </v>
      </c>
      <c r="K50" s="54">
        <f>'G MTTS'!AF50</f>
        <v>40000</v>
      </c>
      <c r="L50" s="54">
        <f>'G MTTS'!X50</f>
        <v>0</v>
      </c>
      <c r="M50" s="54" t="str">
        <f>'G MTTS'!AA50</f>
        <v>REENTRY</v>
      </c>
      <c r="N50" s="55">
        <f>'G MTTS'!AG50</f>
        <v>12</v>
      </c>
      <c r="O50" s="55">
        <f>'G MTTS'!AH50</f>
        <v>10</v>
      </c>
      <c r="P50" s="55">
        <f>'G MTTS'!AI50</f>
        <v>10</v>
      </c>
      <c r="Q50" s="56">
        <f>'G MTTS'!AJ50</f>
        <v>14</v>
      </c>
      <c r="R50" s="46">
        <f t="shared" si="0"/>
        <v>0.644456018518519</v>
      </c>
      <c r="S50" s="47" t="str">
        <f t="shared" si="2"/>
        <v>LOW</v>
      </c>
    </row>
    <row r="51" ht="29.25" customHeight="1" outlineLevel="1" spans="1:19">
      <c r="A51" s="60"/>
      <c r="B51" s="36">
        <f>'G MTTS'!B51</f>
        <v>0.541678240740741</v>
      </c>
      <c r="C51" s="37" t="str">
        <f>'G MTTS'!J51</f>
        <v>#AS 10K Battle</v>
      </c>
      <c r="D51" s="38" t="str">
        <f>'G MTTS'!M51</f>
        <v>Side Event</v>
      </c>
      <c r="E51" s="39" t="str">
        <f>'G MTTS'!N51</f>
        <v>NLH</v>
      </c>
      <c r="F51" s="40" t="str">
        <f>'G MTTS'!O51</f>
        <v>Regular KO 1/2</v>
      </c>
      <c r="G51" s="41">
        <f>IF('G MTTS'!Q51=0," ",'G MTTS'!Q51*$A$3)</f>
        <v>10000</v>
      </c>
      <c r="H51" s="42">
        <f>IF('G MTTS'!V51=0," ",'G MTTS'!V51*$A$3)</f>
        <v>25</v>
      </c>
      <c r="I51" s="42">
        <f>IF('G MTTS'!W51=0," ",'G MTTS'!W51*$A$3)</f>
        <v>25</v>
      </c>
      <c r="J51" s="42" t="str">
        <f>IF('G MTTS'!Z51=0," ",'G MTTS'!Z51*$A$3)</f>
        <v> </v>
      </c>
      <c r="K51" s="43">
        <f>'G MTTS'!AF51</f>
        <v>80000</v>
      </c>
      <c r="L51" s="43">
        <f>'G MTTS'!X51</f>
        <v>0</v>
      </c>
      <c r="M51" s="43" t="str">
        <f>'G MTTS'!AA51</f>
        <v>REENTRY</v>
      </c>
      <c r="N51" s="44">
        <f>'G MTTS'!AG51</f>
        <v>12</v>
      </c>
      <c r="O51" s="44">
        <f>'G MTTS'!AH51</f>
        <v>10</v>
      </c>
      <c r="P51" s="44">
        <f>'G MTTS'!AI51</f>
        <v>10</v>
      </c>
      <c r="Q51" s="45">
        <f>'G MTTS'!AJ51</f>
        <v>15</v>
      </c>
      <c r="R51" s="46">
        <f t="shared" si="0"/>
        <v>0.677094907407407</v>
      </c>
      <c r="S51" s="47" t="str">
        <f t="shared" si="2"/>
        <v>MICRO</v>
      </c>
    </row>
    <row r="52" ht="29.25" customHeight="1" outlineLevel="1" spans="1:19">
      <c r="B52" s="36">
        <f>'G MTTS'!B52</f>
        <v>0.541678240740741</v>
      </c>
      <c r="C52" s="48" t="str">
        <f>'G MTTS'!J52</f>
        <v>500 Omax PKO</v>
      </c>
      <c r="D52" s="81" t="str">
        <f>'G MTTS'!M52</f>
        <v>Side Event</v>
      </c>
      <c r="E52" s="82" t="str">
        <f>'G MTTS'!N52</f>
        <v>PLO4</v>
      </c>
      <c r="F52" s="83" t="str">
        <f>'G MTTS'!O52</f>
        <v>Progressive KO 1/2</v>
      </c>
      <c r="G52" s="84">
        <f>IF('G MTTS'!Q52=0," ",'G MTTS'!Q52*$A$3)</f>
        <v>500</v>
      </c>
      <c r="H52" s="85">
        <f>IF('G MTTS'!V52=0," ",'G MTTS'!V52*$A$3)</f>
        <v>3</v>
      </c>
      <c r="I52" s="85">
        <f>IF('G MTTS'!W52=0," ",'G MTTS'!W52*$A$3)</f>
        <v>3</v>
      </c>
      <c r="J52" s="85" t="str">
        <f>IF('G MTTS'!Z52=0," ",'G MTTS'!Z52*$A$3)</f>
        <v> </v>
      </c>
      <c r="K52" s="86">
        <f>'G MTTS'!AF52</f>
        <v>50000</v>
      </c>
      <c r="L52" s="86">
        <f>'G MTTS'!X52</f>
        <v>0</v>
      </c>
      <c r="M52" s="86" t="str">
        <f>'G MTTS'!AA52</f>
        <v>REENTRY</v>
      </c>
      <c r="N52" s="87">
        <f>'G MTTS'!AG52</f>
        <v>8</v>
      </c>
      <c r="O52" s="87">
        <f>'G MTTS'!AH52</f>
        <v>7</v>
      </c>
      <c r="P52" s="87">
        <f>'G MTTS'!AI52</f>
        <v>7</v>
      </c>
      <c r="Q52" s="88">
        <f>'G MTTS'!AJ52</f>
        <v>15</v>
      </c>
      <c r="R52" s="46">
        <f t="shared" si="0"/>
        <v>0.631956018518519</v>
      </c>
      <c r="S52" s="47" t="str">
        <f t="shared" si="2"/>
        <v>MICRO</v>
      </c>
    </row>
    <row r="53" ht="29.25" customHeight="1" outlineLevel="1" spans="1:19">
      <c r="A53" s="60" t="s">
        <v>512</v>
      </c>
      <c r="B53" s="36">
        <f>'G MTTS'!B53</f>
        <v>0.552094907407407</v>
      </c>
      <c r="C53" s="37" t="str">
        <f>'G MTTS'!J53</f>
        <v>#AS 4K Freeze</v>
      </c>
      <c r="D53" s="73" t="str">
        <f>'G MTTS'!M53</f>
        <v>Side Event</v>
      </c>
      <c r="E53" s="74" t="str">
        <f>'G MTTS'!N53</f>
        <v>NLH</v>
      </c>
      <c r="F53" s="75" t="str">
        <f>'G MTTS'!O53</f>
        <v>OFF</v>
      </c>
      <c r="G53" s="76">
        <f>IF('G MTTS'!Q53=0," ",'G MTTS'!Q53*$A$3)</f>
        <v>4000</v>
      </c>
      <c r="H53" s="77">
        <f>IF('G MTTS'!V53=0," ",'G MTTS'!V53*$A$3)</f>
        <v>35</v>
      </c>
      <c r="I53" s="77" t="str">
        <f>IF('G MTTS'!W53=0," ",'G MTTS'!W53*$A$3)</f>
        <v> </v>
      </c>
      <c r="J53" s="77" t="str">
        <f>IF('G MTTS'!Z53=0," ",'G MTTS'!Z53*$A$3)</f>
        <v> </v>
      </c>
      <c r="K53" s="78">
        <f>'G MTTS'!AF53</f>
        <v>40000</v>
      </c>
      <c r="L53" s="78">
        <f>'G MTTS'!X53</f>
        <v>0</v>
      </c>
      <c r="M53" s="78" t="str">
        <f>'G MTTS'!AA53</f>
        <v>FREEZE</v>
      </c>
      <c r="N53" s="79">
        <f>'G MTTS'!AG53</f>
        <v>10</v>
      </c>
      <c r="O53" s="79">
        <f>'G MTTS'!AH53</f>
        <v>10</v>
      </c>
      <c r="P53" s="79">
        <f>'G MTTS'!AI53</f>
        <v>10</v>
      </c>
      <c r="Q53" s="80">
        <f>'G MTTS'!AJ53</f>
        <v>14</v>
      </c>
      <c r="R53" s="46">
        <f t="shared" si="0"/>
        <v>0.656261574074074</v>
      </c>
      <c r="S53" s="47" t="str">
        <f t="shared" si="2"/>
        <v>LOW</v>
      </c>
    </row>
    <row r="54" ht="29.25" customHeight="1" outlineLevel="1" spans="1:19">
      <c r="B54" s="36">
        <f>'G MTTS'!B54</f>
        <v>0.562511574074074</v>
      </c>
      <c r="C54" s="48" t="str">
        <f>'G MTTS'!J54</f>
        <v>#AS 4K Plus</v>
      </c>
      <c r="D54" s="49" t="str">
        <f>'G MTTS'!M54</f>
        <v>Side Event</v>
      </c>
      <c r="E54" s="50" t="str">
        <f>'G MTTS'!N54</f>
        <v>NLH</v>
      </c>
      <c r="F54" s="51" t="str">
        <f>'G MTTS'!O54</f>
        <v>OFF</v>
      </c>
      <c r="G54" s="52">
        <f>IF('G MTTS'!Q54=0," ",'G MTTS'!Q54*$A$3)</f>
        <v>4000</v>
      </c>
      <c r="H54" s="53">
        <f>IF('G MTTS'!V54=0," ",'G MTTS'!V54*$A$3)</f>
        <v>10</v>
      </c>
      <c r="I54" s="53">
        <f>IF('G MTTS'!W54=0," ",'G MTTS'!W54*$A$3)</f>
        <v>10</v>
      </c>
      <c r="J54" s="53">
        <f>IF('G MTTS'!Z54=0," ",'G MTTS'!Z54*$A$3)</f>
        <v>15</v>
      </c>
      <c r="K54" s="54">
        <f>'G MTTS'!AF54</f>
        <v>40000</v>
      </c>
      <c r="L54" s="54">
        <f>'G MTTS'!X54</f>
        <v>0</v>
      </c>
      <c r="M54" s="54">
        <f>'G MTTS'!AA54</f>
        <v>120000</v>
      </c>
      <c r="N54" s="55">
        <f>'G MTTS'!AG54</f>
        <v>8</v>
      </c>
      <c r="O54" s="55">
        <f>'G MTTS'!AH54</f>
        <v>7</v>
      </c>
      <c r="P54" s="55">
        <f>'G MTTS'!AI54</f>
        <v>8</v>
      </c>
      <c r="Q54" s="56">
        <f>'G MTTS'!AJ54</f>
        <v>15</v>
      </c>
      <c r="R54" s="46">
        <f t="shared" si="0"/>
        <v>0.652789351851852</v>
      </c>
      <c r="S54" s="47" t="str">
        <f t="shared" si="2"/>
        <v>MICRO</v>
      </c>
    </row>
    <row r="55" ht="29.25" customHeight="1" outlineLevel="1" spans="1:19">
      <c r="B55" s="36">
        <f>'G MTTS'!B55</f>
        <v>0.583344907407407</v>
      </c>
      <c r="C55" s="37" t="str">
        <f>'G MTTS'!J55</f>
        <v>Sit&amp;go 200p max.</v>
      </c>
      <c r="D55" s="38" t="str">
        <f>'G MTTS'!M55</f>
        <v>Side Event</v>
      </c>
      <c r="E55" s="39" t="str">
        <f>'G MTTS'!N55</f>
        <v>NLH</v>
      </c>
      <c r="F55" s="40" t="str">
        <f>'G MTTS'!O55</f>
        <v>OFF</v>
      </c>
      <c r="G55" s="41">
        <f>IF('G MTTS'!Q55=0," ",'G MTTS'!Q55*$A$3)</f>
        <v>200</v>
      </c>
      <c r="H55" s="42">
        <f>IF('G MTTS'!V55=0," ",'G MTTS'!V55*$A$3)</f>
        <v>3</v>
      </c>
      <c r="I55" s="42">
        <f>IF('G MTTS'!W55=0," ",'G MTTS'!W55*$A$3)</f>
        <v>3</v>
      </c>
      <c r="J55" s="42">
        <f>IF('G MTTS'!Z55=0," ",'G MTTS'!Z55*$A$3)</f>
        <v>3</v>
      </c>
      <c r="K55" s="43">
        <f>'G MTTS'!AF55</f>
        <v>20000</v>
      </c>
      <c r="L55" s="43">
        <f>'G MTTS'!X55</f>
        <v>0</v>
      </c>
      <c r="M55" s="43">
        <f>'G MTTS'!AA55</f>
        <v>30000</v>
      </c>
      <c r="N55" s="44">
        <f>'G MTTS'!AG55</f>
        <v>5</v>
      </c>
      <c r="O55" s="44">
        <f>'G MTTS'!AH55</f>
        <v>5</v>
      </c>
      <c r="P55" s="44">
        <f>'G MTTS'!AI55</f>
        <v>5</v>
      </c>
      <c r="Q55" s="45">
        <f>'G MTTS'!AJ55</f>
        <v>15</v>
      </c>
      <c r="R55" s="46">
        <f t="shared" si="0"/>
        <v>0.638900462962963</v>
      </c>
      <c r="S55" s="47" t="str">
        <f t="shared" si="2"/>
        <v>MICRO</v>
      </c>
    </row>
    <row r="56" ht="29.25" customHeight="1" outlineLevel="1" spans="1:19">
      <c r="A56" s="60" t="s">
        <v>512</v>
      </c>
      <c r="B56" s="36">
        <f>'G MTTS'!B56</f>
        <v>0.583344907407407</v>
      </c>
      <c r="C56" s="48" t="str">
        <f>'G MTTS'!J56</f>
        <v>1K Omax</v>
      </c>
      <c r="D56" s="49" t="str">
        <f>'G MTTS'!M56</f>
        <v>Side Event</v>
      </c>
      <c r="E56" s="50" t="str">
        <f>'G MTTS'!N56</f>
        <v>PLO6</v>
      </c>
      <c r="F56" s="51" t="str">
        <f>'G MTTS'!O56</f>
        <v>OFF</v>
      </c>
      <c r="G56" s="52">
        <f>IF('G MTTS'!Q56=0," ",'G MTTS'!Q56*$A$3)</f>
        <v>1000</v>
      </c>
      <c r="H56" s="53">
        <f>IF('G MTTS'!V56=0," ",'G MTTS'!V56*$A$3)</f>
        <v>10</v>
      </c>
      <c r="I56" s="53">
        <f>IF('G MTTS'!W56=0," ",'G MTTS'!W56*$A$3)</f>
        <v>10</v>
      </c>
      <c r="J56" s="53">
        <f>IF('G MTTS'!Z56=0," ",'G MTTS'!Z56*$A$3)</f>
        <v>10</v>
      </c>
      <c r="K56" s="54">
        <f>'G MTTS'!AF56</f>
        <v>30000</v>
      </c>
      <c r="L56" s="54">
        <f>'G MTTS'!X56</f>
        <v>0</v>
      </c>
      <c r="M56" s="54">
        <f>'G MTTS'!AA56</f>
        <v>90000</v>
      </c>
      <c r="N56" s="55">
        <f>'G MTTS'!AG56</f>
        <v>8</v>
      </c>
      <c r="O56" s="55">
        <f>'G MTTS'!AH56</f>
        <v>7</v>
      </c>
      <c r="P56" s="55">
        <f>'G MTTS'!AI56</f>
        <v>7</v>
      </c>
      <c r="Q56" s="56">
        <f>'G MTTS'!AJ56</f>
        <v>12</v>
      </c>
      <c r="R56" s="46">
        <f t="shared" si="0"/>
        <v>0.653483796296296</v>
      </c>
      <c r="S56" s="47" t="str">
        <f t="shared" si="2"/>
        <v>MICRO</v>
      </c>
    </row>
    <row r="57" ht="29.25" customHeight="1" outlineLevel="1" spans="1:19">
      <c r="B57" s="36">
        <f>'G MTTS'!B57</f>
        <v>0.583344907407407</v>
      </c>
      <c r="C57" s="37" t="str">
        <f>'G MTTS'!J57</f>
        <v>#AS 5K Mini Plus</v>
      </c>
      <c r="D57" s="38" t="str">
        <f>'G MTTS'!M57</f>
        <v>Side Event</v>
      </c>
      <c r="E57" s="39" t="str">
        <f>'G MTTS'!N57</f>
        <v>NLH</v>
      </c>
      <c r="F57" s="40" t="str">
        <f>'G MTTS'!O57</f>
        <v>OFF</v>
      </c>
      <c r="G57" s="41">
        <f>IF('G MTTS'!Q57=0," ",'G MTTS'!Q57*$A$3)</f>
        <v>5000</v>
      </c>
      <c r="H57" s="42">
        <f>IF('G MTTS'!V57=0," ",'G MTTS'!V57*$A$3)</f>
        <v>3</v>
      </c>
      <c r="I57" s="42">
        <f>IF('G MTTS'!W57=0," ",'G MTTS'!W57*$A$3)</f>
        <v>3</v>
      </c>
      <c r="J57" s="42">
        <f>IF('G MTTS'!Z57=0," ",'G MTTS'!Z57*$A$3)</f>
        <v>3</v>
      </c>
      <c r="K57" s="43">
        <f>'G MTTS'!AF57</f>
        <v>40000</v>
      </c>
      <c r="L57" s="43">
        <f>'G MTTS'!X57</f>
        <v>0</v>
      </c>
      <c r="M57" s="43">
        <f>'G MTTS'!AA57</f>
        <v>120000</v>
      </c>
      <c r="N57" s="44">
        <f>'G MTTS'!AG57</f>
        <v>8</v>
      </c>
      <c r="O57" s="44">
        <f>'G MTTS'!AH57</f>
        <v>7</v>
      </c>
      <c r="P57" s="44">
        <f>'G MTTS'!AI57</f>
        <v>7</v>
      </c>
      <c r="Q57" s="45">
        <f>'G MTTS'!AJ57</f>
        <v>15</v>
      </c>
      <c r="R57" s="46">
        <f t="shared" si="0"/>
        <v>0.673622685185185</v>
      </c>
      <c r="S57" s="47" t="str">
        <f t="shared" si="2"/>
        <v>MICRO</v>
      </c>
    </row>
    <row r="58" ht="29.25" customHeight="1" outlineLevel="1" spans="1:19">
      <c r="B58" s="36">
        <f>'G MTTS'!B58</f>
        <v>0.604178240740741</v>
      </c>
      <c r="C58" s="48" t="str">
        <f>'G MTTS'!J58</f>
        <v>#AS 1.5K Omax PKO</v>
      </c>
      <c r="D58" s="49" t="str">
        <f>'G MTTS'!M58</f>
        <v>Side Event</v>
      </c>
      <c r="E58" s="50" t="str">
        <f>'G MTTS'!N58</f>
        <v>PLO5</v>
      </c>
      <c r="F58" s="51" t="str">
        <f>'G MTTS'!O58</f>
        <v>Progressive KO 1/2</v>
      </c>
      <c r="G58" s="52">
        <f>IF('G MTTS'!Q58=0," ",'G MTTS'!Q58*$A$3)</f>
        <v>1500</v>
      </c>
      <c r="H58" s="53">
        <f>IF('G MTTS'!V58=0," ",'G MTTS'!V58*$A$3)</f>
        <v>10</v>
      </c>
      <c r="I58" s="53">
        <f>IF('G MTTS'!W58=0," ",'G MTTS'!W58*$A$3)</f>
        <v>10</v>
      </c>
      <c r="J58" s="53" t="str">
        <f>IF('G MTTS'!Z58=0," ",'G MTTS'!Z58*$A$3)</f>
        <v> </v>
      </c>
      <c r="K58" s="54">
        <f>'G MTTS'!AF58</f>
        <v>50000</v>
      </c>
      <c r="L58" s="54">
        <f>'G MTTS'!X58</f>
        <v>0</v>
      </c>
      <c r="M58" s="54" t="str">
        <f>'G MTTS'!AA58</f>
        <v>REENTRY</v>
      </c>
      <c r="N58" s="55">
        <f>'G MTTS'!AG58</f>
        <v>8</v>
      </c>
      <c r="O58" s="55">
        <f>'G MTTS'!AH58</f>
        <v>8</v>
      </c>
      <c r="P58" s="55">
        <f>'G MTTS'!AI58</f>
        <v>8</v>
      </c>
      <c r="Q58" s="56">
        <f>'G MTTS'!AJ58</f>
        <v>15</v>
      </c>
      <c r="R58" s="46">
        <f t="shared" si="0"/>
        <v>0.694456018518519</v>
      </c>
      <c r="S58" s="47" t="str">
        <f t="shared" si="2"/>
        <v>MICRO</v>
      </c>
    </row>
    <row r="59" ht="29.25" customHeight="1" outlineLevel="1" spans="1:19">
      <c r="A59" s="60" t="s">
        <v>512</v>
      </c>
      <c r="B59" s="36">
        <f>'G MTTS'!B59</f>
        <v>0.625011574074074</v>
      </c>
      <c r="C59" s="37" t="str">
        <f>'G MTTS'!J59</f>
        <v>#AS 20K Plus+SPS</v>
      </c>
      <c r="D59" s="38" t="str">
        <f>'G MTTS'!M59</f>
        <v>Side Event</v>
      </c>
      <c r="E59" s="39" t="str">
        <f>'G MTTS'!N59</f>
        <v>NLH</v>
      </c>
      <c r="F59" s="40" t="str">
        <f>'G MTTS'!O59</f>
        <v>OFF</v>
      </c>
      <c r="G59" s="41">
        <f>IF('G MTTS'!Q59=0," ",'G MTTS'!Q59*$A$3)</f>
        <v>21000</v>
      </c>
      <c r="H59" s="42">
        <f>IF('G MTTS'!V59=0," ",'G MTTS'!V59*$A$3)</f>
        <v>15</v>
      </c>
      <c r="I59" s="42">
        <f>IF('G MTTS'!W59=0," ",'G MTTS'!W59*$A$3)</f>
        <v>15</v>
      </c>
      <c r="J59" s="42">
        <f>IF('G MTTS'!Z59=0," ",'G MTTS'!Z59*$A$3)</f>
        <v>15</v>
      </c>
      <c r="K59" s="43">
        <f>'G MTTS'!AF59</f>
        <v>40000</v>
      </c>
      <c r="L59" s="43">
        <f>'G MTTS'!X59</f>
        <v>0</v>
      </c>
      <c r="M59" s="43">
        <f>'G MTTS'!AA59</f>
        <v>160000</v>
      </c>
      <c r="N59" s="44">
        <f>'G MTTS'!AG59</f>
        <v>10</v>
      </c>
      <c r="O59" s="44">
        <f>'G MTTS'!AH59</f>
        <v>8</v>
      </c>
      <c r="P59" s="44">
        <f>'G MTTS'!AI59</f>
        <v>8</v>
      </c>
      <c r="Q59" s="45">
        <f>'G MTTS'!AJ59</f>
        <v>13</v>
      </c>
      <c r="R59" s="46">
        <f t="shared" si="0"/>
        <v>0.722233796296296</v>
      </c>
      <c r="S59" s="47" t="str">
        <f t="shared" si="2"/>
        <v>MICRO</v>
      </c>
    </row>
    <row r="60" ht="29.25" customHeight="1" outlineLevel="1" spans="1:19">
      <c r="B60" s="36">
        <f>'G MTTS'!B60</f>
        <v>0.645844907407407</v>
      </c>
      <c r="C60" s="48" t="str">
        <f>'G MTTS'!J60</f>
        <v>#AS 12K OmaX PKO</v>
      </c>
      <c r="D60" s="49" t="str">
        <f>'G MTTS'!M60</f>
        <v>Side Event</v>
      </c>
      <c r="E60" s="50" t="str">
        <f>'G MTTS'!N60</f>
        <v>PLO5</v>
      </c>
      <c r="F60" s="51" t="str">
        <f>'G MTTS'!O60</f>
        <v>Progressive KO 1/2</v>
      </c>
      <c r="G60" s="52">
        <f>IF('G MTTS'!Q60=0," ",'G MTTS'!Q60*$A$3)</f>
        <v>12000</v>
      </c>
      <c r="H60" s="53">
        <f>IF('G MTTS'!V60=0," ",'G MTTS'!V60*$A$3)</f>
        <v>150</v>
      </c>
      <c r="I60" s="53">
        <f>IF('G MTTS'!W60=0," ",'G MTTS'!W60*$A$3)</f>
        <v>150</v>
      </c>
      <c r="J60" s="53" t="str">
        <f>IF('G MTTS'!Z60=0," ",'G MTTS'!Z60*$A$3)</f>
        <v> </v>
      </c>
      <c r="K60" s="54">
        <f>'G MTTS'!AF60</f>
        <v>40000</v>
      </c>
      <c r="L60" s="54">
        <f>'G MTTS'!X60</f>
        <v>0</v>
      </c>
      <c r="M60" s="54" t="str">
        <f>'G MTTS'!AA60</f>
        <v>REENTRY</v>
      </c>
      <c r="N60" s="55">
        <f>'G MTTS'!AG60</f>
        <v>10</v>
      </c>
      <c r="O60" s="55">
        <f>'G MTTS'!AH60</f>
        <v>10</v>
      </c>
      <c r="P60" s="55">
        <f>'G MTTS'!AI60</f>
        <v>10</v>
      </c>
      <c r="Q60" s="56">
        <f>'G MTTS'!AJ60</f>
        <v>14</v>
      </c>
      <c r="R60" s="46">
        <f t="shared" si="0"/>
        <v>0.750011574074074</v>
      </c>
      <c r="S60" s="47" t="str">
        <f t="shared" si="2"/>
        <v>MEDIUM</v>
      </c>
    </row>
    <row r="61" ht="29.25" customHeight="1" outlineLevel="1" spans="1:19">
      <c r="B61" s="36">
        <f>'G MTTS'!B61</f>
        <v>0.666678240740741</v>
      </c>
      <c r="C61" s="37" t="str">
        <f>'G MTTS'!J61</f>
        <v>500 Omax</v>
      </c>
      <c r="D61" s="38" t="str">
        <f>'G MTTS'!M61</f>
        <v>Side Event</v>
      </c>
      <c r="E61" s="39" t="str">
        <f>'G MTTS'!N61</f>
        <v>PLO4</v>
      </c>
      <c r="F61" s="40" t="str">
        <f>'G MTTS'!O61</f>
        <v>OFF</v>
      </c>
      <c r="G61" s="41">
        <f>IF('G MTTS'!Q61=0," ",'G MTTS'!Q61*$A$3)</f>
        <v>500</v>
      </c>
      <c r="H61" s="42">
        <f>IF('G MTTS'!V61=0," ",'G MTTS'!V61*$A$3)</f>
        <v>4</v>
      </c>
      <c r="I61" s="42">
        <f>IF('G MTTS'!W61=0," ",'G MTTS'!W61*$A$3)</f>
        <v>4</v>
      </c>
      <c r="J61" s="42">
        <f>IF('G MTTS'!Z61=0," ",'G MTTS'!Z61*$A$3)</f>
        <v>4</v>
      </c>
      <c r="K61" s="43">
        <f>'G MTTS'!AF61</f>
        <v>40000</v>
      </c>
      <c r="L61" s="43">
        <f>'G MTTS'!X61</f>
        <v>0</v>
      </c>
      <c r="M61" s="43">
        <f>'G MTTS'!AA61</f>
        <v>80000</v>
      </c>
      <c r="N61" s="44">
        <f>'G MTTS'!AG61</f>
        <v>8</v>
      </c>
      <c r="O61" s="44">
        <f>'G MTTS'!AH61</f>
        <v>7</v>
      </c>
      <c r="P61" s="44">
        <f>'G MTTS'!AI61</f>
        <v>7</v>
      </c>
      <c r="Q61" s="45">
        <f>'G MTTS'!AJ61</f>
        <v>12</v>
      </c>
      <c r="R61" s="46">
        <f t="shared" si="0"/>
        <v>0.73681712962963</v>
      </c>
      <c r="S61" s="47" t="str">
        <f t="shared" si="2"/>
        <v>MICRO</v>
      </c>
    </row>
    <row r="62" ht="29.25" customHeight="1" outlineLevel="1" spans="1:19">
      <c r="A62" s="60" t="s">
        <v>512</v>
      </c>
      <c r="B62" s="36">
        <f>'G MTTS'!B62</f>
        <v>0.666678240740741</v>
      </c>
      <c r="C62" s="48" t="str">
        <f>'G MTTS'!J62</f>
        <v>1.5K Plus</v>
      </c>
      <c r="D62" s="49" t="str">
        <f>'G MTTS'!M62</f>
        <v>Side Event</v>
      </c>
      <c r="E62" s="50" t="str">
        <f>'G MTTS'!N62</f>
        <v>NLH</v>
      </c>
      <c r="F62" s="51" t="str">
        <f>'G MTTS'!O62</f>
        <v>OFF</v>
      </c>
      <c r="G62" s="52">
        <f>IF('G MTTS'!Q62=0," ",'G MTTS'!Q62*$A$3)</f>
        <v>1500</v>
      </c>
      <c r="H62" s="53">
        <f>IF('G MTTS'!V62=0," ",'G MTTS'!V62*$A$3)</f>
        <v>2</v>
      </c>
      <c r="I62" s="53">
        <f>IF('G MTTS'!W62=0," ",'G MTTS'!W62*$A$3)</f>
        <v>2</v>
      </c>
      <c r="J62" s="53">
        <f>IF('G MTTS'!Z62=0," ",'G MTTS'!Z62*$A$3)</f>
        <v>3</v>
      </c>
      <c r="K62" s="54">
        <f>'G MTTS'!AF62</f>
        <v>20000</v>
      </c>
      <c r="L62" s="54">
        <f>'G MTTS'!X62</f>
        <v>0</v>
      </c>
      <c r="M62" s="54">
        <f>'G MTTS'!AA62</f>
        <v>50000</v>
      </c>
      <c r="N62" s="55">
        <f>'G MTTS'!AG62</f>
        <v>8</v>
      </c>
      <c r="O62" s="55">
        <f>'G MTTS'!AH62</f>
        <v>7</v>
      </c>
      <c r="P62" s="55">
        <f>'G MTTS'!AI62</f>
        <v>7</v>
      </c>
      <c r="Q62" s="56">
        <f>'G MTTS'!AJ62</f>
        <v>12</v>
      </c>
      <c r="R62" s="46">
        <f t="shared" si="0"/>
        <v>0.73681712962963</v>
      </c>
      <c r="S62" s="47" t="str">
        <f t="shared" si="2"/>
        <v>MICRO</v>
      </c>
    </row>
    <row r="63" ht="29.25" customHeight="1" outlineLevel="1" spans="1:19">
      <c r="B63" s="36">
        <f>'G MTTS'!B63</f>
        <v>0.687511574074074</v>
      </c>
      <c r="C63" s="37" t="str">
        <f>'G MTTS'!J63</f>
        <v>#AS 6K Monday Freeze</v>
      </c>
      <c r="D63" s="38" t="str">
        <f>'G MTTS'!M63</f>
        <v>Side Event</v>
      </c>
      <c r="E63" s="39" t="str">
        <f>'G MTTS'!N63</f>
        <v>NLH</v>
      </c>
      <c r="F63" s="40" t="str">
        <f>'G MTTS'!O63</f>
        <v>OFF</v>
      </c>
      <c r="G63" s="41">
        <f>IF('G MTTS'!Q63=0," ",'G MTTS'!Q63*$A$3)</f>
        <v>6000</v>
      </c>
      <c r="H63" s="42">
        <f>IF('G MTTS'!V63=0," ",'G MTTS'!V63*$A$3)</f>
        <v>50</v>
      </c>
      <c r="I63" s="42" t="str">
        <f>IF('G MTTS'!W63=0," ",'G MTTS'!W63*$A$3)</f>
        <v> </v>
      </c>
      <c r="J63" s="42" t="str">
        <f>IF('G MTTS'!Z63=0," ",'G MTTS'!Z63*$A$3)</f>
        <v> </v>
      </c>
      <c r="K63" s="43">
        <f>'G MTTS'!AF63</f>
        <v>50000</v>
      </c>
      <c r="L63" s="43">
        <f>'G MTTS'!X63</f>
        <v>0</v>
      </c>
      <c r="M63" s="43" t="str">
        <f>'G MTTS'!AA63</f>
        <v>FREEZE</v>
      </c>
      <c r="N63" s="44">
        <f>'G MTTS'!AG63</f>
        <v>12</v>
      </c>
      <c r="O63" s="44">
        <f>'G MTTS'!AH63</f>
        <v>10</v>
      </c>
      <c r="P63" s="44">
        <f>'G MTTS'!AI63</f>
        <v>10</v>
      </c>
      <c r="Q63" s="45">
        <f>'G MTTS'!AJ63</f>
        <v>14</v>
      </c>
      <c r="R63" s="46">
        <f t="shared" si="0"/>
        <v>0.811122685185185</v>
      </c>
      <c r="S63" s="47" t="str">
        <f t="shared" si="2"/>
        <v>LOW</v>
      </c>
    </row>
    <row r="64" ht="29.25" customHeight="1" outlineLevel="1" spans="1:19">
      <c r="B64" s="36">
        <f>'G MTTS'!B64</f>
        <v>0.708344907407407</v>
      </c>
      <c r="C64" s="48" t="str">
        <f>'G MTTS'!J64</f>
        <v>#AS 15K Battle PKO</v>
      </c>
      <c r="D64" s="49" t="str">
        <f>'G MTTS'!M64</f>
        <v>Side Event</v>
      </c>
      <c r="E64" s="50" t="str">
        <f>'G MTTS'!N64</f>
        <v>NLH</v>
      </c>
      <c r="F64" s="51" t="str">
        <f>'G MTTS'!O64</f>
        <v>Progressive KO 1/2</v>
      </c>
      <c r="G64" s="52">
        <f>IF('G MTTS'!Q64=0," ",'G MTTS'!Q64*$A$3)</f>
        <v>15000</v>
      </c>
      <c r="H64" s="53">
        <f>IF('G MTTS'!V64=0," ",'G MTTS'!V64*$A$3)</f>
        <v>25</v>
      </c>
      <c r="I64" s="53">
        <f>IF('G MTTS'!W64=0," ",'G MTTS'!W64*$A$3)</f>
        <v>25</v>
      </c>
      <c r="J64" s="53" t="str">
        <f>IF('G MTTS'!Z64=0," ",'G MTTS'!Z64*$A$3)</f>
        <v> </v>
      </c>
      <c r="K64" s="54">
        <f>'G MTTS'!AF64</f>
        <v>80000</v>
      </c>
      <c r="L64" s="54">
        <f>'G MTTS'!X64</f>
        <v>0</v>
      </c>
      <c r="M64" s="54" t="str">
        <f>'G MTTS'!AA64</f>
        <v>REENTRY</v>
      </c>
      <c r="N64" s="55">
        <f>'G MTTS'!AG64</f>
        <v>12</v>
      </c>
      <c r="O64" s="55">
        <f>'G MTTS'!AH64</f>
        <v>10</v>
      </c>
      <c r="P64" s="55">
        <f>'G MTTS'!AI64</f>
        <v>10</v>
      </c>
      <c r="Q64" s="56">
        <f>'G MTTS'!AJ64</f>
        <v>15</v>
      </c>
      <c r="R64" s="46">
        <f t="shared" si="0"/>
        <v>0.843761574074074</v>
      </c>
      <c r="S64" s="47" t="str">
        <f t="shared" si="2"/>
        <v>MICRO</v>
      </c>
    </row>
    <row r="65" ht="29.25" customHeight="1" outlineLevel="1" spans="1:19">
      <c r="A65" s="60" t="s">
        <v>512</v>
      </c>
      <c r="B65" s="36">
        <f>'G MTTS'!B65</f>
        <v>0.708344907407407</v>
      </c>
      <c r="C65" s="37" t="str">
        <f>'G MTTS'!J65</f>
        <v>Sit&amp;go 200p max.</v>
      </c>
      <c r="D65" s="38" t="str">
        <f>'G MTTS'!M65</f>
        <v>Side Event</v>
      </c>
      <c r="E65" s="39" t="str">
        <f>'G MTTS'!N65</f>
        <v>NLH</v>
      </c>
      <c r="F65" s="40" t="str">
        <f>'G MTTS'!O65</f>
        <v>OFF</v>
      </c>
      <c r="G65" s="41">
        <f>IF('G MTTS'!Q65=0," ",'G MTTS'!Q65*$A$3)</f>
        <v>250</v>
      </c>
      <c r="H65" s="42">
        <f>IF('G MTTS'!V65=0," ",'G MTTS'!V65*$A$3)</f>
        <v>3</v>
      </c>
      <c r="I65" s="42">
        <f>IF('G MTTS'!W65=0," ",'G MTTS'!W65*$A$3)</f>
        <v>3</v>
      </c>
      <c r="J65" s="42">
        <f>IF('G MTTS'!Z65=0," ",'G MTTS'!Z65*$A$3)</f>
        <v>3</v>
      </c>
      <c r="K65" s="43">
        <f>'G MTTS'!AF65</f>
        <v>20000</v>
      </c>
      <c r="L65" s="43">
        <f>'G MTTS'!X65</f>
        <v>0</v>
      </c>
      <c r="M65" s="43">
        <f>'G MTTS'!AA65</f>
        <v>30000</v>
      </c>
      <c r="N65" s="44">
        <f>'G MTTS'!AG65</f>
        <v>5</v>
      </c>
      <c r="O65" s="44">
        <f>'G MTTS'!AH65</f>
        <v>5</v>
      </c>
      <c r="P65" s="44">
        <f>'G MTTS'!AI65</f>
        <v>5</v>
      </c>
      <c r="Q65" s="45">
        <f>'G MTTS'!AJ65</f>
        <v>15</v>
      </c>
      <c r="R65" s="46">
        <f t="shared" si="0"/>
        <v>0.763900462962963</v>
      </c>
      <c r="S65" s="47" t="str">
        <f t="shared" si="2"/>
        <v>MICRO</v>
      </c>
    </row>
    <row r="66" ht="29.25" customHeight="1" outlineLevel="1" spans="1:19">
      <c r="B66" s="36">
        <f>'G MTTS'!B66</f>
        <v>0.750011574074074</v>
      </c>
      <c r="C66" s="48" t="str">
        <f>'G MTTS'!J66</f>
        <v>750 Omax PKO</v>
      </c>
      <c r="D66" s="49" t="str">
        <f>'G MTTS'!M66</f>
        <v>Side Event</v>
      </c>
      <c r="E66" s="50" t="str">
        <f>'G MTTS'!N66</f>
        <v>PLO4</v>
      </c>
      <c r="F66" s="51" t="str">
        <f>'G MTTS'!O66</f>
        <v>Progressive KO 1/2</v>
      </c>
      <c r="G66" s="52">
        <f>IF('G MTTS'!Q66=0," ",'G MTTS'!Q66*$A$3)</f>
        <v>750</v>
      </c>
      <c r="H66" s="53">
        <f>IF('G MTTS'!V66=0," ",'G MTTS'!V66*$A$3)</f>
        <v>3</v>
      </c>
      <c r="I66" s="53">
        <f>IF('G MTTS'!W66=0," ",'G MTTS'!W66*$A$3)</f>
        <v>3</v>
      </c>
      <c r="J66" s="53" t="str">
        <f>IF('G MTTS'!Z66=0," ",'G MTTS'!Z66*$A$3)</f>
        <v> </v>
      </c>
      <c r="K66" s="54">
        <f>'G MTTS'!AF66</f>
        <v>50000</v>
      </c>
      <c r="L66" s="54">
        <f>'G MTTS'!X66</f>
        <v>0</v>
      </c>
      <c r="M66" s="54" t="str">
        <f>'G MTTS'!AA66</f>
        <v>REENTRY</v>
      </c>
      <c r="N66" s="55">
        <f>'G MTTS'!AG66</f>
        <v>8</v>
      </c>
      <c r="O66" s="55">
        <f>'G MTTS'!AH66</f>
        <v>7</v>
      </c>
      <c r="P66" s="55">
        <f>'G MTTS'!AI66</f>
        <v>7</v>
      </c>
      <c r="Q66" s="56">
        <f>'G MTTS'!AJ66</f>
        <v>15</v>
      </c>
      <c r="R66" s="46">
        <f t="shared" si="0"/>
        <v>0.840289351851852</v>
      </c>
      <c r="S66" s="47" t="str">
        <f t="shared" si="2"/>
        <v>MICRO</v>
      </c>
    </row>
    <row r="67" ht="29.25" customHeight="1" outlineLevel="1" spans="1:19">
      <c r="A67" s="60" t="s">
        <v>512</v>
      </c>
      <c r="B67" s="36">
        <f>'G MTTS'!B67</f>
        <v>0.770844907407407</v>
      </c>
      <c r="C67" s="37" t="str">
        <f>'G MTTS'!J67</f>
        <v>#AS 7.5K Mini Plus+SPS</v>
      </c>
      <c r="D67" s="38" t="str">
        <f>'G MTTS'!M67</f>
        <v>Side Event</v>
      </c>
      <c r="E67" s="39" t="str">
        <f>'G MTTS'!N67</f>
        <v>NLH</v>
      </c>
      <c r="F67" s="40" t="str">
        <f>'G MTTS'!O67</f>
        <v>OFF</v>
      </c>
      <c r="G67" s="41">
        <f>IF('G MTTS'!Q67=0," ",'G MTTS'!Q67*$A$3)</f>
        <v>8500</v>
      </c>
      <c r="H67" s="42">
        <f>IF('G MTTS'!V67=0," ",'G MTTS'!V67*$A$3)</f>
        <v>3</v>
      </c>
      <c r="I67" s="42">
        <f>IF('G MTTS'!W67=0," ",'G MTTS'!W67*$A$3)</f>
        <v>3</v>
      </c>
      <c r="J67" s="42">
        <f>IF('G MTTS'!Z67=0," ",'G MTTS'!Z67*$A$3)</f>
        <v>3</v>
      </c>
      <c r="K67" s="43">
        <f>'G MTTS'!AF67</f>
        <v>40000</v>
      </c>
      <c r="L67" s="43">
        <f>'G MTTS'!X67</f>
        <v>0</v>
      </c>
      <c r="M67" s="43">
        <f>'G MTTS'!AA67</f>
        <v>120000</v>
      </c>
      <c r="N67" s="44">
        <f>'G MTTS'!AG67</f>
        <v>8</v>
      </c>
      <c r="O67" s="44">
        <f>'G MTTS'!AH67</f>
        <v>7</v>
      </c>
      <c r="P67" s="44">
        <f>'G MTTS'!AI67</f>
        <v>7</v>
      </c>
      <c r="Q67" s="45">
        <f>'G MTTS'!AJ67</f>
        <v>15</v>
      </c>
      <c r="R67" s="46">
        <f t="shared" si="0"/>
        <v>0.861122685185185</v>
      </c>
      <c r="S67" s="47" t="str">
        <f t="shared" si="2"/>
        <v>MICRO</v>
      </c>
    </row>
    <row r="68" ht="29.25" customHeight="1" outlineLevel="1" spans="1:19">
      <c r="B68" s="36">
        <f>'G MTTS'!B68</f>
        <v>0.791678240740741</v>
      </c>
      <c r="C68" s="48" t="str">
        <f>'G MTTS'!J68</f>
        <v>#AS 2.5K Omax K.O</v>
      </c>
      <c r="D68" s="49" t="str">
        <f>'G MTTS'!M68</f>
        <v>Side Event</v>
      </c>
      <c r="E68" s="50" t="str">
        <f>'G MTTS'!N68</f>
        <v>PLO5</v>
      </c>
      <c r="F68" s="51" t="str">
        <f>'G MTTS'!O68</f>
        <v>Regular KO 1/3</v>
      </c>
      <c r="G68" s="52">
        <f>IF('G MTTS'!Q68=0," ",'G MTTS'!Q68*$A$3)</f>
        <v>2500</v>
      </c>
      <c r="H68" s="53">
        <f>IF('G MTTS'!V68=0," ",'G MTTS'!V68*$A$3)</f>
        <v>10</v>
      </c>
      <c r="I68" s="53">
        <f>IF('G MTTS'!W68=0," ",'G MTTS'!W68*$A$3)</f>
        <v>10</v>
      </c>
      <c r="J68" s="53" t="str">
        <f>IF('G MTTS'!Z68=0," ",'G MTTS'!Z68*$A$3)</f>
        <v> </v>
      </c>
      <c r="K68" s="54">
        <f>'G MTTS'!AF68</f>
        <v>50000</v>
      </c>
      <c r="L68" s="54">
        <f>'G MTTS'!X68</f>
        <v>0</v>
      </c>
      <c r="M68" s="54" t="str">
        <f>'G MTTS'!AA68</f>
        <v>REENTRY</v>
      </c>
      <c r="N68" s="55">
        <f>'G MTTS'!AG68</f>
        <v>10</v>
      </c>
      <c r="O68" s="55">
        <f>'G MTTS'!AH68</f>
        <v>8</v>
      </c>
      <c r="P68" s="55">
        <f>'G MTTS'!AI68</f>
        <v>8</v>
      </c>
      <c r="Q68" s="56">
        <f>'G MTTS'!AJ68</f>
        <v>15</v>
      </c>
      <c r="R68" s="46">
        <f t="shared" si="0"/>
        <v>0.902789351851852</v>
      </c>
      <c r="S68" s="47" t="str">
        <f t="shared" si="2"/>
        <v>MICRO</v>
      </c>
    </row>
    <row r="69" ht="29.25" customHeight="1" outlineLevel="1" spans="1:19">
      <c r="B69" s="36">
        <f>'G MTTS'!B69</f>
        <v>0.791678240740741</v>
      </c>
      <c r="C69" s="37" t="str">
        <f>'G MTTS'!J69</f>
        <v>#AS 5K Mystery+Plus</v>
      </c>
      <c r="D69" s="38" t="str">
        <f>'G MTTS'!M69</f>
        <v>Side Event</v>
      </c>
      <c r="E69" s="39" t="str">
        <f>'G MTTS'!N69</f>
        <v>NLH</v>
      </c>
      <c r="F69" s="40" t="str">
        <f>'G MTTS'!O69</f>
        <v>Mystery Bounty 1/2</v>
      </c>
      <c r="G69" s="41">
        <f>IF('G MTTS'!Q69=0," ",'G MTTS'!Q69*$A$3)</f>
        <v>5000</v>
      </c>
      <c r="H69" s="42">
        <f>IF('G MTTS'!V69=0," ",'G MTTS'!V69*$A$3)</f>
        <v>10</v>
      </c>
      <c r="I69" s="42">
        <f>IF('G MTTS'!W69=0," ",'G MTTS'!W69*$A$3)</f>
        <v>10</v>
      </c>
      <c r="J69" s="42">
        <f>IF('G MTTS'!Z69=0," ",'G MTTS'!Z69*$A$3)</f>
        <v>5</v>
      </c>
      <c r="K69" s="43">
        <f>'G MTTS'!AF69</f>
        <v>30000</v>
      </c>
      <c r="L69" s="43">
        <f>'G MTTS'!X69</f>
        <v>0</v>
      </c>
      <c r="M69" s="43">
        <f>'G MTTS'!AA69</f>
        <v>20000</v>
      </c>
      <c r="N69" s="44">
        <f>'G MTTS'!AG69</f>
        <v>8</v>
      </c>
      <c r="O69" s="44">
        <f>'G MTTS'!AH69</f>
        <v>8</v>
      </c>
      <c r="P69" s="44">
        <f>'G MTTS'!AI69</f>
        <v>8</v>
      </c>
      <c r="Q69" s="45">
        <f>'G MTTS'!AJ69</f>
        <v>14</v>
      </c>
      <c r="R69" s="46">
        <f t="shared" si="0"/>
        <v>0.872928240740741</v>
      </c>
      <c r="S69" s="47" t="str">
        <f t="shared" si="2"/>
        <v>MICRO</v>
      </c>
    </row>
    <row r="70" ht="29.25" customHeight="1" outlineLevel="1" spans="1:19">
      <c r="A70" s="60" t="s">
        <v>512</v>
      </c>
      <c r="B70" s="36">
        <f>'G MTTS'!B70</f>
        <v>0.802094907407407</v>
      </c>
      <c r="C70" s="48" t="str">
        <f>'G MTTS'!J70</f>
        <v>Sit&amp;go 200p max.</v>
      </c>
      <c r="D70" s="49" t="str">
        <f>'G MTTS'!M70</f>
        <v>Side Event</v>
      </c>
      <c r="E70" s="50" t="str">
        <f>'G MTTS'!N70</f>
        <v>NLH</v>
      </c>
      <c r="F70" s="51" t="str">
        <f>'G MTTS'!O70</f>
        <v>OFF</v>
      </c>
      <c r="G70" s="52">
        <f>IF('G MTTS'!Q70=0," ",'G MTTS'!Q70*$A$3)</f>
        <v>250</v>
      </c>
      <c r="H70" s="53">
        <f>IF('G MTTS'!V70=0," ",'G MTTS'!V70*$A$3)</f>
        <v>3</v>
      </c>
      <c r="I70" s="53">
        <f>IF('G MTTS'!W70=0," ",'G MTTS'!W70*$A$3)</f>
        <v>3</v>
      </c>
      <c r="J70" s="53">
        <f>IF('G MTTS'!Z70=0," ",'G MTTS'!Z70*$A$3)</f>
        <v>3</v>
      </c>
      <c r="K70" s="54">
        <f>'G MTTS'!AF70</f>
        <v>20000</v>
      </c>
      <c r="L70" s="54">
        <f>'G MTTS'!X70</f>
        <v>0</v>
      </c>
      <c r="M70" s="54">
        <f>'G MTTS'!AA70</f>
        <v>30000</v>
      </c>
      <c r="N70" s="55">
        <f>'G MTTS'!AG70</f>
        <v>5</v>
      </c>
      <c r="O70" s="55">
        <f>'G MTTS'!AH70</f>
        <v>5</v>
      </c>
      <c r="P70" s="55">
        <f>'G MTTS'!AI70</f>
        <v>5</v>
      </c>
      <c r="Q70" s="56">
        <f>'G MTTS'!AJ70</f>
        <v>15</v>
      </c>
      <c r="R70" s="46">
        <f t="shared" si="0"/>
        <v>0.857650462962963</v>
      </c>
      <c r="S70" s="47" t="str">
        <f t="shared" si="2"/>
        <v>MICRO</v>
      </c>
    </row>
    <row r="71" ht="29.25" customHeight="1" outlineLevel="1" spans="1:19">
      <c r="B71" s="36">
        <f>'G MTTS'!B71</f>
        <v>0.812511574074074</v>
      </c>
      <c r="C71" s="37" t="str">
        <f>'G MTTS'!J71</f>
        <v>FreeRoll Suprema</v>
      </c>
      <c r="D71" s="38" t="str">
        <f>'G MTTS'!M71</f>
        <v>Side Event</v>
      </c>
      <c r="E71" s="39" t="str">
        <f>'G MTTS'!N71</f>
        <v>NLH</v>
      </c>
      <c r="F71" s="40" t="str">
        <f>'G MTTS'!O71</f>
        <v>OFF</v>
      </c>
      <c r="G71" s="41">
        <f>IF('G MTTS'!Q71=0," ",'G MTTS'!Q71*$A$3)</f>
        <v>500</v>
      </c>
      <c r="H71" s="42" t="str">
        <f>IF('G MTTS'!V71=0," ",'G MTTS'!V71*$A$3)</f>
        <v> </v>
      </c>
      <c r="I71" s="42" t="str">
        <f>IF('G MTTS'!W71=0," ",'G MTTS'!W71*$A$3)</f>
        <v> </v>
      </c>
      <c r="J71" s="42" t="str">
        <f>IF('G MTTS'!Z71=0," ",'G MTTS'!Z71*$A$3)</f>
        <v> </v>
      </c>
      <c r="K71" s="43">
        <f>'G MTTS'!AF71</f>
        <v>10000</v>
      </c>
      <c r="L71" s="43">
        <f>'G MTTS'!X71</f>
        <v>0</v>
      </c>
      <c r="M71" s="43" t="str">
        <f>'G MTTS'!AA71</f>
        <v>FREEZE</v>
      </c>
      <c r="N71" s="44">
        <f>'G MTTS'!AG71</f>
        <v>5</v>
      </c>
      <c r="O71" s="44">
        <f>'G MTTS'!AH71</f>
        <v>5</v>
      </c>
      <c r="P71" s="44">
        <f>'G MTTS'!AI71</f>
        <v>5</v>
      </c>
      <c r="Q71" s="45">
        <f>'G MTTS'!AJ71</f>
        <v>6</v>
      </c>
      <c r="R71" s="46">
        <f t="shared" si="0"/>
        <v>0.833344907407407</v>
      </c>
      <c r="S71" s="47" t="str">
        <f t="shared" si="2"/>
        <v>SUPER HIGH</v>
      </c>
    </row>
    <row r="72" ht="29.25" customHeight="1" outlineLevel="1" spans="1:19">
      <c r="B72" s="36">
        <f>'G MTTS'!B72</f>
        <v>0.812511574074074</v>
      </c>
      <c r="C72" s="48" t="str">
        <f>'G MTTS'!J72</f>
        <v>#AS 30K OmaX PKO</v>
      </c>
      <c r="D72" s="49" t="str">
        <f>'G MTTS'!M72</f>
        <v>Side Event</v>
      </c>
      <c r="E72" s="50" t="str">
        <f>'G MTTS'!N72</f>
        <v>PLO5</v>
      </c>
      <c r="F72" s="51" t="str">
        <f>'G MTTS'!O72</f>
        <v>Progressive KO 1/2</v>
      </c>
      <c r="G72" s="52">
        <f>IF('G MTTS'!Q72=0," ",'G MTTS'!Q72*$A$3)</f>
        <v>30000</v>
      </c>
      <c r="H72" s="53">
        <f>IF('G MTTS'!V72=0," ",'G MTTS'!V72*$A$3)</f>
        <v>150</v>
      </c>
      <c r="I72" s="53">
        <f>IF('G MTTS'!W72=0," ",'G MTTS'!W72*$A$3)</f>
        <v>150</v>
      </c>
      <c r="J72" s="53" t="str">
        <f>IF('G MTTS'!Z72=0," ",'G MTTS'!Z72*$A$3)</f>
        <v> </v>
      </c>
      <c r="K72" s="54">
        <f>'G MTTS'!AF72</f>
        <v>60000</v>
      </c>
      <c r="L72" s="54">
        <f>'G MTTS'!X72</f>
        <v>0</v>
      </c>
      <c r="M72" s="54" t="str">
        <f>'G MTTS'!AA72</f>
        <v>REENTRY</v>
      </c>
      <c r="N72" s="55">
        <f>'G MTTS'!AG72</f>
        <v>10</v>
      </c>
      <c r="O72" s="55">
        <f>'G MTTS'!AH72</f>
        <v>10</v>
      </c>
      <c r="P72" s="55">
        <f>'G MTTS'!AI72</f>
        <v>10</v>
      </c>
      <c r="Q72" s="56">
        <f>'G MTTS'!AJ72</f>
        <v>14</v>
      </c>
      <c r="R72" s="46">
        <f t="shared" si="0"/>
        <v>0.916678240740741</v>
      </c>
      <c r="S72" s="47" t="str">
        <f t="shared" si="2"/>
        <v>MEDIUM</v>
      </c>
    </row>
    <row r="73" ht="29.25" customHeight="1" outlineLevel="1" spans="1:19">
      <c r="A73" s="60" t="s">
        <v>512</v>
      </c>
      <c r="B73" s="36">
        <f>'G MTTS'!B73</f>
        <v>0.833344907407407</v>
      </c>
      <c r="C73" s="37" t="str">
        <f>'G MTTS'!J73</f>
        <v>#AS 5K Omax</v>
      </c>
      <c r="D73" s="38" t="str">
        <f>'G MTTS'!M73</f>
        <v>Side Event</v>
      </c>
      <c r="E73" s="39" t="str">
        <f>'G MTTS'!N73</f>
        <v>PLO6</v>
      </c>
      <c r="F73" s="40" t="str">
        <f>'G MTTS'!O73</f>
        <v>OFF</v>
      </c>
      <c r="G73" s="41">
        <f>IF('G MTTS'!Q73=0," ",'G MTTS'!Q73*$A$3)</f>
        <v>5000</v>
      </c>
      <c r="H73" s="42">
        <f>IF('G MTTS'!V73=0," ",'G MTTS'!V73*$A$3)</f>
        <v>10</v>
      </c>
      <c r="I73" s="42">
        <f>IF('G MTTS'!W73=0," ",'G MTTS'!W73*$A$3)</f>
        <v>10</v>
      </c>
      <c r="J73" s="42">
        <f>IF('G MTTS'!Z73=0," ",'G MTTS'!Z73*$A$3)</f>
        <v>10</v>
      </c>
      <c r="K73" s="43">
        <f>'G MTTS'!AF73</f>
        <v>40000</v>
      </c>
      <c r="L73" s="43">
        <f>'G MTTS'!X73</f>
        <v>0</v>
      </c>
      <c r="M73" s="43">
        <f>'G MTTS'!AA73</f>
        <v>120000</v>
      </c>
      <c r="N73" s="44">
        <f>'G MTTS'!AG73</f>
        <v>10</v>
      </c>
      <c r="O73" s="44">
        <f>'G MTTS'!AH73</f>
        <v>8</v>
      </c>
      <c r="P73" s="44">
        <f>'G MTTS'!AI73</f>
        <v>8</v>
      </c>
      <c r="Q73" s="45">
        <f>'G MTTS'!AJ73</f>
        <v>12</v>
      </c>
      <c r="R73" s="46">
        <f t="shared" si="0"/>
        <v>0.923622685185185</v>
      </c>
      <c r="S73" s="47" t="str">
        <f t="shared" si="2"/>
        <v>MICRO</v>
      </c>
    </row>
    <row r="74" ht="29.25" customHeight="1" outlineLevel="1" spans="1:19">
      <c r="B74" s="36">
        <f>'G MTTS'!B74</f>
        <v>0.833344907407407</v>
      </c>
      <c r="C74" s="48" t="str">
        <f>'G MTTS'!J74</f>
        <v>#AS 20K Freeze</v>
      </c>
      <c r="D74" s="49" t="str">
        <f>'G MTTS'!M74</f>
        <v>Side Event</v>
      </c>
      <c r="E74" s="50" t="str">
        <f>'G MTTS'!N74</f>
        <v>NLH</v>
      </c>
      <c r="F74" s="51" t="str">
        <f>'G MTTS'!O74</f>
        <v>OFF</v>
      </c>
      <c r="G74" s="52">
        <f>IF('G MTTS'!Q74=0," ",'G MTTS'!Q74*$A$3)</f>
        <v>20000</v>
      </c>
      <c r="H74" s="53">
        <f>IF('G MTTS'!V74=0," ",'G MTTS'!V74*$A$3)</f>
        <v>75</v>
      </c>
      <c r="I74" s="53" t="str">
        <f>IF('G MTTS'!W74=0," ",'G MTTS'!W74*$A$3)</f>
        <v> </v>
      </c>
      <c r="J74" s="53" t="str">
        <f>IF('G MTTS'!Z74=0," ",'G MTTS'!Z74*$A$3)</f>
        <v> </v>
      </c>
      <c r="K74" s="54">
        <f>'G MTTS'!AF74</f>
        <v>50000</v>
      </c>
      <c r="L74" s="54">
        <f>'G MTTS'!X74</f>
        <v>0</v>
      </c>
      <c r="M74" s="54" t="str">
        <f>'G MTTS'!AA74</f>
        <v>FREEZE</v>
      </c>
      <c r="N74" s="55">
        <f>'G MTTS'!AG74</f>
        <v>10</v>
      </c>
      <c r="O74" s="55">
        <f>'G MTTS'!AH74</f>
        <v>10</v>
      </c>
      <c r="P74" s="55">
        <f>'G MTTS'!AI74</f>
        <v>10</v>
      </c>
      <c r="Q74" s="56">
        <f>'G MTTS'!AJ74</f>
        <v>15</v>
      </c>
      <c r="R74" s="46">
        <f t="shared" si="0"/>
        <v>0.944456018518518</v>
      </c>
      <c r="S74" s="47" t="str">
        <f t="shared" si="2"/>
        <v>LOW</v>
      </c>
    </row>
    <row r="75" ht="29.25" customHeight="1" outlineLevel="1" spans="1:19">
      <c r="B75" s="36">
        <f>'G MTTS'!B75</f>
        <v>0.833344907407407</v>
      </c>
      <c r="C75" s="37" t="str">
        <f>'G MTTS'!J75</f>
        <v>#AS 20K Omax Turbo</v>
      </c>
      <c r="D75" s="38" t="str">
        <f>'G MTTS'!M75</f>
        <v>Side Event</v>
      </c>
      <c r="E75" s="39" t="str">
        <f>'G MTTS'!N75</f>
        <v>PLO5</v>
      </c>
      <c r="F75" s="40" t="str">
        <f>'G MTTS'!O75</f>
        <v>Progressive KO 1/2</v>
      </c>
      <c r="G75" s="41">
        <f>IF('G MTTS'!Q75=0," ",'G MTTS'!Q75*$A$3)</f>
        <v>20000</v>
      </c>
      <c r="H75" s="42">
        <f>IF('G MTTS'!V75=0," ",'G MTTS'!V75*$A$3)</f>
        <v>55</v>
      </c>
      <c r="I75" s="42">
        <f>IF('G MTTS'!W75=0," ",'G MTTS'!W75*$A$3)</f>
        <v>55</v>
      </c>
      <c r="J75" s="42" t="str">
        <f>IF('G MTTS'!Z75=0," ",'G MTTS'!Z75*$A$3)</f>
        <v> </v>
      </c>
      <c r="K75" s="43">
        <f>'G MTTS'!AF75</f>
        <v>50000</v>
      </c>
      <c r="L75" s="43">
        <f>'G MTTS'!X75</f>
        <v>0</v>
      </c>
      <c r="M75" s="43" t="str">
        <f>'G MTTS'!AA75</f>
        <v>REENTRY</v>
      </c>
      <c r="N75" s="44">
        <f>'G MTTS'!AG75</f>
        <v>8</v>
      </c>
      <c r="O75" s="44">
        <f>'G MTTS'!AH75</f>
        <v>7</v>
      </c>
      <c r="P75" s="44">
        <f>'G MTTS'!AI75</f>
        <v>7</v>
      </c>
      <c r="Q75" s="45">
        <f>'G MTTS'!AJ75</f>
        <v>15</v>
      </c>
      <c r="R75" s="46">
        <f t="shared" si="0"/>
        <v>0.923622685185185</v>
      </c>
      <c r="S75" s="47" t="str">
        <f t="shared" si="2"/>
        <v>LOW</v>
      </c>
    </row>
    <row r="76" ht="29.25" customHeight="1" outlineLevel="1" spans="1:19">
      <c r="A76" s="60" t="s">
        <v>512</v>
      </c>
      <c r="B76" s="36">
        <f>'G MTTS'!B76</f>
        <v>0.833344907407407</v>
      </c>
      <c r="C76" s="48" t="str">
        <f>'G MTTS'!J76</f>
        <v>#AS 20K Plus+SPS</v>
      </c>
      <c r="D76" s="49" t="str">
        <f>'G MTTS'!M76</f>
        <v>Side Event</v>
      </c>
      <c r="E76" s="50" t="str">
        <f>'G MTTS'!N76</f>
        <v>NLH</v>
      </c>
      <c r="F76" s="51" t="str">
        <f>'G MTTS'!O76</f>
        <v>OFF</v>
      </c>
      <c r="G76" s="52">
        <f>IF('G MTTS'!Q76=0," ",'G MTTS'!Q76*$A$3)</f>
        <v>21000</v>
      </c>
      <c r="H76" s="53">
        <f>IF('G MTTS'!V76=0," ",'G MTTS'!V76*$A$3)</f>
        <v>5</v>
      </c>
      <c r="I76" s="53">
        <f>IF('G MTTS'!W76=0," ",'G MTTS'!W76*$A$3)</f>
        <v>5</v>
      </c>
      <c r="J76" s="53">
        <f>IF('G MTTS'!Z76=0," ",'G MTTS'!Z76*$A$3)</f>
        <v>5</v>
      </c>
      <c r="K76" s="54">
        <f>'G MTTS'!AF76</f>
        <v>40000</v>
      </c>
      <c r="L76" s="54">
        <f>'G MTTS'!X76</f>
        <v>0</v>
      </c>
      <c r="M76" s="54">
        <f>'G MTTS'!AA76</f>
        <v>160000</v>
      </c>
      <c r="N76" s="55">
        <f>'G MTTS'!AG76</f>
        <v>8</v>
      </c>
      <c r="O76" s="55">
        <f>'G MTTS'!AH76</f>
        <v>7</v>
      </c>
      <c r="P76" s="55">
        <f>'G MTTS'!AI76</f>
        <v>8</v>
      </c>
      <c r="Q76" s="56">
        <f>'G MTTS'!AJ76</f>
        <v>15</v>
      </c>
      <c r="R76" s="46">
        <f t="shared" si="0"/>
        <v>0.923622685185185</v>
      </c>
      <c r="S76" s="47" t="str">
        <f t="shared" si="2"/>
        <v>MICRO</v>
      </c>
    </row>
    <row r="77" ht="29.25" customHeight="1" outlineLevel="1" spans="1:19">
      <c r="B77" s="36">
        <f>'G MTTS'!B77</f>
        <v>0.833344907407407</v>
      </c>
      <c r="C77" s="37" t="str">
        <f>'G MTTS'!J77</f>
        <v>#AS 15K Mystery</v>
      </c>
      <c r="D77" s="38" t="str">
        <f>'G MTTS'!M77</f>
        <v>Side Event</v>
      </c>
      <c r="E77" s="39" t="str">
        <f>'G MTTS'!N77</f>
        <v>NLH</v>
      </c>
      <c r="F77" s="40" t="str">
        <f>'G MTTS'!O77</f>
        <v>Mystery Bounty 1/2</v>
      </c>
      <c r="G77" s="41">
        <f>IF('G MTTS'!Q77=0," ",'G MTTS'!Q77*$A$3)</f>
        <v>15000</v>
      </c>
      <c r="H77" s="42">
        <f>IF('G MTTS'!V77=0," ",'G MTTS'!V77*$A$3)</f>
        <v>40</v>
      </c>
      <c r="I77" s="42">
        <f>IF('G MTTS'!W77=0," ",'G MTTS'!W77*$A$3)</f>
        <v>40</v>
      </c>
      <c r="J77" s="42" t="str">
        <f>IF('G MTTS'!Z77=0," ",'G MTTS'!Z77*$A$3)</f>
        <v> </v>
      </c>
      <c r="K77" s="43">
        <f>'G MTTS'!AF77</f>
        <v>60000</v>
      </c>
      <c r="L77" s="43">
        <f>'G MTTS'!X77</f>
        <v>0</v>
      </c>
      <c r="M77" s="43" t="str">
        <f>'G MTTS'!AA77</f>
        <v>REENTRY</v>
      </c>
      <c r="N77" s="44">
        <f>'G MTTS'!AG77</f>
        <v>10</v>
      </c>
      <c r="O77" s="44">
        <f>'G MTTS'!AH77</f>
        <v>8</v>
      </c>
      <c r="P77" s="44">
        <f>'G MTTS'!AI77</f>
        <v>8</v>
      </c>
      <c r="Q77" s="45">
        <f>'G MTTS'!AJ77</f>
        <v>14</v>
      </c>
      <c r="R77" s="46">
        <f t="shared" si="0"/>
        <v>0.937511574074074</v>
      </c>
      <c r="S77" s="47" t="str">
        <f t="shared" si="2"/>
        <v>LOW</v>
      </c>
    </row>
    <row r="78" ht="29.25" customHeight="1" outlineLevel="1" spans="1:19">
      <c r="A78" s="60"/>
      <c r="B78" s="60"/>
      <c r="C78" s="89"/>
      <c r="D78" s="89"/>
      <c r="E78" s="89"/>
      <c r="F78" s="89"/>
      <c r="G78" s="90"/>
      <c r="H78" s="91"/>
      <c r="I78" s="91"/>
      <c r="J78" s="92"/>
      <c r="K78" s="93"/>
      <c r="L78" s="93"/>
      <c r="M78" s="93"/>
      <c r="N78" s="89"/>
      <c r="O78" s="89"/>
      <c r="P78" s="89"/>
      <c r="Q78" s="89"/>
      <c r="R78" s="89"/>
      <c r="S78" s="47" t="str">
        <f t="shared" si="2"/>
        <v> </v>
      </c>
    </row>
    <row r="79" ht="29.25" customHeight="1" outlineLevel="1" spans="1:19">
      <c r="A79" s="94" t="s">
        <v>193</v>
      </c>
      <c r="B79" s="95"/>
      <c r="C79" s="96" t="s">
        <v>514</v>
      </c>
      <c r="Q79" s="22"/>
      <c r="R79" s="46" t="str">
        <f t="shared" ref="R79:R80" si="3">IF(B79=0," ",TIME(,ROUNDDOWN(N79*Q79/60,0)*5+(N79*Q79),)+B79)</f>
        <v> </v>
      </c>
      <c r="S79" s="47" t="str">
        <f t="shared" si="2"/>
        <v> </v>
      </c>
    </row>
    <row r="80" ht="29.25" customHeight="1" outlineLevel="1" spans="1:19">
      <c r="A80" s="97" t="str">
        <f>'G MTTS'!J79</f>
        <v>#AS Reentry</v>
      </c>
      <c r="B80" s="98">
        <f>'G MTTS'!B79</f>
        <v>0.416678240740741</v>
      </c>
      <c r="C80" s="99" t="str">
        <f>'G MTTS'!L79</f>
        <v>4 Seats Reentry</v>
      </c>
      <c r="D80" s="100" t="str">
        <f>'G MTTS'!M79</f>
        <v>SAT</v>
      </c>
      <c r="E80" s="101" t="str">
        <f>'G MTTS'!N79</f>
        <v>NLH</v>
      </c>
      <c r="F80" s="102" t="str">
        <f>'G MTTS'!O79</f>
        <v>OFF</v>
      </c>
      <c r="G80" s="103">
        <f>IF('G MTTS'!Q79=0," ",'G MTTS'!Q79*$A$3)</f>
        <v>300</v>
      </c>
      <c r="H80" s="104">
        <f>IF('G MTTS'!V79=0," ",'G MTTS'!V79*$A$3)</f>
        <v>4</v>
      </c>
      <c r="I80" s="104">
        <f>IF('G MTTS'!W79=0," ",'G MTTS'!W79*$A$3)</f>
        <v>4</v>
      </c>
      <c r="J80" s="104">
        <f>IF('G MTTS'!Z79=0," ",'G MTTS'!Z79*$A$3)</f>
        <v>4</v>
      </c>
      <c r="K80" s="105">
        <f>'G MTTS'!AF79</f>
        <v>10000</v>
      </c>
      <c r="L80" s="105">
        <f>'G MTTS'!X79</f>
        <v>0</v>
      </c>
      <c r="M80" s="105">
        <f>'G MTTS'!AA79</f>
        <v>20000</v>
      </c>
      <c r="N80" s="106">
        <f>'G MTTS'!AG79</f>
        <v>4</v>
      </c>
      <c r="O80" s="106">
        <f>'G MTTS'!AH79</f>
        <v>4</v>
      </c>
      <c r="P80" s="106">
        <f>'G MTTS'!AI79</f>
        <v>4</v>
      </c>
      <c r="Q80" s="107">
        <f>'G MTTS'!AJ79</f>
        <v>9</v>
      </c>
      <c r="R80" s="46">
        <f t="shared" si="3"/>
        <v>0.441678240740741</v>
      </c>
      <c r="S80" s="47" t="str">
        <f t="shared" si="2"/>
        <v>MICRO</v>
      </c>
    </row>
    <row r="81" ht="29.25" customHeight="1" outlineLevel="1" spans="1:19">
      <c r="A81" s="108"/>
      <c r="B81" s="109"/>
      <c r="C81" s="110"/>
      <c r="D81" s="111"/>
      <c r="E81" s="112"/>
      <c r="F81" s="113"/>
      <c r="G81" s="114"/>
      <c r="H81" s="115"/>
      <c r="I81" s="115"/>
      <c r="J81" s="115"/>
      <c r="K81" s="116"/>
      <c r="L81" s="116"/>
      <c r="M81" s="116"/>
      <c r="N81" s="117"/>
      <c r="O81" s="117"/>
      <c r="P81" s="117"/>
      <c r="Q81" s="118"/>
      <c r="R81" s="46"/>
      <c r="S81" s="47"/>
    </row>
    <row r="82" ht="29.25" customHeight="1" outlineLevel="1" spans="1:19">
      <c r="A82" s="119" t="str">
        <f>'G MTTS'!J81</f>
        <v>#AS OmaX PKO</v>
      </c>
      <c r="B82" s="98">
        <f>'G MTTS'!B81</f>
        <v>0.437511574074074</v>
      </c>
      <c r="C82" s="99" t="str">
        <f>'G MTTS'!L81</f>
        <v>5 Seats OmaX PKO</v>
      </c>
      <c r="D82" s="120" t="str">
        <f>'G MTTS'!M81</f>
        <v>SAT</v>
      </c>
      <c r="E82" s="101" t="str">
        <f>'G MTTS'!N81</f>
        <v>PLO5</v>
      </c>
      <c r="F82" s="102" t="str">
        <f>'G MTTS'!O81</f>
        <v>OFF</v>
      </c>
      <c r="G82" s="103">
        <f>IF('G MTTS'!Q81=0," ",'G MTTS'!Q81*$A$3)</f>
        <v>300</v>
      </c>
      <c r="H82" s="104">
        <f>IF('G MTTS'!V81=0," ",'G MTTS'!V81*$A$3)</f>
        <v>3</v>
      </c>
      <c r="I82" s="104">
        <f>IF('G MTTS'!W81=0," ",'G MTTS'!W81*$A$3)</f>
        <v>3</v>
      </c>
      <c r="J82" s="104">
        <f>IF('G MTTS'!Z81=0," ",'G MTTS'!Z81*$A$3)</f>
        <v>4</v>
      </c>
      <c r="K82" s="105">
        <f>'G MTTS'!AF81</f>
        <v>10000</v>
      </c>
      <c r="L82" s="105">
        <f>'G MTTS'!X81</f>
        <v>0</v>
      </c>
      <c r="M82" s="105">
        <f>'G MTTS'!AA81</f>
        <v>20000</v>
      </c>
      <c r="N82" s="106">
        <f>'G MTTS'!AG81</f>
        <v>4</v>
      </c>
      <c r="O82" s="106">
        <f>'G MTTS'!AH81</f>
        <v>4</v>
      </c>
      <c r="P82" s="106">
        <f>'G MTTS'!AI81</f>
        <v>4</v>
      </c>
      <c r="Q82" s="107">
        <f>'G MTTS'!AJ81</f>
        <v>9</v>
      </c>
      <c r="R82" s="46">
        <f t="shared" ref="R82:R91" si="4">IF(B82=0," ",TIME(,ROUNDDOWN(N82*Q82/60,0)*5+(N82*Q82),)+B82)</f>
        <v>0.462511574074074</v>
      </c>
      <c r="S82" s="47" t="str">
        <f t="shared" ref="S82:S91" si="5">IFERROR(IF(H82=0," ",IF(H82&lt;=25,"MICRO",IF(H82&lt;=99,"LOW",IF(H82&lt;=499,"MEDIUM",IF(H82&lt;=2500,"HIGH",IF(H82&gt;2500,"SUPER HIGH",)))))),"")</f>
        <v>MICRO</v>
      </c>
    </row>
    <row r="83" ht="29.25" customHeight="1" outlineLevel="1" spans="1:19">
      <c r="A83" s="108"/>
      <c r="B83" s="109"/>
      <c r="C83" s="110"/>
      <c r="D83" s="111"/>
      <c r="E83" s="112"/>
      <c r="F83" s="113"/>
      <c r="G83" s="114"/>
      <c r="H83" s="115"/>
      <c r="I83" s="115"/>
      <c r="J83" s="115"/>
      <c r="K83" s="116"/>
      <c r="L83" s="116"/>
      <c r="M83" s="116"/>
      <c r="N83" s="117"/>
      <c r="O83" s="117"/>
      <c r="P83" s="117"/>
      <c r="Q83" s="118"/>
      <c r="R83" s="46" t="str">
        <f t="shared" si="4"/>
        <v> </v>
      </c>
      <c r="S83" s="47" t="str">
        <f t="shared" si="5"/>
        <v> </v>
      </c>
    </row>
    <row r="84" ht="29.25" customHeight="1" outlineLevel="1" spans="1:19">
      <c r="A84" s="121" t="str">
        <f>'G MTTS'!J83</f>
        <v>#AS WarmUp</v>
      </c>
      <c r="B84" s="122">
        <f>'G MTTS'!B83</f>
        <v>0.437511574074074</v>
      </c>
      <c r="C84" s="123" t="str">
        <f>'G MTTS'!L83</f>
        <v>5 Seats WarmUp</v>
      </c>
      <c r="D84" s="120" t="str">
        <f>'G MTTS'!M83</f>
        <v>SAT</v>
      </c>
      <c r="E84" s="101" t="str">
        <f>'G MTTS'!N83</f>
        <v>NLH</v>
      </c>
      <c r="F84" s="102" t="str">
        <f>'G MTTS'!O83</f>
        <v>OFF</v>
      </c>
      <c r="G84" s="103">
        <f>IF('G MTTS'!Q83=0," ",'G MTTS'!Q83*$A$3)</f>
        <v>550</v>
      </c>
      <c r="H84" s="104">
        <f>IF('G MTTS'!V83=0," ",'G MTTS'!V83*$A$3)</f>
        <v>6</v>
      </c>
      <c r="I84" s="104">
        <f>IF('G MTTS'!W83=0," ",'G MTTS'!W83*$A$3)</f>
        <v>6</v>
      </c>
      <c r="J84" s="104">
        <f>IF('G MTTS'!Z83=0," ",'G MTTS'!Z83*$A$3)</f>
        <v>6</v>
      </c>
      <c r="K84" s="105">
        <f>'G MTTS'!AF83</f>
        <v>10000</v>
      </c>
      <c r="L84" s="105">
        <f>'G MTTS'!X83</f>
        <v>0</v>
      </c>
      <c r="M84" s="105">
        <f>'G MTTS'!AA83</f>
        <v>20000</v>
      </c>
      <c r="N84" s="106">
        <f>'G MTTS'!AG83</f>
        <v>5</v>
      </c>
      <c r="O84" s="106">
        <f>'G MTTS'!AH83</f>
        <v>4</v>
      </c>
      <c r="P84" s="106">
        <f>'G MTTS'!AI83</f>
        <v>4</v>
      </c>
      <c r="Q84" s="107">
        <f>'G MTTS'!AJ83</f>
        <v>9</v>
      </c>
      <c r="R84" s="46">
        <f t="shared" si="4"/>
        <v>0.468761574074074</v>
      </c>
      <c r="S84" s="47" t="str">
        <f t="shared" si="5"/>
        <v>MICRO</v>
      </c>
    </row>
    <row r="85" ht="29.25" customHeight="1" outlineLevel="1" spans="1:19">
      <c r="A85" s="124"/>
      <c r="B85" s="125">
        <f>'G MTTS'!B84</f>
        <v>0.479178240740741</v>
      </c>
      <c r="C85" s="126" t="str">
        <f>'G MTTS'!L84</f>
        <v>5 Seats WarmUp</v>
      </c>
      <c r="D85" s="120" t="str">
        <f>'G MTTS'!M84</f>
        <v>SAT</v>
      </c>
      <c r="E85" s="101" t="str">
        <f>'G MTTS'!N84</f>
        <v>NLH</v>
      </c>
      <c r="F85" s="102" t="str">
        <f>'G MTTS'!O84</f>
        <v>OFF</v>
      </c>
      <c r="G85" s="103">
        <f>IF('G MTTS'!Q84=0," ",'G MTTS'!Q84*$A$3)</f>
        <v>550</v>
      </c>
      <c r="H85" s="104">
        <f>IF('G MTTS'!V84=0," ",'G MTTS'!V84*$A$3)</f>
        <v>6</v>
      </c>
      <c r="I85" s="104">
        <f>IF('G MTTS'!W84=0," ",'G MTTS'!W84*$A$3)</f>
        <v>6</v>
      </c>
      <c r="J85" s="104">
        <f>IF('G MTTS'!Z84=0," ",'G MTTS'!Z84*$A$3)</f>
        <v>6</v>
      </c>
      <c r="K85" s="105">
        <f>'G MTTS'!AF84</f>
        <v>10000</v>
      </c>
      <c r="L85" s="105">
        <f>'G MTTS'!X84</f>
        <v>0</v>
      </c>
      <c r="M85" s="105">
        <f>'G MTTS'!AA84</f>
        <v>20000</v>
      </c>
      <c r="N85" s="106">
        <f>'G MTTS'!AG84</f>
        <v>4</v>
      </c>
      <c r="O85" s="106">
        <f>'G MTTS'!AH84</f>
        <v>4</v>
      </c>
      <c r="P85" s="106">
        <f>'G MTTS'!AI84</f>
        <v>4</v>
      </c>
      <c r="Q85" s="107">
        <f>'G MTTS'!AJ84</f>
        <v>9</v>
      </c>
      <c r="R85" s="46">
        <f t="shared" si="4"/>
        <v>0.504178240740741</v>
      </c>
      <c r="S85" s="47" t="str">
        <f t="shared" si="5"/>
        <v>MICRO</v>
      </c>
    </row>
    <row r="86" ht="29.25" customHeight="1" outlineLevel="1" spans="1:19">
      <c r="A86" s="127"/>
      <c r="B86" s="109"/>
      <c r="C86" s="110"/>
      <c r="D86" s="111"/>
      <c r="E86" s="112"/>
      <c r="F86" s="113"/>
      <c r="G86" s="114"/>
      <c r="H86" s="115"/>
      <c r="I86" s="115"/>
      <c r="J86" s="115"/>
      <c r="K86" s="116"/>
      <c r="L86" s="116"/>
      <c r="M86" s="116"/>
      <c r="N86" s="117"/>
      <c r="O86" s="117"/>
      <c r="P86" s="117"/>
      <c r="Q86" s="118"/>
      <c r="R86" s="46" t="str">
        <f t="shared" si="4"/>
        <v> </v>
      </c>
      <c r="S86" s="47" t="str">
        <f t="shared" si="5"/>
        <v> </v>
      </c>
    </row>
    <row r="87" ht="29.25" customHeight="1" outlineLevel="1" spans="1:19">
      <c r="A87" s="121" t="str">
        <f>'G MTTS'!J86</f>
        <v>#AS Battle HR+SPS</v>
      </c>
      <c r="B87" s="122">
        <f>'G MTTS'!B86</f>
        <v>0.541678240740741</v>
      </c>
      <c r="C87" s="123" t="str">
        <f>'G MTTS'!L86</f>
        <v>4 Seats Battle HR</v>
      </c>
      <c r="D87" s="120" t="str">
        <f>'G MTTS'!M86</f>
        <v>SAT</v>
      </c>
      <c r="E87" s="101" t="str">
        <f>'G MTTS'!N86</f>
        <v>NLH</v>
      </c>
      <c r="F87" s="102" t="str">
        <f>'G MTTS'!O86</f>
        <v>OFF</v>
      </c>
      <c r="G87" s="103">
        <f>IF('G MTTS'!Q86=0," ",'G MTTS'!Q86*$A$3)</f>
        <v>1000</v>
      </c>
      <c r="H87" s="104">
        <f>IF('G MTTS'!V86=0," ",'G MTTS'!V86*$A$3)</f>
        <v>15</v>
      </c>
      <c r="I87" s="104">
        <f>IF('G MTTS'!W86=0," ",'G MTTS'!W86*$A$3)</f>
        <v>15</v>
      </c>
      <c r="J87" s="104">
        <f>IF('G MTTS'!Z86=0," ",'G MTTS'!Z86*$A$3)</f>
        <v>15</v>
      </c>
      <c r="K87" s="105">
        <f>'G MTTS'!AF86</f>
        <v>10000</v>
      </c>
      <c r="L87" s="105">
        <f>'G MTTS'!X86</f>
        <v>0</v>
      </c>
      <c r="M87" s="105">
        <f>'G MTTS'!AA86</f>
        <v>20000</v>
      </c>
      <c r="N87" s="106">
        <f>'G MTTS'!AG86</f>
        <v>5</v>
      </c>
      <c r="O87" s="106">
        <f>'G MTTS'!AH86</f>
        <v>4</v>
      </c>
      <c r="P87" s="106">
        <f>'G MTTS'!AI86</f>
        <v>4</v>
      </c>
      <c r="Q87" s="107">
        <f>'G MTTS'!AJ86</f>
        <v>9</v>
      </c>
      <c r="R87" s="46">
        <f t="shared" si="4"/>
        <v>0.572928240740741</v>
      </c>
      <c r="S87" s="47" t="str">
        <f t="shared" si="5"/>
        <v>MICRO</v>
      </c>
    </row>
    <row r="88" ht="29.25" customHeight="1" outlineLevel="1" spans="1:19">
      <c r="A88" s="29"/>
      <c r="B88" s="128">
        <f>'G MTTS'!B87</f>
        <v>0.583344907407407</v>
      </c>
      <c r="C88" s="129" t="str">
        <f>'G MTTS'!L87</f>
        <v>6 Seats Battle HR</v>
      </c>
      <c r="D88" s="120" t="str">
        <f>'G MTTS'!M87</f>
        <v>SAT</v>
      </c>
      <c r="E88" s="101" t="str">
        <f>'G MTTS'!N87</f>
        <v>NLH</v>
      </c>
      <c r="F88" s="102" t="str">
        <f>'G MTTS'!O87</f>
        <v>OFF</v>
      </c>
      <c r="G88" s="103">
        <f>IF('G MTTS'!Q87=0," ",'G MTTS'!Q87*$A$3)</f>
        <v>1500</v>
      </c>
      <c r="H88" s="104">
        <f>IF('G MTTS'!V87=0," ",'G MTTS'!V87*$A$3)</f>
        <v>16</v>
      </c>
      <c r="I88" s="104">
        <f>IF('G MTTS'!W87=0," ",'G MTTS'!W87*$A$3)</f>
        <v>16</v>
      </c>
      <c r="J88" s="104">
        <f>IF('G MTTS'!Z87=0," ",'G MTTS'!Z87*$A$3)</f>
        <v>16</v>
      </c>
      <c r="K88" s="105">
        <f>'G MTTS'!AF87</f>
        <v>10000</v>
      </c>
      <c r="L88" s="105">
        <f>'G MTTS'!X87</f>
        <v>0</v>
      </c>
      <c r="M88" s="105">
        <f>'G MTTS'!AA87</f>
        <v>20000</v>
      </c>
      <c r="N88" s="106">
        <f>'G MTTS'!AG87</f>
        <v>5</v>
      </c>
      <c r="O88" s="106">
        <f>'G MTTS'!AH87</f>
        <v>4</v>
      </c>
      <c r="P88" s="106">
        <f>'G MTTS'!AI87</f>
        <v>4</v>
      </c>
      <c r="Q88" s="107">
        <f>'G MTTS'!AJ87</f>
        <v>9</v>
      </c>
      <c r="R88" s="46">
        <f t="shared" si="4"/>
        <v>0.614594907407407</v>
      </c>
      <c r="S88" s="47" t="str">
        <f t="shared" si="5"/>
        <v>MICRO</v>
      </c>
    </row>
    <row r="89" ht="29.25" customHeight="1" outlineLevel="1" spans="1:19">
      <c r="A89" s="29"/>
      <c r="B89" s="128">
        <f>'G MTTS'!B88</f>
        <v>0.625011574074074</v>
      </c>
      <c r="C89" s="129" t="str">
        <f>'G MTTS'!L88</f>
        <v>7 Seats Battle HR</v>
      </c>
      <c r="D89" s="120" t="str">
        <f>'G MTTS'!M88</f>
        <v>SAT</v>
      </c>
      <c r="E89" s="101" t="str">
        <f>'G MTTS'!N88</f>
        <v>NLH</v>
      </c>
      <c r="F89" s="102" t="str">
        <f>'G MTTS'!O88</f>
        <v>OFF</v>
      </c>
      <c r="G89" s="103">
        <f>IF('G MTTS'!Q88=0," ",'G MTTS'!Q88*$A$3)</f>
        <v>1750</v>
      </c>
      <c r="H89" s="104">
        <f>IF('G MTTS'!V88=0," ",'G MTTS'!V88*$A$3)</f>
        <v>16</v>
      </c>
      <c r="I89" s="104">
        <f>IF('G MTTS'!W88=0," ",'G MTTS'!W88*$A$3)</f>
        <v>16</v>
      </c>
      <c r="J89" s="104">
        <f>IF('G MTTS'!Z88=0," ",'G MTTS'!Z88*$A$3)</f>
        <v>16</v>
      </c>
      <c r="K89" s="105">
        <f>'G MTTS'!AF88</f>
        <v>10000</v>
      </c>
      <c r="L89" s="105">
        <f>'G MTTS'!X88</f>
        <v>0</v>
      </c>
      <c r="M89" s="105">
        <f>'G MTTS'!AA88</f>
        <v>20000</v>
      </c>
      <c r="N89" s="106">
        <f>'G MTTS'!AG88</f>
        <v>5</v>
      </c>
      <c r="O89" s="106">
        <f>'G MTTS'!AH88</f>
        <v>4</v>
      </c>
      <c r="P89" s="106">
        <f>'G MTTS'!AI88</f>
        <v>4</v>
      </c>
      <c r="Q89" s="107">
        <f>'G MTTS'!AJ88</f>
        <v>9</v>
      </c>
      <c r="R89" s="46">
        <f t="shared" si="4"/>
        <v>0.656261574074074</v>
      </c>
      <c r="S89" s="47" t="str">
        <f t="shared" si="5"/>
        <v>MICRO</v>
      </c>
    </row>
    <row r="90" ht="29.25" customHeight="1" outlineLevel="1" spans="1:19">
      <c r="A90" s="29"/>
      <c r="B90" s="128">
        <f>'G MTTS'!B89</f>
        <v>0.687511574074074</v>
      </c>
      <c r="C90" s="129" t="str">
        <f>'G MTTS'!L89</f>
        <v>8 Seats Battle HR</v>
      </c>
      <c r="D90" s="120" t="str">
        <f>'G MTTS'!M89</f>
        <v>SAT</v>
      </c>
      <c r="E90" s="101" t="str">
        <f>'G MTTS'!N89</f>
        <v>NLH</v>
      </c>
      <c r="F90" s="102" t="str">
        <f>'G MTTS'!O89</f>
        <v>OFF</v>
      </c>
      <c r="G90" s="103">
        <f>IF('G MTTS'!Q89=0," ",'G MTTS'!Q89*$A$3)</f>
        <v>2000</v>
      </c>
      <c r="H90" s="104">
        <f>IF('G MTTS'!V89=0," ",'G MTTS'!V89*$A$3)</f>
        <v>16</v>
      </c>
      <c r="I90" s="104">
        <f>IF('G MTTS'!W89=0," ",'G MTTS'!W89*$A$3)</f>
        <v>16</v>
      </c>
      <c r="J90" s="104">
        <f>IF('G MTTS'!Z89=0," ",'G MTTS'!Z89*$A$3)</f>
        <v>16</v>
      </c>
      <c r="K90" s="105">
        <f>'G MTTS'!AF89</f>
        <v>10000</v>
      </c>
      <c r="L90" s="105">
        <f>'G MTTS'!X89</f>
        <v>0</v>
      </c>
      <c r="M90" s="105">
        <f>'G MTTS'!AA89</f>
        <v>20000</v>
      </c>
      <c r="N90" s="106">
        <f>'G MTTS'!AG89</f>
        <v>4</v>
      </c>
      <c r="O90" s="106">
        <f>'G MTTS'!AH89</f>
        <v>4</v>
      </c>
      <c r="P90" s="106">
        <f>'G MTTS'!AI89</f>
        <v>4</v>
      </c>
      <c r="Q90" s="107">
        <f>'G MTTS'!AJ89</f>
        <v>9</v>
      </c>
      <c r="R90" s="46">
        <f t="shared" si="4"/>
        <v>0.712511574074074</v>
      </c>
      <c r="S90" s="47" t="str">
        <f t="shared" si="5"/>
        <v>MICRO</v>
      </c>
    </row>
    <row r="91" ht="29.25" customHeight="1" outlineLevel="1" spans="1:19">
      <c r="A91" s="124"/>
      <c r="B91" s="125">
        <f>'G MTTS'!B90</f>
        <v>0.729178240740741</v>
      </c>
      <c r="C91" s="126" t="str">
        <f>'G MTTS'!L90</f>
        <v>10 Seats Battle HR</v>
      </c>
      <c r="D91" s="120" t="str">
        <f>'G MTTS'!M90</f>
        <v>SAT</v>
      </c>
      <c r="E91" s="101" t="str">
        <f>'G MTTS'!N90</f>
        <v>NLH</v>
      </c>
      <c r="F91" s="102" t="str">
        <f>'G MTTS'!O90</f>
        <v>OFF</v>
      </c>
      <c r="G91" s="103">
        <f>IF('G MTTS'!Q90=0," ",'G MTTS'!Q90*$A$3)</f>
        <v>2500</v>
      </c>
      <c r="H91" s="104">
        <f>IF('G MTTS'!V90=0," ",'G MTTS'!V90*$A$3)</f>
        <v>16</v>
      </c>
      <c r="I91" s="104">
        <f>IF('G MTTS'!W90=0," ",'G MTTS'!W90*$A$3)</f>
        <v>16</v>
      </c>
      <c r="J91" s="104">
        <f>IF('G MTTS'!Z90=0," ",'G MTTS'!Z90*$A$3)</f>
        <v>16</v>
      </c>
      <c r="K91" s="105">
        <f>'G MTTS'!AF90</f>
        <v>10000</v>
      </c>
      <c r="L91" s="105">
        <f>'G MTTS'!X90</f>
        <v>0</v>
      </c>
      <c r="M91" s="105">
        <f>'G MTTS'!AA90</f>
        <v>20000</v>
      </c>
      <c r="N91" s="106">
        <f>'G MTTS'!AG90</f>
        <v>4</v>
      </c>
      <c r="O91" s="106">
        <f>'G MTTS'!AH90</f>
        <v>4</v>
      </c>
      <c r="P91" s="106">
        <f>'G MTTS'!AI90</f>
        <v>4</v>
      </c>
      <c r="Q91" s="107">
        <f>'G MTTS'!AJ90</f>
        <v>9</v>
      </c>
      <c r="R91" s="46">
        <f t="shared" si="4"/>
        <v>0.754178240740741</v>
      </c>
      <c r="S91" s="47" t="str">
        <f t="shared" si="5"/>
        <v>MICRO</v>
      </c>
    </row>
    <row r="92" ht="29.25" customHeight="1" outlineLevel="1" spans="1:19">
      <c r="A92" s="127"/>
      <c r="B92" s="109"/>
      <c r="C92" s="110"/>
      <c r="D92" s="111"/>
      <c r="E92" s="112"/>
      <c r="F92" s="113"/>
      <c r="G92" s="114"/>
      <c r="H92" s="115"/>
      <c r="I92" s="115"/>
      <c r="J92" s="115"/>
      <c r="K92" s="116"/>
      <c r="L92" s="116"/>
      <c r="M92" s="116"/>
      <c r="N92" s="117"/>
      <c r="O92" s="117"/>
      <c r="P92" s="117"/>
      <c r="Q92" s="118"/>
      <c r="R92" s="46"/>
      <c r="S92" s="47"/>
    </row>
    <row r="93" ht="29.25" customHeight="1" outlineLevel="1" spans="1:19">
      <c r="A93" s="119" t="str">
        <f>'G MTTS'!J92</f>
        <v>#AS Bounty</v>
      </c>
      <c r="B93" s="98">
        <f>'G MTTS'!B92</f>
        <v>0.562511574074074</v>
      </c>
      <c r="C93" s="99" t="str">
        <f>'G MTTS'!L92</f>
        <v>5 Seats Bounty</v>
      </c>
      <c r="D93" s="120" t="str">
        <f>'G MTTS'!M92</f>
        <v>SAT</v>
      </c>
      <c r="E93" s="101" t="str">
        <f>'G MTTS'!N92</f>
        <v>NLH</v>
      </c>
      <c r="F93" s="102" t="str">
        <f>'G MTTS'!O92</f>
        <v>OFF</v>
      </c>
      <c r="G93" s="103">
        <f>IF('G MTTS'!Q92=0," ",'G MTTS'!Q92*$A$3)</f>
        <v>400</v>
      </c>
      <c r="H93" s="104">
        <f>IF('G MTTS'!V92=0," ",'G MTTS'!V92*$A$3)</f>
        <v>5</v>
      </c>
      <c r="I93" s="104">
        <f>IF('G MTTS'!W92=0," ",'G MTTS'!W92*$A$3)</f>
        <v>5</v>
      </c>
      <c r="J93" s="104">
        <f>IF('G MTTS'!Z92=0," ",'G MTTS'!Z92*$A$3)</f>
        <v>6</v>
      </c>
      <c r="K93" s="105">
        <f>'G MTTS'!AF92</f>
        <v>10000</v>
      </c>
      <c r="L93" s="105">
        <f>'G MTTS'!X92</f>
        <v>0</v>
      </c>
      <c r="M93" s="105">
        <f>'G MTTS'!AA92</f>
        <v>20000</v>
      </c>
      <c r="N93" s="106">
        <f>'G MTTS'!AG92</f>
        <v>4</v>
      </c>
      <c r="O93" s="106">
        <f>'G MTTS'!AH92</f>
        <v>4</v>
      </c>
      <c r="P93" s="106">
        <f>'G MTTS'!AI92</f>
        <v>4</v>
      </c>
      <c r="Q93" s="107">
        <f>'G MTTS'!AJ92</f>
        <v>9</v>
      </c>
      <c r="R93" s="46">
        <f>IF(B93=0," ",TIME(,ROUNDDOWN(N93*Q93/60,0)*5+(N93*Q93),)+B93)</f>
        <v>0.587511574074074</v>
      </c>
      <c r="S93" s="47" t="str">
        <f>IFERROR(IF(H93=0," ",IF(H93&lt;=25,"MICRO",IF(H93&lt;=99,"LOW",IF(H93&lt;=499,"MEDIUM",IF(H93&lt;=2500,"HIGH",IF(H93&gt;2500,"SUPER HIGH",)))))),"")</f>
        <v>MICRO</v>
      </c>
    </row>
    <row r="94" ht="29.25" customHeight="1" outlineLevel="1" spans="1:19">
      <c r="A94" s="127"/>
      <c r="B94" s="109"/>
      <c r="C94" s="110"/>
      <c r="D94" s="111"/>
      <c r="E94" s="112"/>
      <c r="F94" s="113"/>
      <c r="G94" s="114"/>
      <c r="H94" s="115"/>
      <c r="I94" s="115"/>
      <c r="J94" s="115"/>
      <c r="K94" s="116"/>
      <c r="L94" s="116"/>
      <c r="M94" s="116"/>
      <c r="N94" s="117"/>
      <c r="O94" s="117"/>
      <c r="P94" s="117"/>
      <c r="Q94" s="118"/>
      <c r="R94" s="46"/>
      <c r="S94" s="47"/>
    </row>
    <row r="95" ht="29.25" customHeight="1" outlineLevel="1" spans="1:19">
      <c r="A95" s="119" t="str">
        <f>'G MTTS'!J94</f>
        <v>#AS OmaX PKO</v>
      </c>
      <c r="B95" s="98">
        <f>'G MTTS'!B94</f>
        <v>0.562511574074074</v>
      </c>
      <c r="C95" s="99" t="str">
        <f>'G MTTS'!L94</f>
        <v>4 Seats OmaX PKO</v>
      </c>
      <c r="D95" s="120" t="str">
        <f>'G MTTS'!M94</f>
        <v>SAT</v>
      </c>
      <c r="E95" s="101" t="str">
        <f>'G MTTS'!N94</f>
        <v>PLO5</v>
      </c>
      <c r="F95" s="102" t="str">
        <f>'G MTTS'!O94</f>
        <v>OFF</v>
      </c>
      <c r="G95" s="103">
        <f>IF('G MTTS'!Q94=0," ",'G MTTS'!Q94*$A$3)</f>
        <v>600</v>
      </c>
      <c r="H95" s="104">
        <f>IF('G MTTS'!V94=0," ",'G MTTS'!V94*$A$3)</f>
        <v>9</v>
      </c>
      <c r="I95" s="104">
        <f>IF('G MTTS'!W94=0," ",'G MTTS'!W94*$A$3)</f>
        <v>9</v>
      </c>
      <c r="J95" s="104">
        <f>IF('G MTTS'!Z94=0," ",'G MTTS'!Z94*$A$3)</f>
        <v>9</v>
      </c>
      <c r="K95" s="105">
        <f>'G MTTS'!AF94</f>
        <v>10000</v>
      </c>
      <c r="L95" s="105">
        <f>'G MTTS'!X94</f>
        <v>0</v>
      </c>
      <c r="M95" s="105">
        <f>'G MTTS'!AA94</f>
        <v>20000</v>
      </c>
      <c r="N95" s="106">
        <f>'G MTTS'!AG94</f>
        <v>4</v>
      </c>
      <c r="O95" s="106">
        <f>'G MTTS'!AH94</f>
        <v>4</v>
      </c>
      <c r="P95" s="106">
        <f>'G MTTS'!AI94</f>
        <v>4</v>
      </c>
      <c r="Q95" s="107">
        <f>'G MTTS'!AJ94</f>
        <v>9</v>
      </c>
      <c r="R95" s="46">
        <f>IF(B95=0," ",TIME(,ROUNDDOWN(N95*Q95/60,0)*5+(N95*Q95),)+B95)</f>
        <v>0.587511574074074</v>
      </c>
      <c r="S95" s="47" t="str">
        <f>IFERROR(IF(H95=0," ",IF(H95&lt;=25,"MICRO",IF(H95&lt;=99,"LOW",IF(H95&lt;=499,"MEDIUM",IF(H95&lt;=2500,"HIGH",IF(H95&gt;2500,"SUPER HIGH",)))))),"")</f>
        <v>MICRO</v>
      </c>
    </row>
    <row r="96" ht="29.25" customHeight="1" outlineLevel="1" spans="1:19">
      <c r="A96" s="127"/>
      <c r="B96" s="109"/>
      <c r="C96" s="110"/>
      <c r="D96" s="111"/>
      <c r="E96" s="112"/>
      <c r="F96" s="113"/>
      <c r="G96" s="114"/>
      <c r="H96" s="115"/>
      <c r="I96" s="115"/>
      <c r="J96" s="115"/>
      <c r="K96" s="116"/>
      <c r="L96" s="116"/>
      <c r="M96" s="116"/>
      <c r="N96" s="117"/>
      <c r="O96" s="117"/>
      <c r="P96" s="117"/>
      <c r="Q96" s="118"/>
      <c r="R96" s="46"/>
      <c r="S96" s="47"/>
    </row>
    <row r="97" ht="29.25" customHeight="1" outlineLevel="1" spans="1:19">
      <c r="A97" s="121" t="str">
        <f>'G MTTS'!J96</f>
        <v>#AS Battle+SPS</v>
      </c>
      <c r="B97" s="122">
        <f>'G MTTS'!B96</f>
        <v>0.666678240740741</v>
      </c>
      <c r="C97" s="123" t="str">
        <f>'G MTTS'!L96</f>
        <v>8 Seats Battle</v>
      </c>
      <c r="D97" s="120" t="str">
        <f>'G MTTS'!M96</f>
        <v>SAT</v>
      </c>
      <c r="E97" s="101" t="str">
        <f>'G MTTS'!N96</f>
        <v>NLH</v>
      </c>
      <c r="F97" s="102" t="str">
        <f>'G MTTS'!O96</f>
        <v>OFF</v>
      </c>
      <c r="G97" s="103">
        <f>IF('G MTTS'!Q96=0," ",'G MTTS'!Q96*$A$3)</f>
        <v>600</v>
      </c>
      <c r="H97" s="104">
        <f>IF('G MTTS'!V96=0," ",'G MTTS'!V96*$A$3)</f>
        <v>5</v>
      </c>
      <c r="I97" s="104">
        <f>IF('G MTTS'!W96=0," ",'G MTTS'!W96*$A$3)</f>
        <v>5</v>
      </c>
      <c r="J97" s="104">
        <f>IF('G MTTS'!Z96=0," ",'G MTTS'!Z96*$A$3)</f>
        <v>5</v>
      </c>
      <c r="K97" s="105">
        <f>'G MTTS'!AF96</f>
        <v>10000</v>
      </c>
      <c r="L97" s="105">
        <f>'G MTTS'!X96</f>
        <v>0</v>
      </c>
      <c r="M97" s="105">
        <f>'G MTTS'!AA96</f>
        <v>20000</v>
      </c>
      <c r="N97" s="106">
        <f>'G MTTS'!AG96</f>
        <v>5</v>
      </c>
      <c r="O97" s="106">
        <f>'G MTTS'!AH96</f>
        <v>4</v>
      </c>
      <c r="P97" s="106">
        <f>'G MTTS'!AI96</f>
        <v>4</v>
      </c>
      <c r="Q97" s="107">
        <f>'G MTTS'!AJ96</f>
        <v>9</v>
      </c>
      <c r="R97" s="46">
        <f t="shared" ref="R97:R98" si="6">IF(B97=0," ",TIME(,ROUNDDOWN(N97*Q97/60,0)*5+(N97*Q97),)+B97)</f>
        <v>0.697928240740741</v>
      </c>
      <c r="S97" s="47" t="str">
        <f t="shared" ref="S97:S98" si="7">IFERROR(IF(H97=0," ",IF(H97&lt;=25,"MICRO",IF(H97&lt;=99,"LOW",IF(H97&lt;=499,"MEDIUM",IF(H97&lt;=2500,"HIGH",IF(H97&gt;2500,"SUPER HIGH",)))))),"")</f>
        <v>MICRO</v>
      </c>
    </row>
    <row r="98" ht="29.25" customHeight="1" outlineLevel="1" spans="1:19">
      <c r="A98" s="124"/>
      <c r="B98" s="125">
        <f>'G MTTS'!B97</f>
        <v>0.708344907407407</v>
      </c>
      <c r="C98" s="126" t="str">
        <f>'G MTTS'!L97</f>
        <v>8 Seats Battle</v>
      </c>
      <c r="D98" s="120" t="str">
        <f>'G MTTS'!M97</f>
        <v>SAT</v>
      </c>
      <c r="E98" s="101" t="str">
        <f>'G MTTS'!N97</f>
        <v>NLH</v>
      </c>
      <c r="F98" s="102" t="str">
        <f>'G MTTS'!O97</f>
        <v>OFF</v>
      </c>
      <c r="G98" s="103">
        <f>IF('G MTTS'!Q97=0," ",'G MTTS'!Q97*$A$3)</f>
        <v>600</v>
      </c>
      <c r="H98" s="104">
        <f>IF('G MTTS'!V97=0," ",'G MTTS'!V97*$A$3)</f>
        <v>5</v>
      </c>
      <c r="I98" s="104">
        <f>IF('G MTTS'!W97=0," ",'G MTTS'!W97*$A$3)</f>
        <v>5</v>
      </c>
      <c r="J98" s="104">
        <f>IF('G MTTS'!Z97=0," ",'G MTTS'!Z97*$A$3)</f>
        <v>5</v>
      </c>
      <c r="K98" s="105">
        <f>'G MTTS'!AF97</f>
        <v>10000</v>
      </c>
      <c r="L98" s="105">
        <f>'G MTTS'!X97</f>
        <v>0</v>
      </c>
      <c r="M98" s="105">
        <f>'G MTTS'!AA97</f>
        <v>20000</v>
      </c>
      <c r="N98" s="106">
        <f>'G MTTS'!AG97</f>
        <v>4</v>
      </c>
      <c r="O98" s="106">
        <f>'G MTTS'!AH97</f>
        <v>4</v>
      </c>
      <c r="P98" s="106">
        <f>'G MTTS'!AI97</f>
        <v>4</v>
      </c>
      <c r="Q98" s="107">
        <f>'G MTTS'!AJ97</f>
        <v>9</v>
      </c>
      <c r="R98" s="46">
        <f t="shared" si="6"/>
        <v>0.733344907407407</v>
      </c>
      <c r="S98" s="47" t="str">
        <f t="shared" si="7"/>
        <v>MICRO</v>
      </c>
    </row>
    <row r="99" ht="29.25" customHeight="1" outlineLevel="1" spans="1:19">
      <c r="A99" s="127"/>
      <c r="B99" s="109"/>
      <c r="C99" s="110"/>
      <c r="D99" s="111"/>
      <c r="E99" s="112"/>
      <c r="F99" s="113"/>
      <c r="G99" s="114"/>
      <c r="H99" s="115"/>
      <c r="I99" s="115"/>
      <c r="J99" s="115"/>
      <c r="K99" s="116"/>
      <c r="L99" s="116"/>
      <c r="M99" s="116"/>
      <c r="N99" s="117"/>
      <c r="O99" s="117"/>
      <c r="P99" s="117"/>
      <c r="Q99" s="118"/>
      <c r="R99" s="46"/>
      <c r="S99" s="47"/>
    </row>
    <row r="100" ht="29.25" customHeight="1" outlineLevel="1" spans="1:19">
      <c r="A100" s="119" t="str">
        <f>'G MTTS'!J99</f>
        <v>#AS OmaX PKO</v>
      </c>
      <c r="B100" s="98">
        <f>'G MTTS'!B99</f>
        <v>0.687511574074074</v>
      </c>
      <c r="C100" s="99" t="str">
        <f>'G MTTS'!L99</f>
        <v>5 Seats OmaX PKO</v>
      </c>
      <c r="D100" s="120" t="str">
        <f>'G MTTS'!M99</f>
        <v>SAT</v>
      </c>
      <c r="E100" s="101" t="str">
        <f>'G MTTS'!N99</f>
        <v>PLO5</v>
      </c>
      <c r="F100" s="102" t="str">
        <f>'G MTTS'!O99</f>
        <v>OFF</v>
      </c>
      <c r="G100" s="103">
        <f>IF('G MTTS'!Q99=0," ",'G MTTS'!Q99*$A$3)</f>
        <v>750</v>
      </c>
      <c r="H100" s="104">
        <f>IF('G MTTS'!V99=0," ",'G MTTS'!V99*$A$3)</f>
        <v>8</v>
      </c>
      <c r="I100" s="104">
        <f>IF('G MTTS'!W99=0," ",'G MTTS'!W99*$A$3)</f>
        <v>8</v>
      </c>
      <c r="J100" s="104">
        <f>IF('G MTTS'!Z99=0," ",'G MTTS'!Z99*$A$3)</f>
        <v>8</v>
      </c>
      <c r="K100" s="105">
        <f>'G MTTS'!AF99</f>
        <v>10000</v>
      </c>
      <c r="L100" s="105">
        <f>'G MTTS'!X99</f>
        <v>0</v>
      </c>
      <c r="M100" s="105">
        <f>'G MTTS'!AA99</f>
        <v>20000</v>
      </c>
      <c r="N100" s="106">
        <f>'G MTTS'!AG99</f>
        <v>5</v>
      </c>
      <c r="O100" s="106">
        <f>'G MTTS'!AH99</f>
        <v>4</v>
      </c>
      <c r="P100" s="106">
        <f>'G MTTS'!AI99</f>
        <v>4</v>
      </c>
      <c r="Q100" s="107">
        <f>'G MTTS'!AJ99</f>
        <v>9</v>
      </c>
      <c r="R100" s="46">
        <f>IF(B100=0," ",TIME(,ROUNDDOWN(N100*Q100/60,0)*5+(N100*Q100),)+B100)</f>
        <v>0.718761574074074</v>
      </c>
      <c r="S100" s="47" t="str">
        <f>IFERROR(IF(H100=0," ",IF(H100&lt;=25,"MICRO",IF(H100&lt;=99,"LOW",IF(H100&lt;=499,"MEDIUM",IF(H100&lt;=2500,"HIGH",IF(H100&gt;2500,"SUPER HIGH",)))))),"")</f>
        <v>MICRO</v>
      </c>
    </row>
    <row r="101" ht="29.25" customHeight="1" outlineLevel="1" spans="1:19">
      <c r="A101" s="127"/>
      <c r="B101" s="109"/>
      <c r="C101" s="110"/>
      <c r="D101" s="111"/>
      <c r="E101" s="112"/>
      <c r="F101" s="113"/>
      <c r="G101" s="114"/>
      <c r="H101" s="115"/>
      <c r="I101" s="115"/>
      <c r="J101" s="115"/>
      <c r="K101" s="116"/>
      <c r="L101" s="116"/>
      <c r="M101" s="116"/>
      <c r="N101" s="117"/>
      <c r="O101" s="117"/>
      <c r="P101" s="117"/>
      <c r="Q101" s="118"/>
      <c r="R101" s="46"/>
      <c r="S101" s="47"/>
    </row>
    <row r="102" ht="29.25" customHeight="1" outlineLevel="1" spans="1:19">
      <c r="A102" s="121" t="str">
        <f>'G MTTS'!J101</f>
        <v>#AS Monday HighS</v>
      </c>
      <c r="B102" s="122">
        <f>'G MTTS'!B101</f>
        <v>0.666678240740741</v>
      </c>
      <c r="C102" s="123" t="str">
        <f>'G MTTS'!L101</f>
        <v>5 Seats HighS</v>
      </c>
      <c r="D102" s="120" t="str">
        <f>'G MTTS'!M101</f>
        <v>SAT</v>
      </c>
      <c r="E102" s="101" t="str">
        <f>'G MTTS'!N101</f>
        <v>NLH</v>
      </c>
      <c r="F102" s="102" t="str">
        <f>'G MTTS'!O101</f>
        <v>OFF</v>
      </c>
      <c r="G102" s="103">
        <f>IF('G MTTS'!Q101=0," ",'G MTTS'!Q101*$A$3)</f>
        <v>3750</v>
      </c>
      <c r="H102" s="104">
        <f>IF('G MTTS'!V101=0," ",'G MTTS'!V101*$A$3)</f>
        <v>40</v>
      </c>
      <c r="I102" s="104">
        <f>IF('G MTTS'!W101=0," ",'G MTTS'!W101*$A$3)</f>
        <v>40</v>
      </c>
      <c r="J102" s="104">
        <f>IF('G MTTS'!Z101=0," ",'G MTTS'!Z101*$A$3)</f>
        <v>60</v>
      </c>
      <c r="K102" s="105">
        <f>'G MTTS'!AF101</f>
        <v>10000</v>
      </c>
      <c r="L102" s="105">
        <f>'G MTTS'!X101</f>
        <v>0</v>
      </c>
      <c r="M102" s="105">
        <f>'G MTTS'!AA101</f>
        <v>20000</v>
      </c>
      <c r="N102" s="106">
        <f>'G MTTS'!AG101</f>
        <v>5</v>
      </c>
      <c r="O102" s="106">
        <f>'G MTTS'!AH101</f>
        <v>4</v>
      </c>
      <c r="P102" s="106">
        <f>'G MTTS'!AI101</f>
        <v>4</v>
      </c>
      <c r="Q102" s="107">
        <f>'G MTTS'!AJ101</f>
        <v>9</v>
      </c>
      <c r="R102" s="46">
        <f t="shared" ref="R102:R116" si="8">IF(B102=0," ",TIME(,ROUNDDOWN(N102*Q102/60,0)*5+(N102*Q102),)+B102)</f>
        <v>0.697928240740741</v>
      </c>
      <c r="S102" s="47" t="str">
        <f t="shared" ref="S102:S116" si="9">IFERROR(IF(H102=0," ",IF(H102&lt;=25,"MICRO",IF(H102&lt;=99,"LOW",IF(H102&lt;=499,"MEDIUM",IF(H102&lt;=2500,"HIGH",IF(H102&gt;2500,"SUPER HIGH",)))))),"")</f>
        <v>LOW</v>
      </c>
    </row>
    <row r="103" ht="29.25" customHeight="1" outlineLevel="1" spans="1:19">
      <c r="A103" s="124"/>
      <c r="B103" s="125">
        <f>'G MTTS'!B102</f>
        <v>0.708344907407407</v>
      </c>
      <c r="C103" s="126" t="str">
        <f>'G MTTS'!L102</f>
        <v>10 Seats HighS</v>
      </c>
      <c r="D103" s="120" t="str">
        <f>'G MTTS'!M102</f>
        <v>SAT</v>
      </c>
      <c r="E103" s="101" t="str">
        <f>'G MTTS'!N102</f>
        <v>NLH</v>
      </c>
      <c r="F103" s="102" t="str">
        <f>'G MTTS'!O102</f>
        <v>OFF</v>
      </c>
      <c r="G103" s="103">
        <f>IF('G MTTS'!Q102=0," ",'G MTTS'!Q102*$A$3)</f>
        <v>7500</v>
      </c>
      <c r="H103" s="104">
        <f>IF('G MTTS'!V102=0," ",'G MTTS'!V102*$A$3)</f>
        <v>40</v>
      </c>
      <c r="I103" s="104">
        <f>IF('G MTTS'!W102=0," ",'G MTTS'!W102*$A$3)</f>
        <v>40</v>
      </c>
      <c r="J103" s="104">
        <f>IF('G MTTS'!Z102=0," ",'G MTTS'!Z102*$A$3)</f>
        <v>60</v>
      </c>
      <c r="K103" s="105">
        <f>'G MTTS'!AF102</f>
        <v>10000</v>
      </c>
      <c r="L103" s="105">
        <f>'G MTTS'!X102</f>
        <v>0</v>
      </c>
      <c r="M103" s="105">
        <f>'G MTTS'!AA102</f>
        <v>20000</v>
      </c>
      <c r="N103" s="106">
        <f>'G MTTS'!AG102</f>
        <v>5</v>
      </c>
      <c r="O103" s="106">
        <f>'G MTTS'!AH102</f>
        <v>4</v>
      </c>
      <c r="P103" s="106">
        <f>'G MTTS'!AI102</f>
        <v>4</v>
      </c>
      <c r="Q103" s="107">
        <f>'G MTTS'!AJ102</f>
        <v>9</v>
      </c>
      <c r="R103" s="46">
        <f t="shared" si="8"/>
        <v>0.739594907407407</v>
      </c>
      <c r="S103" s="47" t="str">
        <f t="shared" si="9"/>
        <v>LOW</v>
      </c>
    </row>
    <row r="104" ht="29.25" customHeight="1" outlineLevel="1" spans="1:19">
      <c r="A104" s="127"/>
      <c r="B104" s="109"/>
      <c r="C104" s="110"/>
      <c r="D104" s="111"/>
      <c r="E104" s="112"/>
      <c r="F104" s="113"/>
      <c r="G104" s="114"/>
      <c r="H104" s="115"/>
      <c r="I104" s="115"/>
      <c r="J104" s="115"/>
      <c r="K104" s="116"/>
      <c r="L104" s="116"/>
      <c r="M104" s="116"/>
      <c r="N104" s="117"/>
      <c r="O104" s="117"/>
      <c r="P104" s="117"/>
      <c r="Q104" s="118"/>
      <c r="R104" s="46" t="str">
        <f t="shared" si="8"/>
        <v> </v>
      </c>
      <c r="S104" s="47" t="str">
        <f t="shared" si="9"/>
        <v> </v>
      </c>
    </row>
    <row r="105" ht="29.25" customHeight="1" outlineLevel="1" spans="1:19">
      <c r="A105" s="119" t="str">
        <f>'G MTTS'!J104</f>
        <v>#AS OmaX HR</v>
      </c>
      <c r="B105" s="98">
        <f>'G MTTS'!B104</f>
        <v>0.750011574074074</v>
      </c>
      <c r="C105" s="99" t="str">
        <f>'G MTTS'!L104</f>
        <v>6 Seats OmaX HR</v>
      </c>
      <c r="D105" s="100" t="str">
        <f>'G MTTS'!M104</f>
        <v>SAT</v>
      </c>
      <c r="E105" s="101" t="str">
        <f>'G MTTS'!N104</f>
        <v>PLO5</v>
      </c>
      <c r="F105" s="102" t="str">
        <f>'G MTTS'!O104</f>
        <v>OFF</v>
      </c>
      <c r="G105" s="103">
        <f>IF('G MTTS'!Q104=0," ",'G MTTS'!Q104*$A$3)</f>
        <v>3300</v>
      </c>
      <c r="H105" s="104">
        <f>IF('G MTTS'!V104=0," ",'G MTTS'!V104*$A$3)</f>
        <v>30</v>
      </c>
      <c r="I105" s="104">
        <f>IF('G MTTS'!W104=0," ",'G MTTS'!W104*$A$3)</f>
        <v>30</v>
      </c>
      <c r="J105" s="104">
        <f>IF('G MTTS'!Z104=0," ",'G MTTS'!Z104*$A$3)</f>
        <v>30</v>
      </c>
      <c r="K105" s="105">
        <f>'G MTTS'!AF104</f>
        <v>10000</v>
      </c>
      <c r="L105" s="105">
        <f>'G MTTS'!X104</f>
        <v>0</v>
      </c>
      <c r="M105" s="105">
        <f>'G MTTS'!AA104</f>
        <v>20000</v>
      </c>
      <c r="N105" s="106">
        <f>'G MTTS'!AG104</f>
        <v>4</v>
      </c>
      <c r="O105" s="106">
        <f>'G MTTS'!AH104</f>
        <v>4</v>
      </c>
      <c r="P105" s="106">
        <f>'G MTTS'!AI104</f>
        <v>4</v>
      </c>
      <c r="Q105" s="107">
        <f>'G MTTS'!AJ104</f>
        <v>9</v>
      </c>
      <c r="R105" s="46">
        <f t="shared" si="8"/>
        <v>0.775011574074074</v>
      </c>
      <c r="S105" s="47" t="str">
        <f t="shared" si="9"/>
        <v>LOW</v>
      </c>
    </row>
    <row r="106" ht="29.25" customHeight="1" outlineLevel="1" spans="1:19">
      <c r="A106" s="108"/>
      <c r="B106" s="109"/>
      <c r="C106" s="110"/>
      <c r="D106" s="111"/>
      <c r="E106" s="112"/>
      <c r="F106" s="113"/>
      <c r="G106" s="114"/>
      <c r="H106" s="115"/>
      <c r="I106" s="115"/>
      <c r="J106" s="115"/>
      <c r="K106" s="116"/>
      <c r="L106" s="116"/>
      <c r="M106" s="116"/>
      <c r="N106" s="117"/>
      <c r="O106" s="117"/>
      <c r="P106" s="117"/>
      <c r="Q106" s="118"/>
      <c r="R106" s="46" t="str">
        <f t="shared" si="8"/>
        <v> </v>
      </c>
      <c r="S106" s="47" t="str">
        <f t="shared" si="9"/>
        <v> </v>
      </c>
    </row>
    <row r="107" ht="29.25" customHeight="1" outlineLevel="1" spans="1:19">
      <c r="A107" s="119" t="str">
        <f>'G MTTS'!J106</f>
        <v>#AS Omax Turbo</v>
      </c>
      <c r="B107" s="98">
        <f>'G MTTS'!B106</f>
        <v>0.750011574074074</v>
      </c>
      <c r="C107" s="99" t="str">
        <f>'G MTTS'!L106</f>
        <v>8 Seats OmaX T.</v>
      </c>
      <c r="D107" s="120" t="str">
        <f>'G MTTS'!M106</f>
        <v>SAT</v>
      </c>
      <c r="E107" s="101" t="str">
        <f>'G MTTS'!N106</f>
        <v>PLO5</v>
      </c>
      <c r="F107" s="102" t="str">
        <f>'G MTTS'!O106</f>
        <v>OFF</v>
      </c>
      <c r="G107" s="103">
        <f>IF('G MTTS'!Q106=0," ",'G MTTS'!Q106*$A$3)</f>
        <v>440</v>
      </c>
      <c r="H107" s="104">
        <f>IF('G MTTS'!V106=0," ",'G MTTS'!V106*$A$3)</f>
        <v>3</v>
      </c>
      <c r="I107" s="104">
        <f>IF('G MTTS'!W106=0," ",'G MTTS'!W106*$A$3)</f>
        <v>3</v>
      </c>
      <c r="J107" s="104">
        <f>IF('G MTTS'!Z106=0," ",'G MTTS'!Z106*$A$3)</f>
        <v>3</v>
      </c>
      <c r="K107" s="105">
        <f>'G MTTS'!AF106</f>
        <v>10000</v>
      </c>
      <c r="L107" s="105">
        <f>'G MTTS'!X106</f>
        <v>0</v>
      </c>
      <c r="M107" s="105">
        <f>'G MTTS'!AA106</f>
        <v>20000</v>
      </c>
      <c r="N107" s="106">
        <f>'G MTTS'!AG106</f>
        <v>4</v>
      </c>
      <c r="O107" s="106">
        <f>'G MTTS'!AH106</f>
        <v>4</v>
      </c>
      <c r="P107" s="106">
        <f>'G MTTS'!AI106</f>
        <v>4</v>
      </c>
      <c r="Q107" s="107">
        <f>'G MTTS'!AJ106</f>
        <v>9</v>
      </c>
      <c r="R107" s="46">
        <f t="shared" si="8"/>
        <v>0.775011574074074</v>
      </c>
      <c r="S107" s="47" t="str">
        <f t="shared" si="9"/>
        <v>MICRO</v>
      </c>
    </row>
    <row r="108" ht="29.25" customHeight="1" outlineLevel="1" spans="1:19">
      <c r="A108" s="127"/>
      <c r="B108" s="109"/>
      <c r="C108" s="110"/>
      <c r="D108" s="111"/>
      <c r="E108" s="112"/>
      <c r="F108" s="113"/>
      <c r="G108" s="114"/>
      <c r="H108" s="115"/>
      <c r="I108" s="115"/>
      <c r="J108" s="115"/>
      <c r="K108" s="116"/>
      <c r="L108" s="116"/>
      <c r="M108" s="116"/>
      <c r="N108" s="117"/>
      <c r="O108" s="117"/>
      <c r="P108" s="117"/>
      <c r="Q108" s="118"/>
      <c r="R108" s="46" t="str">
        <f t="shared" si="8"/>
        <v> </v>
      </c>
      <c r="S108" s="47" t="str">
        <f t="shared" si="9"/>
        <v> </v>
      </c>
    </row>
    <row r="109" ht="29.25" customHeight="1" outlineLevel="1" spans="1:19">
      <c r="A109" s="119" t="str">
        <f>'G MTTS'!J108</f>
        <v>#AS Big Mystery+SPS</v>
      </c>
      <c r="B109" s="98">
        <f>'G MTTS'!B108</f>
        <v>0.750011574074074</v>
      </c>
      <c r="C109" s="99" t="str">
        <f>'G MTTS'!L108</f>
        <v>6 Seats Big Mystery</v>
      </c>
      <c r="D109" s="100" t="str">
        <f>'G MTTS'!M108</f>
        <v>SAT</v>
      </c>
      <c r="E109" s="101" t="str">
        <f>'G MTTS'!N108</f>
        <v>NLH</v>
      </c>
      <c r="F109" s="102" t="str">
        <f>'G MTTS'!O108</f>
        <v>OFF</v>
      </c>
      <c r="G109" s="103">
        <f>IF('G MTTS'!Q108=0," ",'G MTTS'!Q108*$A$3)</f>
        <v>660</v>
      </c>
      <c r="H109" s="104">
        <f>IF('G MTTS'!V108=0," ",'G MTTS'!V108*$A$3)</f>
        <v>7</v>
      </c>
      <c r="I109" s="104">
        <f>IF('G MTTS'!W108=0," ",'G MTTS'!W108*$A$3)</f>
        <v>7</v>
      </c>
      <c r="J109" s="104">
        <f>IF('G MTTS'!Z108=0," ",'G MTTS'!Z108*$A$3)</f>
        <v>7</v>
      </c>
      <c r="K109" s="105">
        <f>'G MTTS'!AF108</f>
        <v>10000</v>
      </c>
      <c r="L109" s="105">
        <f>'G MTTS'!X108</f>
        <v>0</v>
      </c>
      <c r="M109" s="105">
        <f>'G MTTS'!AA108</f>
        <v>20000</v>
      </c>
      <c r="N109" s="106">
        <f>'G MTTS'!AG108</f>
        <v>4</v>
      </c>
      <c r="O109" s="106">
        <f>'G MTTS'!AH108</f>
        <v>4</v>
      </c>
      <c r="P109" s="106">
        <f>'G MTTS'!AI108</f>
        <v>4</v>
      </c>
      <c r="Q109" s="107">
        <f>'G MTTS'!AJ108</f>
        <v>9</v>
      </c>
      <c r="R109" s="46">
        <f t="shared" si="8"/>
        <v>0.775011574074074</v>
      </c>
      <c r="S109" s="47" t="str">
        <f t="shared" si="9"/>
        <v>MICRO</v>
      </c>
    </row>
    <row r="110" ht="29.25" customHeight="1" outlineLevel="1" spans="1:19">
      <c r="A110" s="130"/>
      <c r="B110" s="109"/>
      <c r="C110" s="110"/>
      <c r="D110" s="111"/>
      <c r="E110" s="112"/>
      <c r="F110" s="113"/>
      <c r="G110" s="114"/>
      <c r="H110" s="115"/>
      <c r="I110" s="115"/>
      <c r="J110" s="115"/>
      <c r="K110" s="116"/>
      <c r="L110" s="116"/>
      <c r="M110" s="116"/>
      <c r="N110" s="117"/>
      <c r="O110" s="117"/>
      <c r="P110" s="117"/>
      <c r="Q110" s="118"/>
      <c r="R110" s="46" t="str">
        <f t="shared" si="8"/>
        <v> </v>
      </c>
      <c r="S110" s="47" t="str">
        <f t="shared" si="9"/>
        <v> </v>
      </c>
    </row>
    <row r="111" ht="29.25" customHeight="1" outlineLevel="1" spans="1:19">
      <c r="A111" s="119" t="str">
        <f>'G MTTS'!J110</f>
        <v>#AS Freeze</v>
      </c>
      <c r="B111" s="98">
        <f>'G MTTS'!B110</f>
        <v>0.770833333333333</v>
      </c>
      <c r="C111" s="99" t="str">
        <f>'G MTTS'!L110</f>
        <v>5 Seats Freeze</v>
      </c>
      <c r="D111" s="100" t="str">
        <f>'G MTTS'!M110</f>
        <v>SAT</v>
      </c>
      <c r="E111" s="101" t="str">
        <f>'G MTTS'!N110</f>
        <v>NLH</v>
      </c>
      <c r="F111" s="102" t="str">
        <f>'G MTTS'!O110</f>
        <v>OFF</v>
      </c>
      <c r="G111" s="103">
        <f>IF('G MTTS'!Q110=0," ",'G MTTS'!Q110*$A$3)</f>
        <v>375</v>
      </c>
      <c r="H111" s="104">
        <f>IF('G MTTS'!V110=0," ",'G MTTS'!V110*$A$3)</f>
        <v>4</v>
      </c>
      <c r="I111" s="104">
        <f>IF('G MTTS'!W110=0," ",'G MTTS'!W110*$A$3)</f>
        <v>4</v>
      </c>
      <c r="J111" s="104">
        <f>IF('G MTTS'!Z110=0," ",'G MTTS'!Z110*$A$3)</f>
        <v>4</v>
      </c>
      <c r="K111" s="105">
        <f>'G MTTS'!AF110</f>
        <v>10000</v>
      </c>
      <c r="L111" s="105">
        <f>'G MTTS'!X110</f>
        <v>0</v>
      </c>
      <c r="M111" s="105">
        <f>'G MTTS'!AA110</f>
        <v>20000</v>
      </c>
      <c r="N111" s="106">
        <f>'G MTTS'!AG110</f>
        <v>4</v>
      </c>
      <c r="O111" s="106">
        <f>'G MTTS'!AH110</f>
        <v>4</v>
      </c>
      <c r="P111" s="106">
        <f>'G MTTS'!AI110</f>
        <v>4</v>
      </c>
      <c r="Q111" s="107">
        <f>'G MTTS'!AJ110</f>
        <v>9</v>
      </c>
      <c r="R111" s="46">
        <f t="shared" si="8"/>
        <v>0.795833333333333</v>
      </c>
      <c r="S111" s="47" t="str">
        <f t="shared" si="9"/>
        <v>MICRO</v>
      </c>
    </row>
    <row r="112" ht="29.25" customHeight="1" outlineLevel="1" spans="1:19">
      <c r="A112" s="108"/>
      <c r="B112" s="109"/>
      <c r="C112" s="110"/>
      <c r="D112" s="111"/>
      <c r="E112" s="112"/>
      <c r="F112" s="113"/>
      <c r="G112" s="114"/>
      <c r="H112" s="115"/>
      <c r="I112" s="115"/>
      <c r="J112" s="115"/>
      <c r="K112" s="116"/>
      <c r="L112" s="116"/>
      <c r="M112" s="116"/>
      <c r="N112" s="117"/>
      <c r="O112" s="117"/>
      <c r="P112" s="117"/>
      <c r="Q112" s="118"/>
      <c r="R112" s="46" t="str">
        <f t="shared" si="8"/>
        <v> </v>
      </c>
      <c r="S112" s="47" t="str">
        <f t="shared" si="9"/>
        <v> </v>
      </c>
    </row>
    <row r="113" ht="29.25" customHeight="1" outlineLevel="1" spans="1:19">
      <c r="A113" s="121" t="str">
        <f>'G MTTS'!J112</f>
        <v>30 Seats Supremo</v>
      </c>
      <c r="B113" s="122">
        <f>'G MTTS'!B112</f>
        <v>0.541678240740741</v>
      </c>
      <c r="C113" s="123" t="str">
        <f>'G MTTS'!L112</f>
        <v>Step 76-M Supremo</v>
      </c>
      <c r="D113" s="120" t="str">
        <f>'G MTTS'!M112</f>
        <v>SAT</v>
      </c>
      <c r="E113" s="101" t="str">
        <f>'G MTTS'!N112</f>
        <v>NLH</v>
      </c>
      <c r="F113" s="102" t="str">
        <f>'G MTTS'!O112</f>
        <v>OFF</v>
      </c>
      <c r="G113" s="103">
        <f>IF('G MTTS'!Q112=0," ",'G MTTS'!Q112*$A$3)</f>
        <v>300</v>
      </c>
      <c r="H113" s="104">
        <f>IF('G MTTS'!V112=0," ",'G MTTS'!V112*$A$3)</f>
        <v>3</v>
      </c>
      <c r="I113" s="104">
        <f>IF('G MTTS'!W112=0," ",'G MTTS'!W112*$A$3)</f>
        <v>4</v>
      </c>
      <c r="J113" s="104">
        <f>IF('G MTTS'!Z112=0," ",'G MTTS'!Z112*$A$3)</f>
        <v>5</v>
      </c>
      <c r="K113" s="105">
        <f>'G MTTS'!AF112</f>
        <v>20000</v>
      </c>
      <c r="L113" s="105">
        <f>'G MTTS'!X112</f>
        <v>25000</v>
      </c>
      <c r="M113" s="105">
        <f>'G MTTS'!AA112</f>
        <v>40000</v>
      </c>
      <c r="N113" s="106">
        <f>'G MTTS'!AG112</f>
        <v>7</v>
      </c>
      <c r="O113" s="106">
        <f>'G MTTS'!AH112</f>
        <v>6</v>
      </c>
      <c r="P113" s="106">
        <f>'G MTTS'!AI112</f>
        <v>6</v>
      </c>
      <c r="Q113" s="107">
        <f>'G MTTS'!AJ112</f>
        <v>13</v>
      </c>
      <c r="R113" s="46">
        <f t="shared" si="8"/>
        <v>0.608344907407407</v>
      </c>
      <c r="S113" s="47" t="str">
        <f t="shared" si="9"/>
        <v>MICRO</v>
      </c>
    </row>
    <row r="114" ht="29.25" customHeight="1" outlineLevel="1" spans="1:19">
      <c r="A114" s="29"/>
      <c r="B114" s="128">
        <f>'G MTTS'!B113</f>
        <v>0.625011574074074</v>
      </c>
      <c r="C114" s="129" t="str">
        <f>'G MTTS'!L113</f>
        <v>Step 76-M Supremo</v>
      </c>
      <c r="D114" s="120" t="str">
        <f>'G MTTS'!M113</f>
        <v>SAT</v>
      </c>
      <c r="E114" s="101" t="str">
        <f>'G MTTS'!N113</f>
        <v>NLH</v>
      </c>
      <c r="F114" s="102" t="str">
        <f>'G MTTS'!O113</f>
        <v>OFF</v>
      </c>
      <c r="G114" s="103">
        <f>IF('G MTTS'!Q113=0," ",'G MTTS'!Q113*$A$3)</f>
        <v>300</v>
      </c>
      <c r="H114" s="104">
        <f>IF('G MTTS'!V113=0," ",'G MTTS'!V113*$A$3)</f>
        <v>3</v>
      </c>
      <c r="I114" s="104">
        <f>IF('G MTTS'!W113=0," ",'G MTTS'!W113*$A$3)</f>
        <v>4</v>
      </c>
      <c r="J114" s="104">
        <f>IF('G MTTS'!Z113=0," ",'G MTTS'!Z113*$A$3)</f>
        <v>5</v>
      </c>
      <c r="K114" s="105">
        <f>'G MTTS'!AF113</f>
        <v>20000</v>
      </c>
      <c r="L114" s="105">
        <f>'G MTTS'!X113</f>
        <v>25000</v>
      </c>
      <c r="M114" s="105">
        <f>'G MTTS'!AA113</f>
        <v>40000</v>
      </c>
      <c r="N114" s="106">
        <f>'G MTTS'!AG113</f>
        <v>7</v>
      </c>
      <c r="O114" s="106">
        <f>'G MTTS'!AH113</f>
        <v>6</v>
      </c>
      <c r="P114" s="106">
        <f>'G MTTS'!AI113</f>
        <v>6</v>
      </c>
      <c r="Q114" s="107">
        <f>'G MTTS'!AJ113</f>
        <v>13</v>
      </c>
      <c r="R114" s="46">
        <f t="shared" si="8"/>
        <v>0.691678240740741</v>
      </c>
      <c r="S114" s="47" t="str">
        <f t="shared" si="9"/>
        <v>MICRO</v>
      </c>
    </row>
    <row r="115" ht="29.25" customHeight="1" outlineLevel="1" spans="1:19">
      <c r="A115" s="29"/>
      <c r="B115" s="128">
        <f>'G MTTS'!B114</f>
        <v>0.708344907407407</v>
      </c>
      <c r="C115" s="129" t="str">
        <f>'G MTTS'!L114</f>
        <v>Step 76-M Supremo</v>
      </c>
      <c r="D115" s="120" t="str">
        <f>'G MTTS'!M114</f>
        <v>SAT</v>
      </c>
      <c r="E115" s="101" t="str">
        <f>'G MTTS'!N114</f>
        <v>NLH</v>
      </c>
      <c r="F115" s="102" t="str">
        <f>'G MTTS'!O114</f>
        <v>OFF</v>
      </c>
      <c r="G115" s="103">
        <f>IF('G MTTS'!Q114=0," ",'G MTTS'!Q114*$A$3)</f>
        <v>450</v>
      </c>
      <c r="H115" s="104">
        <f>IF('G MTTS'!V114=0," ",'G MTTS'!V114*$A$3)</f>
        <v>3</v>
      </c>
      <c r="I115" s="104">
        <f>IF('G MTTS'!W114=0," ",'G MTTS'!W114*$A$3)</f>
        <v>4</v>
      </c>
      <c r="J115" s="104">
        <f>IF('G MTTS'!Z114=0," ",'G MTTS'!Z114*$A$3)</f>
        <v>5</v>
      </c>
      <c r="K115" s="105">
        <f>'G MTTS'!AF114</f>
        <v>20000</v>
      </c>
      <c r="L115" s="105">
        <f>'G MTTS'!X114</f>
        <v>25000</v>
      </c>
      <c r="M115" s="105">
        <f>'G MTTS'!AA114</f>
        <v>40000</v>
      </c>
      <c r="N115" s="106">
        <f>'G MTTS'!AG114</f>
        <v>7</v>
      </c>
      <c r="O115" s="106">
        <f>'G MTTS'!AH114</f>
        <v>6</v>
      </c>
      <c r="P115" s="106">
        <f>'G MTTS'!AI114</f>
        <v>6</v>
      </c>
      <c r="Q115" s="107">
        <f>'G MTTS'!AJ114</f>
        <v>13</v>
      </c>
      <c r="R115" s="46">
        <f t="shared" si="8"/>
        <v>0.775011574074074</v>
      </c>
      <c r="S115" s="47" t="str">
        <f t="shared" si="9"/>
        <v>MICRO</v>
      </c>
    </row>
    <row r="116" ht="29.25" customHeight="1" outlineLevel="1" spans="1:19">
      <c r="A116" s="124"/>
      <c r="B116" s="125">
        <f>'G MTTS'!B115</f>
        <v>0.791678240740741</v>
      </c>
      <c r="C116" s="126" t="str">
        <f>'G MTTS'!L115</f>
        <v>Step 76-M Supremo</v>
      </c>
      <c r="D116" s="120" t="str">
        <f>'G MTTS'!M115</f>
        <v>SAT</v>
      </c>
      <c r="E116" s="101" t="str">
        <f>'G MTTS'!N115</f>
        <v>NLH</v>
      </c>
      <c r="F116" s="102" t="str">
        <f>'G MTTS'!O115</f>
        <v>OFF</v>
      </c>
      <c r="G116" s="103">
        <f>IF('G MTTS'!Q115=0," ",'G MTTS'!Q115*$A$3)</f>
        <v>450</v>
      </c>
      <c r="H116" s="104">
        <f>IF('G MTTS'!V115=0," ",'G MTTS'!V115*$A$3)</f>
        <v>3</v>
      </c>
      <c r="I116" s="104">
        <f>IF('G MTTS'!W115=0," ",'G MTTS'!W115*$A$3)</f>
        <v>4</v>
      </c>
      <c r="J116" s="104">
        <f>IF('G MTTS'!Z115=0," ",'G MTTS'!Z115*$A$3)</f>
        <v>5</v>
      </c>
      <c r="K116" s="105">
        <f>'G MTTS'!AF115</f>
        <v>20000</v>
      </c>
      <c r="L116" s="105">
        <f>'G MTTS'!X115</f>
        <v>25000</v>
      </c>
      <c r="M116" s="105">
        <f>'G MTTS'!AA115</f>
        <v>40000</v>
      </c>
      <c r="N116" s="106">
        <f>'G MTTS'!AG115</f>
        <v>7</v>
      </c>
      <c r="O116" s="106">
        <f>'G MTTS'!AH115</f>
        <v>6</v>
      </c>
      <c r="P116" s="106">
        <f>'G MTTS'!AI115</f>
        <v>6</v>
      </c>
      <c r="Q116" s="107">
        <f>'G MTTS'!AJ115</f>
        <v>13</v>
      </c>
      <c r="R116" s="46">
        <f t="shared" si="8"/>
        <v>0.858344907407407</v>
      </c>
      <c r="S116" s="47" t="str">
        <f t="shared" si="9"/>
        <v>MICRO</v>
      </c>
    </row>
    <row r="117" ht="29.25" customHeight="1" outlineLevel="1" spans="1:19">
      <c r="A117" s="127"/>
      <c r="B117" s="109"/>
      <c r="C117" s="110"/>
      <c r="D117" s="111"/>
      <c r="E117" s="112"/>
      <c r="F117" s="113"/>
      <c r="G117" s="114"/>
      <c r="H117" s="115"/>
      <c r="I117" s="115"/>
      <c r="J117" s="115"/>
      <c r="K117" s="116"/>
      <c r="L117" s="116"/>
      <c r="M117" s="116"/>
      <c r="N117" s="117"/>
      <c r="O117" s="117"/>
      <c r="P117" s="117"/>
      <c r="Q117" s="118"/>
      <c r="R117" s="46"/>
      <c r="S117" s="47"/>
    </row>
    <row r="118" ht="29.25" customHeight="1" outlineLevel="1" spans="1:19">
      <c r="A118" s="119" t="str">
        <f>'G MTTS'!J117</f>
        <v>SPS 76-M Supremo</v>
      </c>
      <c r="B118" s="98">
        <f>'G MTTS'!B117</f>
        <v>0.833344907407407</v>
      </c>
      <c r="C118" s="99" t="str">
        <f>'G MTTS'!L117</f>
        <v>2 Seats 76-M Supremo</v>
      </c>
      <c r="D118" s="100" t="str">
        <f>'G MTTS'!M117</f>
        <v>SAT</v>
      </c>
      <c r="E118" s="101" t="str">
        <f>'G MTTS'!N117</f>
        <v>NLH</v>
      </c>
      <c r="F118" s="102" t="str">
        <f>'G MTTS'!O117</f>
        <v>OFF</v>
      </c>
      <c r="G118" s="103">
        <f>IF('G MTTS'!Q117=0," ",'G MTTS'!Q117*$A$3)</f>
        <v>2000</v>
      </c>
      <c r="H118" s="104">
        <f>IF('G MTTS'!V117=0," ",'G MTTS'!V117*$A$3)</f>
        <v>10</v>
      </c>
      <c r="I118" s="104">
        <f>IF('G MTTS'!W117=0," ",'G MTTS'!W117*$A$3)</f>
        <v>15</v>
      </c>
      <c r="J118" s="104">
        <f>IF('G MTTS'!Z117=0," ",'G MTTS'!Z117*$A$3)</f>
        <v>30</v>
      </c>
      <c r="K118" s="105">
        <f>'G MTTS'!AF117</f>
        <v>40000</v>
      </c>
      <c r="L118" s="105">
        <f>'G MTTS'!X117</f>
        <v>50000</v>
      </c>
      <c r="M118" s="105">
        <f>'G MTTS'!AA117</f>
        <v>120000</v>
      </c>
      <c r="N118" s="106">
        <f>'G MTTS'!AG117</f>
        <v>8</v>
      </c>
      <c r="O118" s="106">
        <f>'G MTTS'!AH117</f>
        <v>6</v>
      </c>
      <c r="P118" s="106">
        <f>'G MTTS'!AI117</f>
        <v>6</v>
      </c>
      <c r="Q118" s="107">
        <f>'G MTTS'!AJ117</f>
        <v>15</v>
      </c>
      <c r="R118" s="46">
        <f>IF(B118=0," ",TIME(,ROUNDDOWN(N118*Q118/60,0)*5+(N118*Q118),)+B118)</f>
        <v>0.923622685185185</v>
      </c>
      <c r="S118" s="47" t="str">
        <f>IFERROR(IF(H118=0," ",IF(H118&lt;=25,"MICRO",IF(H118&lt;=99,"LOW",IF(H118&lt;=499,"MEDIUM",IF(H118&lt;=2500,"HIGH",IF(H118&gt;2500,"SUPER HIGH",)))))),"")</f>
        <v>MICRO</v>
      </c>
    </row>
    <row r="119" ht="29.25" customHeight="1" outlineLevel="1" spans="1:19">
      <c r="A119" s="127"/>
      <c r="B119" s="109"/>
      <c r="C119" s="110"/>
      <c r="D119" s="111"/>
      <c r="E119" s="112"/>
      <c r="F119" s="113"/>
      <c r="G119" s="114"/>
      <c r="H119" s="115"/>
      <c r="I119" s="115"/>
      <c r="J119" s="115"/>
      <c r="K119" s="116"/>
      <c r="L119" s="116"/>
      <c r="M119" s="116"/>
      <c r="N119" s="117"/>
      <c r="O119" s="117"/>
      <c r="P119" s="117"/>
      <c r="Q119" s="118"/>
      <c r="R119" s="46"/>
      <c r="S119" s="47"/>
    </row>
    <row r="120" ht="29.25" customHeight="1" outlineLevel="1" spans="1:19">
      <c r="A120" s="121" t="str">
        <f>'G MTTS'!J119</f>
        <v>Suprema Poker Tour</v>
      </c>
      <c r="B120" s="122">
        <f>'G MTTS'!B119</f>
        <v>0.375011574074074</v>
      </c>
      <c r="C120" s="123" t="str">
        <f>'G MTTS'!L119</f>
        <v>2 Seats SPT</v>
      </c>
      <c r="D120" s="120" t="str">
        <f>'G MTTS'!M119</f>
        <v>SAT</v>
      </c>
      <c r="E120" s="101" t="str">
        <f>'G MTTS'!N119</f>
        <v>NLH</v>
      </c>
      <c r="F120" s="102" t="str">
        <f>'G MTTS'!O119</f>
        <v>OFF</v>
      </c>
      <c r="G120" s="103">
        <f>IF('G MTTS'!Q119=0," ",'G MTTS'!Q119*$A$3)</f>
        <v>300</v>
      </c>
      <c r="H120" s="104">
        <f>IF('G MTTS'!V119=0," ",'G MTTS'!V119*$A$3)</f>
        <v>1</v>
      </c>
      <c r="I120" s="104">
        <f>IF('G MTTS'!W119=0," ",'G MTTS'!W119*$A$3)</f>
        <v>4</v>
      </c>
      <c r="J120" s="104">
        <f>IF('G MTTS'!Z119=0," ",'G MTTS'!Z119*$A$3)</f>
        <v>10</v>
      </c>
      <c r="K120" s="105">
        <f>'G MTTS'!AF119</f>
        <v>20000</v>
      </c>
      <c r="L120" s="105">
        <f>'G MTTS'!X119</f>
        <v>25000</v>
      </c>
      <c r="M120" s="105">
        <f>'G MTTS'!AA119</f>
        <v>50000</v>
      </c>
      <c r="N120" s="106">
        <f>'G MTTS'!AG119</f>
        <v>7</v>
      </c>
      <c r="O120" s="106">
        <f>'G MTTS'!AH119</f>
        <v>6</v>
      </c>
      <c r="P120" s="106">
        <f>'G MTTS'!AI119</f>
        <v>6</v>
      </c>
      <c r="Q120" s="107">
        <f>'G MTTS'!AJ119</f>
        <v>13</v>
      </c>
      <c r="R120" s="46">
        <f t="shared" ref="R120:R125" si="10">IF(B120=0," ",TIME(,ROUNDDOWN(N120*Q120/60,0)*5+(N120*Q120),)+B120)</f>
        <v>0.441678240740741</v>
      </c>
      <c r="S120" s="47" t="str">
        <f t="shared" ref="S120:S125" si="11">IFERROR(IF(H120=0," ",IF(H120&lt;=25,"MICRO",IF(H120&lt;=99,"LOW",IF(H120&lt;=499,"MEDIUM",IF(H120&lt;=2500,"HIGH",IF(H120&gt;2500,"SUPER HIGH",)))))),"")</f>
        <v>MICRO</v>
      </c>
    </row>
    <row r="121" ht="29.25" customHeight="1" outlineLevel="1" spans="1:19">
      <c r="A121" s="29"/>
      <c r="B121" s="128">
        <f>'G MTTS'!B120</f>
        <v>0.458344907407407</v>
      </c>
      <c r="C121" s="129" t="str">
        <f>'G MTTS'!L120</f>
        <v>2 Seats SPT</v>
      </c>
      <c r="D121" s="120" t="str">
        <f>'G MTTS'!M120</f>
        <v>SAT</v>
      </c>
      <c r="E121" s="101" t="str">
        <f>'G MTTS'!N120</f>
        <v>NLH</v>
      </c>
      <c r="F121" s="102" t="str">
        <f>'G MTTS'!O120</f>
        <v>OFF</v>
      </c>
      <c r="G121" s="103">
        <f>IF('G MTTS'!Q120=0," ",'G MTTS'!Q120*$A$3)</f>
        <v>300</v>
      </c>
      <c r="H121" s="104">
        <f>IF('G MTTS'!V120=0," ",'G MTTS'!V120*$A$3)</f>
        <v>1</v>
      </c>
      <c r="I121" s="104">
        <f>IF('G MTTS'!W120=0," ",'G MTTS'!W120*$A$3)</f>
        <v>4</v>
      </c>
      <c r="J121" s="104">
        <f>IF('G MTTS'!Z120=0," ",'G MTTS'!Z120*$A$3)</f>
        <v>10</v>
      </c>
      <c r="K121" s="105">
        <f>'G MTTS'!AF120</f>
        <v>20000</v>
      </c>
      <c r="L121" s="105">
        <f>'G MTTS'!X120</f>
        <v>25000</v>
      </c>
      <c r="M121" s="105">
        <f>'G MTTS'!AA120</f>
        <v>50000</v>
      </c>
      <c r="N121" s="106">
        <f>'G MTTS'!AG120</f>
        <v>7</v>
      </c>
      <c r="O121" s="106">
        <f>'G MTTS'!AH120</f>
        <v>6</v>
      </c>
      <c r="P121" s="106">
        <f>'G MTTS'!AI120</f>
        <v>6</v>
      </c>
      <c r="Q121" s="107">
        <f>'G MTTS'!AJ120</f>
        <v>13</v>
      </c>
      <c r="R121" s="46">
        <f t="shared" si="10"/>
        <v>0.525011574074074</v>
      </c>
      <c r="S121" s="47" t="str">
        <f t="shared" si="11"/>
        <v>MICRO</v>
      </c>
    </row>
    <row r="122" ht="29.25" customHeight="1" outlineLevel="1" spans="1:19">
      <c r="A122" s="29"/>
      <c r="B122" s="128">
        <f>'G MTTS'!B121</f>
        <v>0.541678240740741</v>
      </c>
      <c r="C122" s="129" t="str">
        <f>'G MTTS'!L121</f>
        <v>3 Seats SPT</v>
      </c>
      <c r="D122" s="120" t="str">
        <f>'G MTTS'!M121</f>
        <v>SAT</v>
      </c>
      <c r="E122" s="101" t="str">
        <f>'G MTTS'!N121</f>
        <v>NLH</v>
      </c>
      <c r="F122" s="102" t="str">
        <f>'G MTTS'!O121</f>
        <v>OFF</v>
      </c>
      <c r="G122" s="103">
        <f>IF('G MTTS'!Q121=0," ",'G MTTS'!Q121*$A$3)</f>
        <v>450</v>
      </c>
      <c r="H122" s="104">
        <f>IF('G MTTS'!V121=0," ",'G MTTS'!V121*$A$3)</f>
        <v>3</v>
      </c>
      <c r="I122" s="104">
        <f>IF('G MTTS'!W121=0," ",'G MTTS'!W121*$A$3)</f>
        <v>5</v>
      </c>
      <c r="J122" s="104">
        <f>IF('G MTTS'!Z121=0," ",'G MTTS'!Z121*$A$3)</f>
        <v>10</v>
      </c>
      <c r="K122" s="105">
        <f>'G MTTS'!AF121</f>
        <v>30000</v>
      </c>
      <c r="L122" s="105">
        <f>'G MTTS'!X121</f>
        <v>0</v>
      </c>
      <c r="M122" s="105">
        <f>'G MTTS'!AA121</f>
        <v>50000</v>
      </c>
      <c r="N122" s="106">
        <f>'G MTTS'!AG121</f>
        <v>7</v>
      </c>
      <c r="O122" s="106">
        <f>'G MTTS'!AH121</f>
        <v>6</v>
      </c>
      <c r="P122" s="106">
        <f>'G MTTS'!AI121</f>
        <v>6</v>
      </c>
      <c r="Q122" s="107">
        <f>'G MTTS'!AJ121</f>
        <v>13</v>
      </c>
      <c r="R122" s="46">
        <f t="shared" si="10"/>
        <v>0.608344907407407</v>
      </c>
      <c r="S122" s="47" t="str">
        <f t="shared" si="11"/>
        <v>MICRO</v>
      </c>
    </row>
    <row r="123" ht="29.25" customHeight="1" outlineLevel="1" spans="1:19">
      <c r="A123" s="29"/>
      <c r="B123" s="128">
        <f>'G MTTS'!B122</f>
        <v>0.625011574074074</v>
      </c>
      <c r="C123" s="129" t="str">
        <f>'G MTTS'!L122</f>
        <v>4 Seats SPT</v>
      </c>
      <c r="D123" s="120" t="str">
        <f>'G MTTS'!M122</f>
        <v>SAT</v>
      </c>
      <c r="E123" s="101" t="str">
        <f>'G MTTS'!N122</f>
        <v>NLH</v>
      </c>
      <c r="F123" s="102" t="str">
        <f>'G MTTS'!O122</f>
        <v>OFF</v>
      </c>
      <c r="G123" s="103">
        <f>IF('G MTTS'!Q122=0," ",'G MTTS'!Q122*$A$3)</f>
        <v>600</v>
      </c>
      <c r="H123" s="104">
        <f>IF('G MTTS'!V122=0," ",'G MTTS'!V122*$A$3)</f>
        <v>3</v>
      </c>
      <c r="I123" s="104">
        <f>IF('G MTTS'!W122=0," ",'G MTTS'!W122*$A$3)</f>
        <v>5</v>
      </c>
      <c r="J123" s="104">
        <f>IF('G MTTS'!Z122=0," ",'G MTTS'!Z122*$A$3)</f>
        <v>10</v>
      </c>
      <c r="K123" s="105">
        <f>'G MTTS'!AF122</f>
        <v>30000</v>
      </c>
      <c r="L123" s="105">
        <f>'G MTTS'!X122</f>
        <v>0</v>
      </c>
      <c r="M123" s="105">
        <f>'G MTTS'!AA122</f>
        <v>50000</v>
      </c>
      <c r="N123" s="106">
        <f>'G MTTS'!AG122</f>
        <v>7</v>
      </c>
      <c r="O123" s="106">
        <f>'G MTTS'!AH122</f>
        <v>6</v>
      </c>
      <c r="P123" s="106">
        <f>'G MTTS'!AI122</f>
        <v>6</v>
      </c>
      <c r="Q123" s="107">
        <f>'G MTTS'!AJ122</f>
        <v>13</v>
      </c>
      <c r="R123" s="46">
        <f t="shared" si="10"/>
        <v>0.691678240740741</v>
      </c>
      <c r="S123" s="47" t="str">
        <f t="shared" si="11"/>
        <v>MICRO</v>
      </c>
    </row>
    <row r="124" ht="29.25" customHeight="1" outlineLevel="1" spans="1:19">
      <c r="A124" s="29"/>
      <c r="B124" s="128">
        <f>'G MTTS'!B123</f>
        <v>0.708344907407407</v>
      </c>
      <c r="C124" s="129" t="str">
        <f>'G MTTS'!L123</f>
        <v>4 Seats SPT</v>
      </c>
      <c r="D124" s="120" t="str">
        <f>'G MTTS'!M123</f>
        <v>SAT</v>
      </c>
      <c r="E124" s="101" t="str">
        <f>'G MTTS'!N123</f>
        <v>NLH</v>
      </c>
      <c r="F124" s="102" t="str">
        <f>'G MTTS'!O123</f>
        <v>OFF</v>
      </c>
      <c r="G124" s="103">
        <f>IF('G MTTS'!Q123=0," ",'G MTTS'!Q123*$A$3)</f>
        <v>600</v>
      </c>
      <c r="H124" s="104">
        <f>IF('G MTTS'!V123=0," ",'G MTTS'!V123*$A$3)</f>
        <v>3</v>
      </c>
      <c r="I124" s="104">
        <f>IF('G MTTS'!W123=0," ",'G MTTS'!W123*$A$3)</f>
        <v>5</v>
      </c>
      <c r="J124" s="104">
        <f>IF('G MTTS'!Z123=0," ",'G MTTS'!Z123*$A$3)</f>
        <v>10</v>
      </c>
      <c r="K124" s="105">
        <f>'G MTTS'!AF123</f>
        <v>30000</v>
      </c>
      <c r="L124" s="105">
        <f>'G MTTS'!X123</f>
        <v>0</v>
      </c>
      <c r="M124" s="105">
        <f>'G MTTS'!AA123</f>
        <v>50000</v>
      </c>
      <c r="N124" s="106">
        <f>'G MTTS'!AG123</f>
        <v>7</v>
      </c>
      <c r="O124" s="106">
        <f>'G MTTS'!AH123</f>
        <v>6</v>
      </c>
      <c r="P124" s="106">
        <f>'G MTTS'!AI123</f>
        <v>6</v>
      </c>
      <c r="Q124" s="107">
        <f>'G MTTS'!AJ123</f>
        <v>13</v>
      </c>
      <c r="R124" s="46">
        <f t="shared" si="10"/>
        <v>0.775011574074074</v>
      </c>
      <c r="S124" s="47" t="str">
        <f t="shared" si="11"/>
        <v>MICRO</v>
      </c>
    </row>
    <row r="125" ht="29.25" customHeight="1" outlineLevel="1" spans="1:19">
      <c r="A125" s="124"/>
      <c r="B125" s="125">
        <f>'G MTTS'!B124</f>
        <v>0.833344907407407</v>
      </c>
      <c r="C125" s="126" t="str">
        <f>'G MTTS'!L124</f>
        <v>5 Seats SPT</v>
      </c>
      <c r="D125" s="120" t="str">
        <f>'G MTTS'!M124</f>
        <v>SAT</v>
      </c>
      <c r="E125" s="101" t="str">
        <f>'G MTTS'!N124</f>
        <v>NLH</v>
      </c>
      <c r="F125" s="102" t="str">
        <f>'G MTTS'!O124</f>
        <v>OFF</v>
      </c>
      <c r="G125" s="103">
        <f>IF('G MTTS'!Q124=0," ",'G MTTS'!Q124*$A$3)</f>
        <v>750</v>
      </c>
      <c r="H125" s="104">
        <f>IF('G MTTS'!V124=0," ",'G MTTS'!V124*$A$3)</f>
        <v>5</v>
      </c>
      <c r="I125" s="104">
        <f>IF('G MTTS'!W124=0," ",'G MTTS'!W124*$A$3)</f>
        <v>5</v>
      </c>
      <c r="J125" s="104">
        <f>IF('G MTTS'!Z124=0," ",'G MTTS'!Z124*$A$3)</f>
        <v>10</v>
      </c>
      <c r="K125" s="105">
        <f>'G MTTS'!AF124</f>
        <v>30000</v>
      </c>
      <c r="L125" s="105">
        <f>'G MTTS'!X124</f>
        <v>40000</v>
      </c>
      <c r="M125" s="105">
        <f>'G MTTS'!AA124</f>
        <v>60000</v>
      </c>
      <c r="N125" s="106">
        <f>'G MTTS'!AG124</f>
        <v>7</v>
      </c>
      <c r="O125" s="106">
        <f>'G MTTS'!AH124</f>
        <v>6</v>
      </c>
      <c r="P125" s="106">
        <f>'G MTTS'!AI124</f>
        <v>6</v>
      </c>
      <c r="Q125" s="107">
        <f>'G MTTS'!AJ124</f>
        <v>13</v>
      </c>
      <c r="R125" s="46">
        <f t="shared" si="10"/>
        <v>0.900011574074074</v>
      </c>
      <c r="S125" s="47" t="str">
        <f t="shared" si="11"/>
        <v>MICRO</v>
      </c>
    </row>
    <row r="126" ht="29.25" customHeight="1" outlineLevel="1" spans="1:19">
      <c r="A126" s="127"/>
      <c r="B126" s="109"/>
      <c r="C126" s="110"/>
      <c r="D126" s="111"/>
      <c r="E126" s="112"/>
      <c r="F126" s="113"/>
      <c r="G126" s="114"/>
      <c r="H126" s="115"/>
      <c r="I126" s="115"/>
      <c r="J126" s="115"/>
      <c r="K126" s="116"/>
      <c r="L126" s="116"/>
      <c r="M126" s="116"/>
      <c r="N126" s="117"/>
      <c r="O126" s="117"/>
      <c r="P126" s="117"/>
      <c r="Q126" s="118"/>
      <c r="R126" s="46"/>
      <c r="S126" s="47"/>
    </row>
    <row r="127" ht="21.75" customHeight="1" spans="1:19">
      <c r="A127" s="33" t="s">
        <v>515</v>
      </c>
      <c r="B127" s="15"/>
      <c r="C127" s="33" t="s">
        <v>515</v>
      </c>
      <c r="G127" s="15"/>
      <c r="H127" s="35" t="s">
        <v>515</v>
      </c>
      <c r="Q127" s="15"/>
      <c r="R127" s="33"/>
      <c r="S127" s="47"/>
    </row>
    <row r="128" ht="29.25" customHeight="1" outlineLevel="1" spans="1:19">
      <c r="A128" s="33" t="s">
        <v>515</v>
      </c>
      <c r="B128" s="36">
        <f>'G MTTS'!B127</f>
        <v>0.458344907407407</v>
      </c>
      <c r="C128" s="37" t="str">
        <f>'G MTTS'!J127</f>
        <v>#AS 30K Plus+SPS</v>
      </c>
      <c r="D128" s="38" t="str">
        <f>'G MTTS'!M127</f>
        <v>Main Event</v>
      </c>
      <c r="E128" s="39" t="str">
        <f>'G MTTS'!N127</f>
        <v>NLH</v>
      </c>
      <c r="F128" s="40" t="str">
        <f>'G MTTS'!O127</f>
        <v>OFF</v>
      </c>
      <c r="G128" s="41">
        <f>IF('G MTTS'!Q127=0," ",'G MTTS'!Q127*$A$3)</f>
        <v>31000</v>
      </c>
      <c r="H128" s="42">
        <f>IF('G MTTS'!V127=0," ",'G MTTS'!V127*$A$3)</f>
        <v>35</v>
      </c>
      <c r="I128" s="42">
        <f>IF('G MTTS'!W127=0," ",'G MTTS'!W127*$A$3)</f>
        <v>35</v>
      </c>
      <c r="J128" s="42">
        <f>IF('G MTTS'!Z127=0," ",'G MTTS'!Z127*$A$3)</f>
        <v>35</v>
      </c>
      <c r="K128" s="43">
        <f>'G MTTS'!AF127</f>
        <v>50000</v>
      </c>
      <c r="L128" s="43">
        <f>'G MTTS'!X127</f>
        <v>0</v>
      </c>
      <c r="M128" s="43">
        <f>'G MTTS'!AA127</f>
        <v>200000</v>
      </c>
      <c r="N128" s="44">
        <f>'G MTTS'!AG127</f>
        <v>10</v>
      </c>
      <c r="O128" s="44">
        <f>'G MTTS'!AH127</f>
        <v>10</v>
      </c>
      <c r="P128" s="44">
        <f>'G MTTS'!AI127</f>
        <v>10</v>
      </c>
      <c r="Q128" s="45">
        <f>'G MTTS'!AJ127</f>
        <v>14</v>
      </c>
      <c r="R128" s="46">
        <f t="shared" ref="R128:R192" si="12">IF(B128=0," ",TIME(,ROUNDDOWN(N128*Q128/60,0)*5+(N128*Q128),)+B128)</f>
        <v>0.562511574074074</v>
      </c>
      <c r="S128" s="47" t="str">
        <f t="shared" ref="S128:S137" si="13">IFERROR(IF(H128=0," ",IF(H128&lt;=25,"MICRO",IF(H128&lt;=99,"LOW",IF(H128&lt;=499,"MEDIUM",IF(H128&lt;=2500,"HIGH",IF(H128&gt;2500,"SUPER HIGH",)))))),"")</f>
        <v>LOW</v>
      </c>
    </row>
    <row r="129" ht="29.25" customHeight="1" outlineLevel="1" spans="1:19">
      <c r="A129" s="33" t="s">
        <v>71</v>
      </c>
      <c r="B129" s="36">
        <f>'G MTTS'!B128</f>
        <v>0.583344907407407</v>
      </c>
      <c r="C129" s="48" t="str">
        <f>'G MTTS'!J128</f>
        <v>#AS 25K WarmUp</v>
      </c>
      <c r="D129" s="49" t="str">
        <f>'G MTTS'!M128</f>
        <v>Main Event</v>
      </c>
      <c r="E129" s="50" t="str">
        <f>'G MTTS'!N128</f>
        <v>NLH</v>
      </c>
      <c r="F129" s="51" t="str">
        <f>'G MTTS'!O128</f>
        <v>Progressive KO 1/3</v>
      </c>
      <c r="G129" s="52">
        <f>IF('G MTTS'!Q128=0," ",'G MTTS'!Q128*$A$3)</f>
        <v>25000</v>
      </c>
      <c r="H129" s="53">
        <f>IF('G MTTS'!V128=0," ",'G MTTS'!V128*$A$3)</f>
        <v>110</v>
      </c>
      <c r="I129" s="53">
        <f>IF('G MTTS'!W128=0," ",'G MTTS'!W128*$A$3)</f>
        <v>110</v>
      </c>
      <c r="J129" s="53" t="str">
        <f>IF('G MTTS'!Z128=0," ",'G MTTS'!Z128*$A$3)</f>
        <v> </v>
      </c>
      <c r="K129" s="54">
        <f>'G MTTS'!AF128</f>
        <v>50000</v>
      </c>
      <c r="L129" s="54">
        <f>'G MTTS'!X128</f>
        <v>0</v>
      </c>
      <c r="M129" s="54" t="str">
        <f>'G MTTS'!AA128</f>
        <v>REENTRY</v>
      </c>
      <c r="N129" s="55">
        <f>'G MTTS'!AG128</f>
        <v>12</v>
      </c>
      <c r="O129" s="55">
        <f>'G MTTS'!AH128</f>
        <v>10</v>
      </c>
      <c r="P129" s="55">
        <f>'G MTTS'!AI128</f>
        <v>10</v>
      </c>
      <c r="Q129" s="56">
        <f>'G MTTS'!AJ128</f>
        <v>15</v>
      </c>
      <c r="R129" s="46">
        <f t="shared" si="12"/>
        <v>0.718761574074074</v>
      </c>
      <c r="S129" s="47" t="str">
        <f t="shared" si="13"/>
        <v>MEDIUM</v>
      </c>
    </row>
    <row r="130" ht="29.25" customHeight="1" outlineLevel="1" spans="1:19">
      <c r="A130" s="33">
        <f>COUNTIF(D128:D192,"Side event")</f>
        <v>54</v>
      </c>
      <c r="B130" s="36">
        <f>'G MTTS'!B129</f>
        <v>0.625011574074074</v>
      </c>
      <c r="C130" s="37" t="str">
        <f>'G MTTS'!J129</f>
        <v>#AS 40K Plus HR+SPS</v>
      </c>
      <c r="D130" s="38" t="str">
        <f>'G MTTS'!M129</f>
        <v>Main Event</v>
      </c>
      <c r="E130" s="39" t="str">
        <f>'G MTTS'!N129</f>
        <v>NLH</v>
      </c>
      <c r="F130" s="40" t="str">
        <f>'G MTTS'!O129</f>
        <v>OFF</v>
      </c>
      <c r="G130" s="41">
        <f>IF('G MTTS'!Q129=0," ",'G MTTS'!Q129*$A$3)</f>
        <v>41000</v>
      </c>
      <c r="H130" s="42">
        <f>IF('G MTTS'!V129=0," ",'G MTTS'!V129*$A$3)</f>
        <v>75</v>
      </c>
      <c r="I130" s="42">
        <f>IF('G MTTS'!W129=0," ",'G MTTS'!W129*$A$3)</f>
        <v>75</v>
      </c>
      <c r="J130" s="42">
        <f>IF('G MTTS'!Z129=0," ",'G MTTS'!Z129*$A$3)</f>
        <v>75</v>
      </c>
      <c r="K130" s="43">
        <f>'G MTTS'!AF129</f>
        <v>20000</v>
      </c>
      <c r="L130" s="43">
        <f>'G MTTS'!X129</f>
        <v>0</v>
      </c>
      <c r="M130" s="43">
        <f>'G MTTS'!AA129</f>
        <v>60000</v>
      </c>
      <c r="N130" s="44">
        <f>'G MTTS'!AG129</f>
        <v>12</v>
      </c>
      <c r="O130" s="44">
        <f>'G MTTS'!AH129</f>
        <v>10</v>
      </c>
      <c r="P130" s="44">
        <f>'G MTTS'!AI129</f>
        <v>10</v>
      </c>
      <c r="Q130" s="45">
        <f>'G MTTS'!AJ129</f>
        <v>12</v>
      </c>
      <c r="R130" s="46">
        <f t="shared" si="12"/>
        <v>0.731956018518518</v>
      </c>
      <c r="S130" s="47" t="str">
        <f t="shared" si="13"/>
        <v>LOW</v>
      </c>
    </row>
    <row r="131" ht="29.25" customHeight="1" outlineLevel="1" spans="1:19">
      <c r="A131" s="33" t="s">
        <v>56</v>
      </c>
      <c r="B131" s="36">
        <f>'G MTTS'!B130</f>
        <v>0.750011574074074</v>
      </c>
      <c r="C131" s="48" t="str">
        <f>'G MTTS'!J130</f>
        <v>#AS 150K Big Plus+SPT</v>
      </c>
      <c r="D131" s="49" t="str">
        <f>'G MTTS'!M130</f>
        <v>Main Event</v>
      </c>
      <c r="E131" s="50" t="str">
        <f>'G MTTS'!N130</f>
        <v>NLH</v>
      </c>
      <c r="F131" s="51" t="str">
        <f>'G MTTS'!O130</f>
        <v>OFF</v>
      </c>
      <c r="G131" s="52">
        <f>IF('G MTTS'!Q130=0," ",'G MTTS'!Q130*$A$3)</f>
        <v>158500</v>
      </c>
      <c r="H131" s="53">
        <f>IF('G MTTS'!V130=0," ",'G MTTS'!V130*$A$3)</f>
        <v>150</v>
      </c>
      <c r="I131" s="53">
        <f>IF('G MTTS'!W130=0," ",'G MTTS'!W130*$A$3)</f>
        <v>150</v>
      </c>
      <c r="J131" s="53">
        <f>IF('G MTTS'!Z130=0," ",'G MTTS'!Z130*$A$3)</f>
        <v>150</v>
      </c>
      <c r="K131" s="54">
        <f>'G MTTS'!AF130</f>
        <v>50000</v>
      </c>
      <c r="L131" s="54">
        <f>'G MTTS'!X130</f>
        <v>0</v>
      </c>
      <c r="M131" s="54">
        <f>'G MTTS'!AA130</f>
        <v>250000</v>
      </c>
      <c r="N131" s="55">
        <f>'G MTTS'!AG130</f>
        <v>12</v>
      </c>
      <c r="O131" s="55">
        <f>'G MTTS'!AH130</f>
        <v>10</v>
      </c>
      <c r="P131" s="55">
        <f>'G MTTS'!AI130</f>
        <v>10</v>
      </c>
      <c r="Q131" s="56">
        <f>'G MTTS'!AJ130</f>
        <v>15</v>
      </c>
      <c r="R131" s="46">
        <f t="shared" si="12"/>
        <v>0.885428240740741</v>
      </c>
      <c r="S131" s="47" t="str">
        <f t="shared" si="13"/>
        <v>MEDIUM</v>
      </c>
    </row>
    <row r="132" ht="29.25" customHeight="1" outlineLevel="1" spans="1:19">
      <c r="A132" s="33">
        <f>COUNTIF(D128:D192,"Main Event")</f>
        <v>10</v>
      </c>
      <c r="B132" s="36">
        <f>'G MTTS'!B131</f>
        <v>0.750011574074074</v>
      </c>
      <c r="C132" s="37" t="str">
        <f>'G MTTS'!J131</f>
        <v>#AS 100K Plus+SPT</v>
      </c>
      <c r="D132" s="38" t="str">
        <f>'G MTTS'!M131</f>
        <v>Main Event</v>
      </c>
      <c r="E132" s="39" t="str">
        <f>'G MTTS'!N131</f>
        <v>NLH</v>
      </c>
      <c r="F132" s="40" t="str">
        <f>'G MTTS'!O131</f>
        <v>OFF</v>
      </c>
      <c r="G132" s="41">
        <f>IF('G MTTS'!Q131=0," ",'G MTTS'!Q131*$A$3)</f>
        <v>108500</v>
      </c>
      <c r="H132" s="42">
        <f>IF('G MTTS'!V131=0," ",'G MTTS'!V131*$A$3)</f>
        <v>25</v>
      </c>
      <c r="I132" s="42">
        <f>IF('G MTTS'!W131=0," ",'G MTTS'!W131*$A$3)</f>
        <v>25</v>
      </c>
      <c r="J132" s="42">
        <f>IF('G MTTS'!Z131=0," ",'G MTTS'!Z131*$A$3)</f>
        <v>30</v>
      </c>
      <c r="K132" s="43">
        <f>'G MTTS'!AF131</f>
        <v>50000</v>
      </c>
      <c r="L132" s="43">
        <f>'G MTTS'!X131</f>
        <v>0</v>
      </c>
      <c r="M132" s="43">
        <f>'G MTTS'!AA131</f>
        <v>250000</v>
      </c>
      <c r="N132" s="44">
        <f>'G MTTS'!AG131</f>
        <v>10</v>
      </c>
      <c r="O132" s="44">
        <f>'G MTTS'!AH131</f>
        <v>10</v>
      </c>
      <c r="P132" s="44">
        <f>'G MTTS'!AI131</f>
        <v>10</v>
      </c>
      <c r="Q132" s="45">
        <f>'G MTTS'!AJ131</f>
        <v>15</v>
      </c>
      <c r="R132" s="46">
        <f t="shared" si="12"/>
        <v>0.861122685185185</v>
      </c>
      <c r="S132" s="47" t="str">
        <f t="shared" si="13"/>
        <v>MICRO</v>
      </c>
    </row>
    <row r="133" ht="29.25" customHeight="1" outlineLevel="1" spans="1:19">
      <c r="A133" s="57" t="s">
        <v>89</v>
      </c>
      <c r="B133" s="36">
        <f>'G MTTS'!B132</f>
        <v>0.791678240740741</v>
      </c>
      <c r="C133" s="48" t="str">
        <f>'G MTTS'!J132</f>
        <v>#AS 250K Battle HR+SPS</v>
      </c>
      <c r="D133" s="49" t="str">
        <f>'G MTTS'!M132</f>
        <v>Main Event</v>
      </c>
      <c r="E133" s="50" t="str">
        <f>'G MTTS'!N132</f>
        <v>NLH</v>
      </c>
      <c r="F133" s="51" t="str">
        <f>'G MTTS'!O132</f>
        <v>Progressive KO 1/3</v>
      </c>
      <c r="G133" s="52">
        <f>IF('G MTTS'!Q132=0," ",'G MTTS'!Q132*$A$3)</f>
        <v>251500</v>
      </c>
      <c r="H133" s="53">
        <f>IF('G MTTS'!V132=0," ",'G MTTS'!V132*$A$3)</f>
        <v>300</v>
      </c>
      <c r="I133" s="53">
        <f>IF('G MTTS'!W132=0," ",'G MTTS'!W132*$A$3)</f>
        <v>300</v>
      </c>
      <c r="J133" s="53" t="str">
        <f>IF('G MTTS'!Z132=0," ",'G MTTS'!Z132*$A$3)</f>
        <v> </v>
      </c>
      <c r="K133" s="54">
        <f>'G MTTS'!AF132</f>
        <v>80000</v>
      </c>
      <c r="L133" s="54">
        <f>'G MTTS'!X132</f>
        <v>0</v>
      </c>
      <c r="M133" s="54" t="str">
        <f>'G MTTS'!AA132</f>
        <v>REENTRY</v>
      </c>
      <c r="N133" s="55">
        <f>'G MTTS'!AG132</f>
        <v>12</v>
      </c>
      <c r="O133" s="55">
        <f>'G MTTS'!AH132</f>
        <v>12</v>
      </c>
      <c r="P133" s="55">
        <f>'G MTTS'!AI132</f>
        <v>12</v>
      </c>
      <c r="Q133" s="56">
        <f>'G MTTS'!AJ132</f>
        <v>15</v>
      </c>
      <c r="R133" s="46">
        <f t="shared" si="12"/>
        <v>0.927094907407407</v>
      </c>
      <c r="S133" s="47" t="str">
        <f t="shared" si="13"/>
        <v>MEDIUM</v>
      </c>
    </row>
    <row r="134" ht="29.25" customHeight="1" outlineLevel="1" spans="1:19">
      <c r="A134" s="58">
        <f>SUM(G128:G192,G195:G248)</f>
        <v>1391230</v>
      </c>
      <c r="B134" s="36">
        <f>'G MTTS'!B133</f>
        <v>0.791678240740741</v>
      </c>
      <c r="C134" s="37" t="str">
        <f>'G MTTS'!J133</f>
        <v>#AS 80K Mystery+SPS</v>
      </c>
      <c r="D134" s="38" t="str">
        <f>'G MTTS'!M133</f>
        <v>Main Event</v>
      </c>
      <c r="E134" s="39" t="str">
        <f>'G MTTS'!N133</f>
        <v>NLH</v>
      </c>
      <c r="F134" s="40" t="str">
        <f>'G MTTS'!O133</f>
        <v>Mystery Bounty 1/3</v>
      </c>
      <c r="G134" s="41">
        <f>IF('G MTTS'!Q133=0," ",'G MTTS'!Q133*$A$3)</f>
        <v>81000</v>
      </c>
      <c r="H134" s="42">
        <f>IF('G MTTS'!V133=0," ",'G MTTS'!V133*$A$3)</f>
        <v>75</v>
      </c>
      <c r="I134" s="42">
        <f>IF('G MTTS'!W133=0," ",'G MTTS'!W133*$A$3)</f>
        <v>75</v>
      </c>
      <c r="J134" s="42" t="str">
        <f>IF('G MTTS'!Z133=0," ",'G MTTS'!Z133*$A$3)</f>
        <v> </v>
      </c>
      <c r="K134" s="43">
        <f>'G MTTS'!AF133</f>
        <v>50000</v>
      </c>
      <c r="L134" s="43">
        <f>'G MTTS'!X133</f>
        <v>0</v>
      </c>
      <c r="M134" s="43" t="str">
        <f>'G MTTS'!AA133</f>
        <v>REENTRY</v>
      </c>
      <c r="N134" s="44">
        <f>'G MTTS'!AG133</f>
        <v>12</v>
      </c>
      <c r="O134" s="44">
        <f>'G MTTS'!AH133</f>
        <v>10</v>
      </c>
      <c r="P134" s="44">
        <f>'G MTTS'!AI133</f>
        <v>10</v>
      </c>
      <c r="Q134" s="45">
        <f>'G MTTS'!AJ133</f>
        <v>15</v>
      </c>
      <c r="R134" s="46">
        <f t="shared" si="12"/>
        <v>0.927094907407407</v>
      </c>
      <c r="S134" s="47" t="str">
        <f t="shared" si="13"/>
        <v>LOW</v>
      </c>
    </row>
    <row r="135" ht="29.25" customHeight="1" outlineLevel="1" spans="1:19">
      <c r="A135" s="59"/>
      <c r="B135" s="36">
        <f>'G MTTS'!B134</f>
        <v>0.791678240740741</v>
      </c>
      <c r="C135" s="48" t="str">
        <f>'G MTTS'!J134</f>
        <v>150K HighS</v>
      </c>
      <c r="D135" s="49" t="str">
        <f>'G MTTS'!M134</f>
        <v>Main Event</v>
      </c>
      <c r="E135" s="50" t="str">
        <f>'G MTTS'!N134</f>
        <v>NLH</v>
      </c>
      <c r="F135" s="51" t="str">
        <f>'G MTTS'!O134</f>
        <v>Progressive KO 1/2</v>
      </c>
      <c r="G135" s="52">
        <f>IF('G MTTS'!Q134=0," ",'G MTTS'!Q134*$A$3)</f>
        <v>150000</v>
      </c>
      <c r="H135" s="53">
        <f>IF('G MTTS'!V134=0," ",'G MTTS'!V134*$A$3)</f>
        <v>1100</v>
      </c>
      <c r="I135" s="53">
        <f>IF('G MTTS'!W134=0," ",'G MTTS'!W134*$A$3)</f>
        <v>1100</v>
      </c>
      <c r="J135" s="53" t="str">
        <f>IF('G MTTS'!Z134=0," ",'G MTTS'!Z134*$A$3)</f>
        <v> </v>
      </c>
      <c r="K135" s="54">
        <f>'G MTTS'!AF134</f>
        <v>50000</v>
      </c>
      <c r="L135" s="54">
        <f>'G MTTS'!X134</f>
        <v>60000</v>
      </c>
      <c r="M135" s="54" t="str">
        <f>'G MTTS'!AA134</f>
        <v>REENTRY</v>
      </c>
      <c r="N135" s="55">
        <f>'G MTTS'!AG134</f>
        <v>12</v>
      </c>
      <c r="O135" s="55">
        <f>'G MTTS'!AH134</f>
        <v>12</v>
      </c>
      <c r="P135" s="55">
        <f>'G MTTS'!AI134</f>
        <v>12</v>
      </c>
      <c r="Q135" s="56">
        <f>'G MTTS'!AJ134</f>
        <v>15</v>
      </c>
      <c r="R135" s="46">
        <f t="shared" si="12"/>
        <v>0.927094907407407</v>
      </c>
      <c r="S135" s="47" t="str">
        <f t="shared" si="13"/>
        <v>HIGH</v>
      </c>
    </row>
    <row r="136" ht="29.25" customHeight="1" outlineLevel="1" spans="1:19">
      <c r="A136" s="60" t="s">
        <v>516</v>
      </c>
      <c r="B136" s="61">
        <f>'G MTTS'!B135</f>
        <v>0.833344907407407</v>
      </c>
      <c r="C136" s="37" t="str">
        <f>'G MTTS'!J135</f>
        <v>#AS 75K OmaX HR</v>
      </c>
      <c r="D136" s="38" t="str">
        <f>'G MTTS'!M135</f>
        <v>Main Event</v>
      </c>
      <c r="E136" s="39" t="str">
        <f>'G MTTS'!N135</f>
        <v>PLO5</v>
      </c>
      <c r="F136" s="40" t="str">
        <f>'G MTTS'!O135</f>
        <v>Progressive KO 1/2</v>
      </c>
      <c r="G136" s="41">
        <f>IF('G MTTS'!Q135=0," ",'G MTTS'!Q135*$A$3)</f>
        <v>75000</v>
      </c>
      <c r="H136" s="42">
        <f>IF('G MTTS'!V135=0," ",'G MTTS'!V135*$A$3)</f>
        <v>500</v>
      </c>
      <c r="I136" s="42">
        <f>IF('G MTTS'!W135=0," ",'G MTTS'!W135*$A$3)</f>
        <v>500</v>
      </c>
      <c r="J136" s="42" t="str">
        <f>IF('G MTTS'!Z135=0," ",'G MTTS'!Z135*$A$3)</f>
        <v> </v>
      </c>
      <c r="K136" s="43">
        <f>'G MTTS'!AF135</f>
        <v>50000</v>
      </c>
      <c r="L136" s="43">
        <f>'G MTTS'!X135</f>
        <v>60000</v>
      </c>
      <c r="M136" s="43" t="str">
        <f>'G MTTS'!AA135</f>
        <v>REENTRY</v>
      </c>
      <c r="N136" s="44">
        <f>'G MTTS'!AG135</f>
        <v>12</v>
      </c>
      <c r="O136" s="44">
        <f>'G MTTS'!AH135</f>
        <v>12</v>
      </c>
      <c r="P136" s="44">
        <f>'G MTTS'!AI135</f>
        <v>12</v>
      </c>
      <c r="Q136" s="45">
        <f>'G MTTS'!AJ135</f>
        <v>15</v>
      </c>
      <c r="R136" s="46">
        <f t="shared" si="12"/>
        <v>0.968761574074074</v>
      </c>
      <c r="S136" s="47" t="str">
        <f t="shared" si="13"/>
        <v>HIGH</v>
      </c>
    </row>
    <row r="137" ht="29.25" customHeight="1" outlineLevel="1" spans="1:19">
      <c r="B137" s="61">
        <f>'G MTTS'!B136</f>
        <v>0.875011574074074</v>
      </c>
      <c r="C137" s="48" t="str">
        <f>'G MTTS'!J136</f>
        <v>#AS 30K Bounty</v>
      </c>
      <c r="D137" s="49" t="str">
        <f>'G MTTS'!M136</f>
        <v>Main Event</v>
      </c>
      <c r="E137" s="50" t="str">
        <f>'G MTTS'!N136</f>
        <v>NLH</v>
      </c>
      <c r="F137" s="51" t="str">
        <f>'G MTTS'!O136</f>
        <v>Progressive KO 1/2</v>
      </c>
      <c r="G137" s="52">
        <f>IF('G MTTS'!Q136=0," ",'G MTTS'!Q136*$A$3)</f>
        <v>30000</v>
      </c>
      <c r="H137" s="53">
        <f>IF('G MTTS'!V136=0," ",'G MTTS'!V136*$A$3)</f>
        <v>110</v>
      </c>
      <c r="I137" s="53">
        <f>IF('G MTTS'!W136=0," ",'G MTTS'!W136*$A$3)</f>
        <v>110</v>
      </c>
      <c r="J137" s="53" t="str">
        <f>IF('G MTTS'!Z136=0," ",'G MTTS'!Z136*$A$3)</f>
        <v> </v>
      </c>
      <c r="K137" s="54">
        <f>'G MTTS'!AF136</f>
        <v>50000</v>
      </c>
      <c r="L137" s="54">
        <f>'G MTTS'!X136</f>
        <v>0</v>
      </c>
      <c r="M137" s="54" t="str">
        <f>'G MTTS'!AA136</f>
        <v>REENTRY</v>
      </c>
      <c r="N137" s="55">
        <f>'G MTTS'!AG136</f>
        <v>10</v>
      </c>
      <c r="O137" s="55">
        <f>'G MTTS'!AH136</f>
        <v>10</v>
      </c>
      <c r="P137" s="55">
        <f>'G MTTS'!AI136</f>
        <v>10</v>
      </c>
      <c r="Q137" s="56">
        <f>'G MTTS'!AJ136</f>
        <v>15</v>
      </c>
      <c r="R137" s="46">
        <f t="shared" si="12"/>
        <v>0.986122685185185</v>
      </c>
      <c r="S137" s="47" t="str">
        <f t="shared" si="13"/>
        <v>MEDIUM</v>
      </c>
    </row>
    <row r="138" ht="29.25" customHeight="1" outlineLevel="1" spans="1:19">
      <c r="B138" s="62">
        <f>'G MTTS'!B137</f>
        <v>0</v>
      </c>
      <c r="C138" s="63">
        <f>'G MTTS'!J137</f>
        <v>0</v>
      </c>
      <c r="D138" s="64">
        <f>'G MTTS'!M137</f>
        <v>0</v>
      </c>
      <c r="E138" s="65">
        <f>'G MTTS'!N137</f>
        <v>0</v>
      </c>
      <c r="F138" s="66">
        <f>'G MTTS'!O137</f>
        <v>0</v>
      </c>
      <c r="G138" s="67" t="str">
        <f>IF('G MTTS'!Q137=0," ",'G MTTS'!Q137*5)</f>
        <v> </v>
      </c>
      <c r="H138" s="68" t="str">
        <f>IF('G MTTS'!V137=0," ",'G MTTS'!V137*5)</f>
        <v> </v>
      </c>
      <c r="I138" s="68" t="str">
        <f>IF('G MTTS'!W137=0," ",'G MTTS'!W137*5)</f>
        <v> </v>
      </c>
      <c r="J138" s="68" t="str">
        <f>IF('G MTTS'!Z137=0," ",'G MTTS'!Z137*5)</f>
        <v> </v>
      </c>
      <c r="K138" s="69">
        <f>'G MTTS'!AF137</f>
        <v>0</v>
      </c>
      <c r="L138" s="69">
        <f>'G MTTS'!X137</f>
        <v>0</v>
      </c>
      <c r="M138" s="69">
        <f>'G MTTS'!AA137</f>
        <v>0</v>
      </c>
      <c r="N138" s="131">
        <f>'G MTTS'!AG137</f>
        <v>0</v>
      </c>
      <c r="O138" s="131">
        <f>'G MTTS'!AH137</f>
        <v>0</v>
      </c>
      <c r="P138" s="131">
        <f>'G MTTS'!AI137</f>
        <v>0</v>
      </c>
      <c r="Q138" s="71">
        <f>'G MTTS'!AJ137</f>
        <v>0</v>
      </c>
      <c r="R138" s="46" t="str">
        <f t="shared" si="12"/>
        <v> </v>
      </c>
      <c r="S138" s="47"/>
    </row>
    <row r="139" ht="29.25" customHeight="1" outlineLevel="1" spans="1:19">
      <c r="A139" s="132" t="s">
        <v>516</v>
      </c>
      <c r="B139" s="133">
        <f>'G MTTS'!B138</f>
        <v>0.437511574074074</v>
      </c>
      <c r="C139" s="48" t="str">
        <f>'G MTTS'!J138</f>
        <v>#AS 3K Omax</v>
      </c>
      <c r="D139" s="49" t="str">
        <f>'G MTTS'!M138</f>
        <v>Side Event</v>
      </c>
      <c r="E139" s="50" t="str">
        <f>'G MTTS'!N138</f>
        <v>PLO5</v>
      </c>
      <c r="F139" s="51" t="str">
        <f>'G MTTS'!O138</f>
        <v>OFF</v>
      </c>
      <c r="G139" s="52">
        <f>IF('G MTTS'!Q138=0," ",'G MTTS'!Q138*$A$3)</f>
        <v>3000</v>
      </c>
      <c r="H139" s="53">
        <f>IF('G MTTS'!V138=0," ",'G MTTS'!V138*$A$3)</f>
        <v>15</v>
      </c>
      <c r="I139" s="53">
        <f>IF('G MTTS'!W138=0," ",'G MTTS'!W138*$A$3)</f>
        <v>15</v>
      </c>
      <c r="J139" s="53">
        <f>IF('G MTTS'!Z138=0," ",'G MTTS'!Z138*$A$3)</f>
        <v>15</v>
      </c>
      <c r="K139" s="54">
        <f>'G MTTS'!AF138</f>
        <v>40000</v>
      </c>
      <c r="L139" s="54">
        <f>'G MTTS'!X138</f>
        <v>0</v>
      </c>
      <c r="M139" s="54">
        <f>'G MTTS'!AA138</f>
        <v>100000</v>
      </c>
      <c r="N139" s="55">
        <f>'G MTTS'!AG138</f>
        <v>8</v>
      </c>
      <c r="O139" s="55">
        <f>'G MTTS'!AH138</f>
        <v>7</v>
      </c>
      <c r="P139" s="55">
        <f>'G MTTS'!AI138</f>
        <v>7</v>
      </c>
      <c r="Q139" s="56">
        <f>'G MTTS'!AJ138</f>
        <v>13</v>
      </c>
      <c r="R139" s="46">
        <f t="shared" si="12"/>
        <v>0.513206018518519</v>
      </c>
      <c r="S139" s="47" t="str">
        <f t="shared" ref="S139:S195" si="14">IFERROR(IF(H139=0," ",IF(H139&lt;=25,"MICRO",IF(H139&lt;=99,"LOW",IF(H139&lt;=499,"MEDIUM",IF(H139&lt;=2500,"HIGH",IF(H139&gt;2500,"SUPER HIGH",)))))),"")</f>
        <v>MICRO</v>
      </c>
    </row>
    <row r="140" ht="29.25" customHeight="1" outlineLevel="1" spans="1:19">
      <c r="A140" s="22"/>
      <c r="B140" s="36">
        <f>'G MTTS'!B139</f>
        <v>0.437511574074074</v>
      </c>
      <c r="C140" s="37" t="str">
        <f>'G MTTS'!J139</f>
        <v>1.5K Plus</v>
      </c>
      <c r="D140" s="38" t="str">
        <f>'G MTTS'!M139</f>
        <v>Side Event</v>
      </c>
      <c r="E140" s="39" t="str">
        <f>'G MTTS'!N139</f>
        <v>NLH</v>
      </c>
      <c r="F140" s="40" t="str">
        <f>'G MTTS'!O139</f>
        <v>OFF</v>
      </c>
      <c r="G140" s="41">
        <f>IF('G MTTS'!Q139=0," ",'G MTTS'!Q139*$A$3)</f>
        <v>1500</v>
      </c>
      <c r="H140" s="42">
        <f>IF('G MTTS'!V139=0," ",'G MTTS'!V139*$A$3)</f>
        <v>2</v>
      </c>
      <c r="I140" s="42">
        <f>IF('G MTTS'!W139=0," ",'G MTTS'!W139*$A$3)</f>
        <v>2</v>
      </c>
      <c r="J140" s="42">
        <f>IF('G MTTS'!Z139=0," ",'G MTTS'!Z139*$A$3)</f>
        <v>2</v>
      </c>
      <c r="K140" s="43">
        <f>'G MTTS'!AF139</f>
        <v>20000</v>
      </c>
      <c r="L140" s="43">
        <f>'G MTTS'!X139</f>
        <v>0</v>
      </c>
      <c r="M140" s="43">
        <f>'G MTTS'!AA139</f>
        <v>60000</v>
      </c>
      <c r="N140" s="44">
        <f>'G MTTS'!AG139</f>
        <v>6</v>
      </c>
      <c r="O140" s="44">
        <f>'G MTTS'!AH139</f>
        <v>5</v>
      </c>
      <c r="P140" s="44">
        <f>'G MTTS'!AI139</f>
        <v>5</v>
      </c>
      <c r="Q140" s="45">
        <f>'G MTTS'!AJ139</f>
        <v>11</v>
      </c>
      <c r="R140" s="46">
        <f t="shared" si="12"/>
        <v>0.48681712962963</v>
      </c>
      <c r="S140" s="47" t="str">
        <f t="shared" si="14"/>
        <v>MICRO</v>
      </c>
    </row>
    <row r="141" ht="29.25" customHeight="1" outlineLevel="1" spans="1:19">
      <c r="A141" s="22"/>
      <c r="B141" s="36">
        <f>'G MTTS'!B140</f>
        <v>0.437511574074074</v>
      </c>
      <c r="C141" s="48" t="str">
        <f>'G MTTS'!J140</f>
        <v>500 Battle</v>
      </c>
      <c r="D141" s="49" t="str">
        <f>'G MTTS'!M140</f>
        <v>Side Event</v>
      </c>
      <c r="E141" s="50" t="str">
        <f>'G MTTS'!N140</f>
        <v>NLH</v>
      </c>
      <c r="F141" s="51" t="str">
        <f>'G MTTS'!O140</f>
        <v>Regular KO 1/3</v>
      </c>
      <c r="G141" s="52">
        <f>IF('G MTTS'!Q140=0," ",'G MTTS'!Q140*$A$3)</f>
        <v>500</v>
      </c>
      <c r="H141" s="53">
        <f>IF('G MTTS'!V140=0," ",'G MTTS'!V140*$A$3)</f>
        <v>2</v>
      </c>
      <c r="I141" s="53">
        <f>IF('G MTTS'!W140=0," ",'G MTTS'!W140*$A$3)</f>
        <v>2</v>
      </c>
      <c r="J141" s="53" t="str">
        <f>IF('G MTTS'!Z140=0," ",'G MTTS'!Z140*$A$3)</f>
        <v> </v>
      </c>
      <c r="K141" s="54">
        <f>'G MTTS'!AF140</f>
        <v>30000</v>
      </c>
      <c r="L141" s="54">
        <f>'G MTTS'!X140</f>
        <v>0</v>
      </c>
      <c r="M141" s="54" t="str">
        <f>'G MTTS'!AA140</f>
        <v>REENTRY</v>
      </c>
      <c r="N141" s="55">
        <f>'G MTTS'!AG140</f>
        <v>8</v>
      </c>
      <c r="O141" s="55">
        <f>'G MTTS'!AH140</f>
        <v>7</v>
      </c>
      <c r="P141" s="55">
        <f>'G MTTS'!AI140</f>
        <v>7</v>
      </c>
      <c r="Q141" s="56">
        <f>'G MTTS'!AJ140</f>
        <v>11</v>
      </c>
      <c r="R141" s="46">
        <f t="shared" si="12"/>
        <v>0.502094907407407</v>
      </c>
      <c r="S141" s="47" t="str">
        <f t="shared" si="14"/>
        <v>MICRO</v>
      </c>
    </row>
    <row r="142" ht="29.25" customHeight="1" outlineLevel="1" spans="1:19">
      <c r="A142" s="60" t="s">
        <v>516</v>
      </c>
      <c r="B142" s="36">
        <f>'G MTTS'!B141</f>
        <v>0.458344907407407</v>
      </c>
      <c r="C142" s="37" t="str">
        <f>'G MTTS'!J141</f>
        <v>#AS 5K Battle</v>
      </c>
      <c r="D142" s="38" t="str">
        <f>'G MTTS'!M141</f>
        <v>Side Event</v>
      </c>
      <c r="E142" s="39" t="str">
        <f>'G MTTS'!N141</f>
        <v>NLH</v>
      </c>
      <c r="F142" s="40" t="str">
        <f>'G MTTS'!O141</f>
        <v>Progressive KO 1/2</v>
      </c>
      <c r="G142" s="41">
        <f>IF('G MTTS'!Q141=0," ",'G MTTS'!Q141*$A$3)</f>
        <v>5000</v>
      </c>
      <c r="H142" s="42">
        <f>IF('G MTTS'!V141=0," ",'G MTTS'!V141*$A$3)</f>
        <v>30</v>
      </c>
      <c r="I142" s="42">
        <f>IF('G MTTS'!W141=0," ",'G MTTS'!W141*$A$3)</f>
        <v>30</v>
      </c>
      <c r="J142" s="42" t="str">
        <f>IF('G MTTS'!Z141=0," ",'G MTTS'!Z141*$A$3)</f>
        <v> </v>
      </c>
      <c r="K142" s="43">
        <f>'G MTTS'!AF141</f>
        <v>40000</v>
      </c>
      <c r="L142" s="43">
        <f>'G MTTS'!X141</f>
        <v>0</v>
      </c>
      <c r="M142" s="43" t="str">
        <f>'G MTTS'!AA141</f>
        <v>REENTRY</v>
      </c>
      <c r="N142" s="44">
        <f>'G MTTS'!AG141</f>
        <v>10</v>
      </c>
      <c r="O142" s="44">
        <f>'G MTTS'!AH141</f>
        <v>8</v>
      </c>
      <c r="P142" s="44">
        <f>'G MTTS'!AI141</f>
        <v>8</v>
      </c>
      <c r="Q142" s="45">
        <f>'G MTTS'!AJ141</f>
        <v>14</v>
      </c>
      <c r="R142" s="46">
        <f t="shared" si="12"/>
        <v>0.562511574074074</v>
      </c>
      <c r="S142" s="47" t="str">
        <f t="shared" si="14"/>
        <v>LOW</v>
      </c>
    </row>
    <row r="143" ht="29.25" customHeight="1" outlineLevel="1" spans="1:19">
      <c r="B143" s="36">
        <f>'G MTTS'!B142</f>
        <v>0.458344907407407</v>
      </c>
      <c r="C143" s="48" t="str">
        <f>'G MTTS'!J142</f>
        <v>500 Omax</v>
      </c>
      <c r="D143" s="49" t="str">
        <f>'G MTTS'!M142</f>
        <v>Side Event</v>
      </c>
      <c r="E143" s="50" t="str">
        <f>'G MTTS'!N142</f>
        <v>PLO4</v>
      </c>
      <c r="F143" s="51" t="str">
        <f>'G MTTS'!O142</f>
        <v>OFF</v>
      </c>
      <c r="G143" s="52">
        <f>IF('G MTTS'!Q142=0," ",'G MTTS'!Q142*$A$3)</f>
        <v>500</v>
      </c>
      <c r="H143" s="53">
        <f>IF('G MTTS'!V142=0," ",'G MTTS'!V142*$A$3)</f>
        <v>4</v>
      </c>
      <c r="I143" s="53">
        <f>IF('G MTTS'!W142=0," ",'G MTTS'!W142*$A$3)</f>
        <v>4</v>
      </c>
      <c r="J143" s="53">
        <f>IF('G MTTS'!Z142=0," ",'G MTTS'!Z142*$A$3)</f>
        <v>4</v>
      </c>
      <c r="K143" s="54">
        <f>'G MTTS'!AF142</f>
        <v>40000</v>
      </c>
      <c r="L143" s="54">
        <f>'G MTTS'!X142</f>
        <v>0</v>
      </c>
      <c r="M143" s="54">
        <f>'G MTTS'!AA142</f>
        <v>100000</v>
      </c>
      <c r="N143" s="55">
        <f>'G MTTS'!AG142</f>
        <v>8</v>
      </c>
      <c r="O143" s="55">
        <f>'G MTTS'!AH142</f>
        <v>7</v>
      </c>
      <c r="P143" s="55">
        <f>'G MTTS'!AI142</f>
        <v>7</v>
      </c>
      <c r="Q143" s="56">
        <f>'G MTTS'!AJ142</f>
        <v>12</v>
      </c>
      <c r="R143" s="46">
        <f t="shared" si="12"/>
        <v>0.528483796296296</v>
      </c>
      <c r="S143" s="47" t="str">
        <f t="shared" si="14"/>
        <v>MICRO</v>
      </c>
    </row>
    <row r="144" ht="29.25" customHeight="1" outlineLevel="1" spans="1:19">
      <c r="B144" s="36">
        <f>'G MTTS'!B143</f>
        <v>0.500011574074074</v>
      </c>
      <c r="C144" s="37" t="str">
        <f>'G MTTS'!J143</f>
        <v>#AS 3.5K Big Mystery</v>
      </c>
      <c r="D144" s="38" t="str">
        <f>'G MTTS'!M143</f>
        <v>Side Event</v>
      </c>
      <c r="E144" s="39" t="str">
        <f>'G MTTS'!N143</f>
        <v>NLH</v>
      </c>
      <c r="F144" s="40" t="str">
        <f>'G MTTS'!O143</f>
        <v>Mystery Bounty 1/2</v>
      </c>
      <c r="G144" s="41">
        <f>IF('G MTTS'!Q143=0," ",'G MTTS'!Q143*$A$3)</f>
        <v>3500</v>
      </c>
      <c r="H144" s="42">
        <f>IF('G MTTS'!V143=0," ",'G MTTS'!V143*$A$3)</f>
        <v>10</v>
      </c>
      <c r="I144" s="42">
        <f>IF('G MTTS'!W143=0," ",'G MTTS'!W143*$A$3)</f>
        <v>10</v>
      </c>
      <c r="J144" s="42" t="str">
        <f>IF('G MTTS'!Z143=0," ",'G MTTS'!Z143*$A$3)</f>
        <v> </v>
      </c>
      <c r="K144" s="43">
        <f>'G MTTS'!AF143</f>
        <v>50000</v>
      </c>
      <c r="L144" s="43">
        <f>'G MTTS'!X143</f>
        <v>0</v>
      </c>
      <c r="M144" s="43" t="str">
        <f>'G MTTS'!AA143</f>
        <v>REENTRY</v>
      </c>
      <c r="N144" s="44">
        <f>'G MTTS'!AG143</f>
        <v>10</v>
      </c>
      <c r="O144" s="44">
        <f>'G MTTS'!AH143</f>
        <v>8</v>
      </c>
      <c r="P144" s="44">
        <f>'G MTTS'!AI143</f>
        <v>8</v>
      </c>
      <c r="Q144" s="45">
        <f>'G MTTS'!AJ143</f>
        <v>13</v>
      </c>
      <c r="R144" s="46">
        <f t="shared" si="12"/>
        <v>0.597233796296296</v>
      </c>
      <c r="S144" s="47" t="str">
        <f t="shared" si="14"/>
        <v>MICRO</v>
      </c>
    </row>
    <row r="145" ht="29.25" customHeight="1" outlineLevel="1" spans="1:19">
      <c r="A145" s="60" t="s">
        <v>516</v>
      </c>
      <c r="B145" s="36">
        <f>'G MTTS'!B144</f>
        <v>0.500011574074074</v>
      </c>
      <c r="C145" s="48" t="str">
        <f>'G MTTS'!J144</f>
        <v>1.5K Plus</v>
      </c>
      <c r="D145" s="49" t="str">
        <f>'G MTTS'!M144</f>
        <v>Side Event</v>
      </c>
      <c r="E145" s="50" t="str">
        <f>'G MTTS'!N144</f>
        <v>NLH</v>
      </c>
      <c r="F145" s="51" t="str">
        <f>'G MTTS'!O144</f>
        <v>OFF</v>
      </c>
      <c r="G145" s="52">
        <f>IF('G MTTS'!Q144=0," ",'G MTTS'!Q144*$A$3)</f>
        <v>1500</v>
      </c>
      <c r="H145" s="53">
        <f>IF('G MTTS'!V144=0," ",'G MTTS'!V144*$A$3)</f>
        <v>3</v>
      </c>
      <c r="I145" s="53">
        <f>IF('G MTTS'!W144=0," ",'G MTTS'!W144*$A$3)</f>
        <v>3</v>
      </c>
      <c r="J145" s="53">
        <f>IF('G MTTS'!Z144=0," ",'G MTTS'!Z144*$A$3)</f>
        <v>4</v>
      </c>
      <c r="K145" s="54">
        <f>'G MTTS'!AF144</f>
        <v>40000</v>
      </c>
      <c r="L145" s="54">
        <f>'G MTTS'!X144</f>
        <v>0</v>
      </c>
      <c r="M145" s="54">
        <f>'G MTTS'!AA144</f>
        <v>100000</v>
      </c>
      <c r="N145" s="55">
        <f>'G MTTS'!AG144</f>
        <v>7</v>
      </c>
      <c r="O145" s="55">
        <f>'G MTTS'!AH144</f>
        <v>6</v>
      </c>
      <c r="P145" s="55">
        <f>'G MTTS'!AI144</f>
        <v>6</v>
      </c>
      <c r="Q145" s="56">
        <f>'G MTTS'!AJ144</f>
        <v>15</v>
      </c>
      <c r="R145" s="46">
        <f t="shared" si="12"/>
        <v>0.576400462962963</v>
      </c>
      <c r="S145" s="47" t="str">
        <f t="shared" si="14"/>
        <v>MICRO</v>
      </c>
    </row>
    <row r="146" ht="29.25" customHeight="1" outlineLevel="1" spans="1:19">
      <c r="B146" s="36">
        <f>'G MTTS'!B145</f>
        <v>0.500011574074074</v>
      </c>
      <c r="C146" s="37" t="str">
        <f>'G MTTS'!J145</f>
        <v>#AS 8K Reentry</v>
      </c>
      <c r="D146" s="38" t="str">
        <f>'G MTTS'!M145</f>
        <v>Side Event</v>
      </c>
      <c r="E146" s="39" t="str">
        <f>'G MTTS'!N145</f>
        <v>NLH</v>
      </c>
      <c r="F146" s="40" t="str">
        <f>'G MTTS'!O145</f>
        <v>OFF</v>
      </c>
      <c r="G146" s="41">
        <f>IF('G MTTS'!Q145=0," ",'G MTTS'!Q145*$A$3)</f>
        <v>8000</v>
      </c>
      <c r="H146" s="42">
        <f>IF('G MTTS'!V145=0," ",'G MTTS'!V145*$A$3)</f>
        <v>75</v>
      </c>
      <c r="I146" s="42">
        <f>IF('G MTTS'!W145=0," ",'G MTTS'!W145*$A$3)</f>
        <v>75</v>
      </c>
      <c r="J146" s="42" t="str">
        <f>IF('G MTTS'!Z145=0," ",'G MTTS'!Z145*$A$3)</f>
        <v> </v>
      </c>
      <c r="K146" s="43">
        <f>'G MTTS'!AF145</f>
        <v>80000</v>
      </c>
      <c r="L146" s="43">
        <f>'G MTTS'!X145</f>
        <v>0</v>
      </c>
      <c r="M146" s="43" t="str">
        <f>'G MTTS'!AA145</f>
        <v>REENTRY</v>
      </c>
      <c r="N146" s="44">
        <f>'G MTTS'!AG145</f>
        <v>12</v>
      </c>
      <c r="O146" s="44">
        <f>'G MTTS'!AH145</f>
        <v>10</v>
      </c>
      <c r="P146" s="44">
        <f>'G MTTS'!AI145</f>
        <v>10</v>
      </c>
      <c r="Q146" s="45">
        <f>'G MTTS'!AJ145</f>
        <v>15</v>
      </c>
      <c r="R146" s="46">
        <f t="shared" si="12"/>
        <v>0.635428240740741</v>
      </c>
      <c r="S146" s="47" t="str">
        <f t="shared" si="14"/>
        <v>LOW</v>
      </c>
    </row>
    <row r="147" ht="29.25" customHeight="1" outlineLevel="1" spans="1:19">
      <c r="A147" s="132" t="s">
        <v>516</v>
      </c>
      <c r="B147" s="36">
        <f>'G MTTS'!B146</f>
        <v>0.520844907407407</v>
      </c>
      <c r="C147" s="48" t="str">
        <f>'G MTTS'!J146</f>
        <v>#AS 10K OmaX PKO</v>
      </c>
      <c r="D147" s="49" t="str">
        <f>'G MTTS'!M146</f>
        <v>Side Event</v>
      </c>
      <c r="E147" s="50" t="str">
        <f>'G MTTS'!N146</f>
        <v>PLO5</v>
      </c>
      <c r="F147" s="51" t="str">
        <f>'G MTTS'!O146</f>
        <v>Progressive KO 1/2</v>
      </c>
      <c r="G147" s="52">
        <f>IF('G MTTS'!Q146=0," ",'G MTTS'!Q146*$A$3)</f>
        <v>10000</v>
      </c>
      <c r="H147" s="53">
        <f>IF('G MTTS'!V146=0," ",'G MTTS'!V146*$A$3)</f>
        <v>60</v>
      </c>
      <c r="I147" s="53">
        <f>IF('G MTTS'!W146=0," ",'G MTTS'!W146*$A$3)</f>
        <v>60</v>
      </c>
      <c r="J147" s="53" t="str">
        <f>IF('G MTTS'!Z146=0," ",'G MTTS'!Z146*$A$3)</f>
        <v> </v>
      </c>
      <c r="K147" s="54">
        <f>'G MTTS'!AF146</f>
        <v>40000</v>
      </c>
      <c r="L147" s="54">
        <f>'G MTTS'!X146</f>
        <v>0</v>
      </c>
      <c r="M147" s="54" t="str">
        <f>'G MTTS'!AA146</f>
        <v>REENTRY</v>
      </c>
      <c r="N147" s="55">
        <f>'G MTTS'!AG146</f>
        <v>12</v>
      </c>
      <c r="O147" s="55">
        <f>'G MTTS'!AH146</f>
        <v>10</v>
      </c>
      <c r="P147" s="55">
        <f>'G MTTS'!AI146</f>
        <v>10</v>
      </c>
      <c r="Q147" s="56">
        <f>'G MTTS'!AJ146</f>
        <v>14</v>
      </c>
      <c r="R147" s="46">
        <f t="shared" si="12"/>
        <v>0.644456018518519</v>
      </c>
      <c r="S147" s="47" t="str">
        <f t="shared" si="14"/>
        <v>LOW</v>
      </c>
    </row>
    <row r="148" ht="29.25" customHeight="1" outlineLevel="1" spans="1:19">
      <c r="A148" s="22"/>
      <c r="B148" s="36">
        <f>'G MTTS'!B147</f>
        <v>0.541678240740741</v>
      </c>
      <c r="C148" s="37" t="str">
        <f>'G MTTS'!J147</f>
        <v>#AS 8K Battle</v>
      </c>
      <c r="D148" s="38" t="str">
        <f>'G MTTS'!M147</f>
        <v>Side Event</v>
      </c>
      <c r="E148" s="39" t="str">
        <f>'G MTTS'!N147</f>
        <v>NLH</v>
      </c>
      <c r="F148" s="40" t="str">
        <f>'G MTTS'!O147</f>
        <v>Regular KO 1/2</v>
      </c>
      <c r="G148" s="41">
        <f>IF('G MTTS'!Q147=0," ",'G MTTS'!Q147*$A$3)</f>
        <v>8000</v>
      </c>
      <c r="H148" s="42">
        <f>IF('G MTTS'!V147=0," ",'G MTTS'!V147*$A$3)</f>
        <v>25</v>
      </c>
      <c r="I148" s="42">
        <f>IF('G MTTS'!W147=0," ",'G MTTS'!W147*$A$3)</f>
        <v>25</v>
      </c>
      <c r="J148" s="42" t="str">
        <f>IF('G MTTS'!Z147=0," ",'G MTTS'!Z147*$A$3)</f>
        <v> </v>
      </c>
      <c r="K148" s="43">
        <f>'G MTTS'!AF147</f>
        <v>80000</v>
      </c>
      <c r="L148" s="43">
        <f>'G MTTS'!X147</f>
        <v>0</v>
      </c>
      <c r="M148" s="43" t="str">
        <f>'G MTTS'!AA147</f>
        <v>REENTRY</v>
      </c>
      <c r="N148" s="44">
        <f>'G MTTS'!AG147</f>
        <v>10</v>
      </c>
      <c r="O148" s="44">
        <f>'G MTTS'!AH147</f>
        <v>10</v>
      </c>
      <c r="P148" s="44">
        <f>'G MTTS'!AI147</f>
        <v>10</v>
      </c>
      <c r="Q148" s="45">
        <f>'G MTTS'!AJ147</f>
        <v>15</v>
      </c>
      <c r="R148" s="46">
        <f t="shared" si="12"/>
        <v>0.652789351851852</v>
      </c>
      <c r="S148" s="47" t="str">
        <f t="shared" si="14"/>
        <v>MICRO</v>
      </c>
    </row>
    <row r="149" ht="29.25" customHeight="1" outlineLevel="1" spans="1:19">
      <c r="A149" s="22"/>
      <c r="B149" s="36">
        <f>'G MTTS'!B148</f>
        <v>0.552094907407407</v>
      </c>
      <c r="C149" s="48" t="str">
        <f>'G MTTS'!J148</f>
        <v>#AS 3.5K Freeze</v>
      </c>
      <c r="D149" s="49" t="str">
        <f>'G MTTS'!M148</f>
        <v>Side Event</v>
      </c>
      <c r="E149" s="50" t="str">
        <f>'G MTTS'!N148</f>
        <v>NLH</v>
      </c>
      <c r="F149" s="51" t="str">
        <f>'G MTTS'!O148</f>
        <v>OFF</v>
      </c>
      <c r="G149" s="52">
        <f>IF('G MTTS'!Q148=0," ",'G MTTS'!Q148*$A$3)</f>
        <v>3500</v>
      </c>
      <c r="H149" s="53">
        <f>IF('G MTTS'!V148=0," ",'G MTTS'!V148*$A$3)</f>
        <v>35</v>
      </c>
      <c r="I149" s="53" t="str">
        <f>IF('G MTTS'!W148=0," ",'G MTTS'!W148*$A$3)</f>
        <v> </v>
      </c>
      <c r="J149" s="53" t="str">
        <f>IF('G MTTS'!Z148=0," ",'G MTTS'!Z148*$A$3)</f>
        <v> </v>
      </c>
      <c r="K149" s="54">
        <f>'G MTTS'!AF148</f>
        <v>40000</v>
      </c>
      <c r="L149" s="54">
        <f>'G MTTS'!X148</f>
        <v>0</v>
      </c>
      <c r="M149" s="54" t="str">
        <f>'G MTTS'!AA148</f>
        <v>FREEZE</v>
      </c>
      <c r="N149" s="55">
        <f>'G MTTS'!AG148</f>
        <v>10</v>
      </c>
      <c r="O149" s="55">
        <f>'G MTTS'!AH148</f>
        <v>10</v>
      </c>
      <c r="P149" s="55">
        <f>'G MTTS'!AI148</f>
        <v>10</v>
      </c>
      <c r="Q149" s="56">
        <f>'G MTTS'!AJ148</f>
        <v>14</v>
      </c>
      <c r="R149" s="46">
        <f t="shared" si="12"/>
        <v>0.656261574074074</v>
      </c>
      <c r="S149" s="47" t="str">
        <f t="shared" si="14"/>
        <v>LOW</v>
      </c>
    </row>
    <row r="150" ht="29.25" customHeight="1" outlineLevel="1" spans="1:19">
      <c r="A150" s="60"/>
      <c r="B150" s="36">
        <f>'G MTTS'!B149</f>
        <v>0.562511574074074</v>
      </c>
      <c r="C150" s="37" t="str">
        <f>'G MTTS'!J149</f>
        <v>#AS 4K Plus</v>
      </c>
      <c r="D150" s="38" t="str">
        <f>'G MTTS'!M149</f>
        <v>Side Event</v>
      </c>
      <c r="E150" s="39" t="str">
        <f>'G MTTS'!N149</f>
        <v>NLH</v>
      </c>
      <c r="F150" s="40" t="str">
        <f>'G MTTS'!O149</f>
        <v>OFF</v>
      </c>
      <c r="G150" s="41">
        <f>IF('G MTTS'!Q149=0," ",'G MTTS'!Q149*$A$3)</f>
        <v>4000</v>
      </c>
      <c r="H150" s="42">
        <f>IF('G MTTS'!V149=0," ",'G MTTS'!V149*$A$3)</f>
        <v>10</v>
      </c>
      <c r="I150" s="42">
        <f>IF('G MTTS'!W149=0," ",'G MTTS'!W149*$A$3)</f>
        <v>10</v>
      </c>
      <c r="J150" s="42">
        <f>IF('G MTTS'!Z149=0," ",'G MTTS'!Z149*$A$3)</f>
        <v>15</v>
      </c>
      <c r="K150" s="43">
        <f>'G MTTS'!AF149</f>
        <v>40000</v>
      </c>
      <c r="L150" s="43">
        <f>'G MTTS'!X149</f>
        <v>0</v>
      </c>
      <c r="M150" s="43">
        <f>'G MTTS'!AA149</f>
        <v>120000</v>
      </c>
      <c r="N150" s="44">
        <f>'G MTTS'!AG149</f>
        <v>8</v>
      </c>
      <c r="O150" s="44">
        <f>'G MTTS'!AH149</f>
        <v>8</v>
      </c>
      <c r="P150" s="44">
        <f>'G MTTS'!AI149</f>
        <v>8</v>
      </c>
      <c r="Q150" s="45">
        <f>'G MTTS'!AJ149</f>
        <v>15</v>
      </c>
      <c r="R150" s="46">
        <f t="shared" si="12"/>
        <v>0.652789351851852</v>
      </c>
      <c r="S150" s="47" t="str">
        <f t="shared" si="14"/>
        <v>MICRO</v>
      </c>
    </row>
    <row r="151" ht="29.25" customHeight="1" outlineLevel="1" spans="1:19">
      <c r="B151" s="36">
        <f>'G MTTS'!B150</f>
        <v>0.583344907407407</v>
      </c>
      <c r="C151" s="48" t="str">
        <f>'G MTTS'!J150</f>
        <v>Sit&amp;go 200p max.</v>
      </c>
      <c r="D151" s="49" t="str">
        <f>'G MTTS'!M150</f>
        <v>Side Event</v>
      </c>
      <c r="E151" s="50" t="str">
        <f>'G MTTS'!N150</f>
        <v>NLH</v>
      </c>
      <c r="F151" s="51" t="str">
        <f>'G MTTS'!O150</f>
        <v>OFF</v>
      </c>
      <c r="G151" s="52">
        <f>IF('G MTTS'!Q150=0," ",'G MTTS'!Q150*$A$3)</f>
        <v>200</v>
      </c>
      <c r="H151" s="53">
        <f>IF('G MTTS'!V150=0," ",'G MTTS'!V150*$A$3)</f>
        <v>3</v>
      </c>
      <c r="I151" s="53">
        <f>IF('G MTTS'!W150=0," ",'G MTTS'!W150*$A$3)</f>
        <v>3</v>
      </c>
      <c r="J151" s="53">
        <f>IF('G MTTS'!Z150=0," ",'G MTTS'!Z150*$A$3)</f>
        <v>3</v>
      </c>
      <c r="K151" s="54">
        <f>'G MTTS'!AF150</f>
        <v>20000</v>
      </c>
      <c r="L151" s="54">
        <f>'G MTTS'!X150</f>
        <v>0</v>
      </c>
      <c r="M151" s="54">
        <f>'G MTTS'!AA150</f>
        <v>30000</v>
      </c>
      <c r="N151" s="55">
        <f>'G MTTS'!AG150</f>
        <v>5</v>
      </c>
      <c r="O151" s="55">
        <f>'G MTTS'!AH150</f>
        <v>5</v>
      </c>
      <c r="P151" s="55">
        <f>'G MTTS'!AI150</f>
        <v>5</v>
      </c>
      <c r="Q151" s="56">
        <f>'G MTTS'!AJ150</f>
        <v>15</v>
      </c>
      <c r="R151" s="46">
        <f t="shared" si="12"/>
        <v>0.638900462962963</v>
      </c>
      <c r="S151" s="47" t="str">
        <f t="shared" si="14"/>
        <v>MICRO</v>
      </c>
    </row>
    <row r="152" ht="29.25" customHeight="1" outlineLevel="1" spans="1:19">
      <c r="A152" s="60" t="s">
        <v>516</v>
      </c>
      <c r="B152" s="36">
        <f>'G MTTS'!B151</f>
        <v>0.583344907407407</v>
      </c>
      <c r="C152" s="37" t="str">
        <f>'G MTTS'!J151</f>
        <v>1K Omax</v>
      </c>
      <c r="D152" s="38" t="str">
        <f>'G MTTS'!M151</f>
        <v>Side Event</v>
      </c>
      <c r="E152" s="39" t="str">
        <f>'G MTTS'!N151</f>
        <v>PLO6</v>
      </c>
      <c r="F152" s="40" t="str">
        <f>'G MTTS'!O151</f>
        <v>OFF</v>
      </c>
      <c r="G152" s="41">
        <f>IF('G MTTS'!Q151=0," ",'G MTTS'!Q151*$A$3)</f>
        <v>1000</v>
      </c>
      <c r="H152" s="42">
        <f>IF('G MTTS'!V151=0," ",'G MTTS'!V151*$A$3)</f>
        <v>10</v>
      </c>
      <c r="I152" s="42">
        <f>IF('G MTTS'!W151=0," ",'G MTTS'!W151*$A$3)</f>
        <v>10</v>
      </c>
      <c r="J152" s="42">
        <f>IF('G MTTS'!Z151=0," ",'G MTTS'!Z151*$A$3)</f>
        <v>10</v>
      </c>
      <c r="K152" s="43">
        <f>'G MTTS'!AF151</f>
        <v>30000</v>
      </c>
      <c r="L152" s="43">
        <f>'G MTTS'!X151</f>
        <v>0</v>
      </c>
      <c r="M152" s="43">
        <f>'G MTTS'!AA151</f>
        <v>90000</v>
      </c>
      <c r="N152" s="44">
        <f>'G MTTS'!AG151</f>
        <v>8</v>
      </c>
      <c r="O152" s="44">
        <f>'G MTTS'!AH151</f>
        <v>8</v>
      </c>
      <c r="P152" s="44">
        <f>'G MTTS'!AI151</f>
        <v>8</v>
      </c>
      <c r="Q152" s="45">
        <f>'G MTTS'!AJ151</f>
        <v>11</v>
      </c>
      <c r="R152" s="46">
        <f t="shared" si="12"/>
        <v>0.647928240740741</v>
      </c>
      <c r="S152" s="47" t="str">
        <f t="shared" si="14"/>
        <v>MICRO</v>
      </c>
    </row>
    <row r="153" ht="29.25" customHeight="1" outlineLevel="1" spans="1:19">
      <c r="B153" s="36">
        <f>'G MTTS'!B152</f>
        <v>0.583344907407407</v>
      </c>
      <c r="C153" s="48" t="str">
        <f>'G MTTS'!J152</f>
        <v>#AS 7.5K Mini Plus</v>
      </c>
      <c r="D153" s="49" t="str">
        <f>'G MTTS'!M152</f>
        <v>Side Event</v>
      </c>
      <c r="E153" s="50" t="str">
        <f>'G MTTS'!N152</f>
        <v>NLH</v>
      </c>
      <c r="F153" s="51" t="str">
        <f>'G MTTS'!O152</f>
        <v>OFF</v>
      </c>
      <c r="G153" s="52">
        <f>IF('G MTTS'!Q152=0," ",'G MTTS'!Q152*$A$3)</f>
        <v>7500</v>
      </c>
      <c r="H153" s="53">
        <f>IF('G MTTS'!V152=0," ",'G MTTS'!V152*$A$3)</f>
        <v>5</v>
      </c>
      <c r="I153" s="53">
        <f>IF('G MTTS'!W152=0," ",'G MTTS'!W152*$A$3)</f>
        <v>5</v>
      </c>
      <c r="J153" s="53">
        <f>IF('G MTTS'!Z152=0," ",'G MTTS'!Z152*$A$3)</f>
        <v>5</v>
      </c>
      <c r="K153" s="54">
        <f>'G MTTS'!AF152</f>
        <v>40000</v>
      </c>
      <c r="L153" s="54">
        <f>'G MTTS'!X152</f>
        <v>0</v>
      </c>
      <c r="M153" s="54">
        <f>'G MTTS'!AA152</f>
        <v>160000</v>
      </c>
      <c r="N153" s="55">
        <f>'G MTTS'!AG152</f>
        <v>8</v>
      </c>
      <c r="O153" s="55">
        <f>'G MTTS'!AH152</f>
        <v>7</v>
      </c>
      <c r="P153" s="55">
        <f>'G MTTS'!AI152</f>
        <v>7</v>
      </c>
      <c r="Q153" s="56">
        <f>'G MTTS'!AJ152</f>
        <v>15</v>
      </c>
      <c r="R153" s="46">
        <f t="shared" si="12"/>
        <v>0.673622685185185</v>
      </c>
      <c r="S153" s="47" t="str">
        <f t="shared" si="14"/>
        <v>MICRO</v>
      </c>
    </row>
    <row r="154" ht="29.25" customHeight="1" outlineLevel="1" spans="1:19">
      <c r="B154" s="36">
        <f>'G MTTS'!B153</f>
        <v>0.583344907407407</v>
      </c>
      <c r="C154" s="37" t="str">
        <f>'G MTTS'!J153</f>
        <v>400 Omax PKO</v>
      </c>
      <c r="D154" s="38" t="str">
        <f>'G MTTS'!M153</f>
        <v>Side Event</v>
      </c>
      <c r="E154" s="39" t="str">
        <f>'G MTTS'!N153</f>
        <v>PLO4</v>
      </c>
      <c r="F154" s="40" t="str">
        <f>'G MTTS'!O153</f>
        <v>Progressive KO 1/2</v>
      </c>
      <c r="G154" s="41">
        <f>IF('G MTTS'!Q153=0," ",'G MTTS'!Q153*$A$3)</f>
        <v>400</v>
      </c>
      <c r="H154" s="42">
        <f>IF('G MTTS'!V153=0," ",'G MTTS'!V153*$A$3)</f>
        <v>3</v>
      </c>
      <c r="I154" s="42">
        <f>IF('G MTTS'!W153=0," ",'G MTTS'!W153*$A$3)</f>
        <v>3</v>
      </c>
      <c r="J154" s="42" t="str">
        <f>IF('G MTTS'!Z153=0," ",'G MTTS'!Z153*$A$3)</f>
        <v> </v>
      </c>
      <c r="K154" s="43">
        <f>'G MTTS'!AF153</f>
        <v>50000</v>
      </c>
      <c r="L154" s="43">
        <f>'G MTTS'!X153</f>
        <v>0</v>
      </c>
      <c r="M154" s="43" t="str">
        <f>'G MTTS'!AA153</f>
        <v>REENTRY</v>
      </c>
      <c r="N154" s="44">
        <f>'G MTTS'!AG153</f>
        <v>8</v>
      </c>
      <c r="O154" s="44">
        <f>'G MTTS'!AH153</f>
        <v>7</v>
      </c>
      <c r="P154" s="44">
        <f>'G MTTS'!AI153</f>
        <v>7</v>
      </c>
      <c r="Q154" s="45">
        <f>'G MTTS'!AJ153</f>
        <v>15</v>
      </c>
      <c r="R154" s="46">
        <f t="shared" si="12"/>
        <v>0.673622685185185</v>
      </c>
      <c r="S154" s="47" t="str">
        <f t="shared" si="14"/>
        <v>MICRO</v>
      </c>
    </row>
    <row r="155" ht="29.25" customHeight="1" outlineLevel="1" spans="1:19">
      <c r="A155" s="132" t="s">
        <v>516</v>
      </c>
      <c r="B155" s="36">
        <f>'G MTTS'!B154</f>
        <v>0.625011574074074</v>
      </c>
      <c r="C155" s="48" t="str">
        <f>'G MTTS'!J154</f>
        <v>#AS 20K Plus+SPS</v>
      </c>
      <c r="D155" s="49" t="str">
        <f>'G MTTS'!M154</f>
        <v>Side Event</v>
      </c>
      <c r="E155" s="50" t="str">
        <f>'G MTTS'!N154</f>
        <v>NLH</v>
      </c>
      <c r="F155" s="51" t="str">
        <f>'G MTTS'!O154</f>
        <v>OFF</v>
      </c>
      <c r="G155" s="52">
        <f>IF('G MTTS'!Q154=0," ",'G MTTS'!Q154*$A$3)</f>
        <v>21000</v>
      </c>
      <c r="H155" s="53">
        <f>IF('G MTTS'!V154=0," ",'G MTTS'!V154*$A$3)</f>
        <v>15</v>
      </c>
      <c r="I155" s="53">
        <f>IF('G MTTS'!W154=0," ",'G MTTS'!W154*$A$3)</f>
        <v>15</v>
      </c>
      <c r="J155" s="53">
        <f>IF('G MTTS'!Z154=0," ",'G MTTS'!Z154*$A$3)</f>
        <v>15</v>
      </c>
      <c r="K155" s="54">
        <f>'G MTTS'!AF154</f>
        <v>40000</v>
      </c>
      <c r="L155" s="54">
        <f>'G MTTS'!X154</f>
        <v>0</v>
      </c>
      <c r="M155" s="54">
        <f>'G MTTS'!AA154</f>
        <v>160000</v>
      </c>
      <c r="N155" s="55">
        <f>'G MTTS'!AG154</f>
        <v>10</v>
      </c>
      <c r="O155" s="55">
        <f>'G MTTS'!AH154</f>
        <v>8</v>
      </c>
      <c r="P155" s="55">
        <f>'G MTTS'!AI154</f>
        <v>8</v>
      </c>
      <c r="Q155" s="56">
        <f>'G MTTS'!AJ154</f>
        <v>14</v>
      </c>
      <c r="R155" s="46">
        <f t="shared" si="12"/>
        <v>0.729178240740741</v>
      </c>
      <c r="S155" s="47" t="str">
        <f t="shared" si="14"/>
        <v>MICRO</v>
      </c>
    </row>
    <row r="156" ht="29.25" customHeight="1" outlineLevel="1" spans="1:19">
      <c r="A156" s="22"/>
      <c r="B156" s="36">
        <f>'G MTTS'!B155</f>
        <v>0.625011574074074</v>
      </c>
      <c r="C156" s="37" t="str">
        <f>'G MTTS'!J155</f>
        <v>#AS 1.5K Omax PKO</v>
      </c>
      <c r="D156" s="38" t="str">
        <f>'G MTTS'!M155</f>
        <v>Side Event</v>
      </c>
      <c r="E156" s="39" t="str">
        <f>'G MTTS'!N155</f>
        <v>PLO5</v>
      </c>
      <c r="F156" s="40" t="str">
        <f>'G MTTS'!O155</f>
        <v>Progressive KO 1/2</v>
      </c>
      <c r="G156" s="41">
        <f>IF('G MTTS'!Q155=0," ",'G MTTS'!Q155*$A$3)</f>
        <v>1500</v>
      </c>
      <c r="H156" s="42">
        <f>IF('G MTTS'!V155=0," ",'G MTTS'!V155*$A$3)</f>
        <v>10</v>
      </c>
      <c r="I156" s="42">
        <f>IF('G MTTS'!W155=0," ",'G MTTS'!W155*$A$3)</f>
        <v>10</v>
      </c>
      <c r="J156" s="42" t="str">
        <f>IF('G MTTS'!Z155=0," ",'G MTTS'!Z155*$A$3)</f>
        <v> </v>
      </c>
      <c r="K156" s="43">
        <f>'G MTTS'!AF155</f>
        <v>50000</v>
      </c>
      <c r="L156" s="43">
        <f>'G MTTS'!X155</f>
        <v>0</v>
      </c>
      <c r="M156" s="43" t="str">
        <f>'G MTTS'!AA155</f>
        <v>REENTRY</v>
      </c>
      <c r="N156" s="44">
        <f>'G MTTS'!AG155</f>
        <v>8</v>
      </c>
      <c r="O156" s="44">
        <f>'G MTTS'!AH155</f>
        <v>8</v>
      </c>
      <c r="P156" s="44">
        <f>'G MTTS'!AI155</f>
        <v>8</v>
      </c>
      <c r="Q156" s="45">
        <f>'G MTTS'!AJ155</f>
        <v>15</v>
      </c>
      <c r="R156" s="46">
        <f t="shared" si="12"/>
        <v>0.715289351851852</v>
      </c>
      <c r="S156" s="47" t="str">
        <f t="shared" si="14"/>
        <v>MICRO</v>
      </c>
    </row>
    <row r="157" ht="29.25" customHeight="1" outlineLevel="1" spans="1:19">
      <c r="A157" s="22"/>
      <c r="B157" s="36">
        <f>'G MTTS'!B156</f>
        <v>0.645844907407407</v>
      </c>
      <c r="C157" s="48" t="str">
        <f>'G MTTS'!J156</f>
        <v>#AS 12K OmaX PKO</v>
      </c>
      <c r="D157" s="49" t="str">
        <f>'G MTTS'!M156</f>
        <v>Side Event</v>
      </c>
      <c r="E157" s="50" t="str">
        <f>'G MTTS'!N156</f>
        <v>PLO5</v>
      </c>
      <c r="F157" s="51" t="str">
        <f>'G MTTS'!O156</f>
        <v>Progressive KO 1/2</v>
      </c>
      <c r="G157" s="52">
        <f>IF('G MTTS'!Q156=0," ",'G MTTS'!Q156*$A$3)</f>
        <v>12000</v>
      </c>
      <c r="H157" s="53">
        <f>IF('G MTTS'!V156=0," ",'G MTTS'!V156*$A$3)</f>
        <v>150</v>
      </c>
      <c r="I157" s="53">
        <f>IF('G MTTS'!W156=0," ",'G MTTS'!W156*$A$3)</f>
        <v>150</v>
      </c>
      <c r="J157" s="53" t="str">
        <f>IF('G MTTS'!Z156=0," ",'G MTTS'!Z156*$A$3)</f>
        <v> </v>
      </c>
      <c r="K157" s="54">
        <f>'G MTTS'!AF156</f>
        <v>40000</v>
      </c>
      <c r="L157" s="54">
        <f>'G MTTS'!X156</f>
        <v>0</v>
      </c>
      <c r="M157" s="54" t="str">
        <f>'G MTTS'!AA156</f>
        <v>REENTRY</v>
      </c>
      <c r="N157" s="55">
        <f>'G MTTS'!AG156</f>
        <v>10</v>
      </c>
      <c r="O157" s="55">
        <f>'G MTTS'!AH156</f>
        <v>10</v>
      </c>
      <c r="P157" s="55">
        <f>'G MTTS'!AI156</f>
        <v>10</v>
      </c>
      <c r="Q157" s="56">
        <f>'G MTTS'!AJ156</f>
        <v>14</v>
      </c>
      <c r="R157" s="46">
        <f t="shared" si="12"/>
        <v>0.750011574074074</v>
      </c>
      <c r="S157" s="47" t="str">
        <f t="shared" si="14"/>
        <v>MEDIUM</v>
      </c>
    </row>
    <row r="158" ht="29.25" customHeight="1" outlineLevel="1" spans="1:19">
      <c r="A158" s="132"/>
      <c r="B158" s="36">
        <f>'G MTTS'!B157</f>
        <v>0.666678240740741</v>
      </c>
      <c r="C158" s="37" t="str">
        <f>'G MTTS'!J157</f>
        <v>#AS 5K Mystery</v>
      </c>
      <c r="D158" s="38" t="str">
        <f>'G MTTS'!M157</f>
        <v>Side Event</v>
      </c>
      <c r="E158" s="39" t="str">
        <f>'G MTTS'!N157</f>
        <v>NLH</v>
      </c>
      <c r="F158" s="40" t="str">
        <f>'G MTTS'!O157</f>
        <v>Mystery Bounty 1/3</v>
      </c>
      <c r="G158" s="41">
        <f>IF('G MTTS'!Q157=0," ",'G MTTS'!Q157*$A$3)</f>
        <v>5000</v>
      </c>
      <c r="H158" s="42">
        <f>IF('G MTTS'!V157=0," ",'G MTTS'!V157*$A$3)</f>
        <v>10</v>
      </c>
      <c r="I158" s="42">
        <f>IF('G MTTS'!W157=0," ",'G MTTS'!W157*$A$3)</f>
        <v>10</v>
      </c>
      <c r="J158" s="42" t="str">
        <f>IF('G MTTS'!Z157=0," ",'G MTTS'!Z157*$A$3)</f>
        <v> </v>
      </c>
      <c r="K158" s="43">
        <f>'G MTTS'!AF157</f>
        <v>60000</v>
      </c>
      <c r="L158" s="43">
        <f>'G MTTS'!X157</f>
        <v>0</v>
      </c>
      <c r="M158" s="43" t="str">
        <f>'G MTTS'!AA157</f>
        <v>REENTRY</v>
      </c>
      <c r="N158" s="44">
        <f>'G MTTS'!AG157</f>
        <v>10</v>
      </c>
      <c r="O158" s="44">
        <f>'G MTTS'!AH157</f>
        <v>8</v>
      </c>
      <c r="P158" s="44">
        <f>'G MTTS'!AI157</f>
        <v>8</v>
      </c>
      <c r="Q158" s="45">
        <f>'G MTTS'!AJ157</f>
        <v>14</v>
      </c>
      <c r="R158" s="46">
        <f t="shared" si="12"/>
        <v>0.770844907407407</v>
      </c>
      <c r="S158" s="47" t="str">
        <f t="shared" si="14"/>
        <v>MICRO</v>
      </c>
    </row>
    <row r="159" ht="29.25" customHeight="1" outlineLevel="1" spans="1:19">
      <c r="A159" s="22"/>
      <c r="B159" s="36">
        <f>'G MTTS'!B158</f>
        <v>0.687511574074074</v>
      </c>
      <c r="C159" s="48" t="str">
        <f>'G MTTS'!J158</f>
        <v>#AS 5K OmaX PKO</v>
      </c>
      <c r="D159" s="49" t="str">
        <f>'G MTTS'!M158</f>
        <v>Side Event</v>
      </c>
      <c r="E159" s="50" t="str">
        <f>'G MTTS'!N158</f>
        <v>PLO5</v>
      </c>
      <c r="F159" s="51" t="str">
        <f>'G MTTS'!O158</f>
        <v>Progressive KO 1/2</v>
      </c>
      <c r="G159" s="52">
        <f>IF('G MTTS'!Q158=0," ",'G MTTS'!Q158*$A$3)</f>
        <v>5000</v>
      </c>
      <c r="H159" s="53">
        <f>IF('G MTTS'!V158=0," ",'G MTTS'!V158*$A$3)</f>
        <v>50</v>
      </c>
      <c r="I159" s="53">
        <f>IF('G MTTS'!W158=0," ",'G MTTS'!W158*$A$3)</f>
        <v>50</v>
      </c>
      <c r="J159" s="53" t="str">
        <f>IF('G MTTS'!Z158=0," ",'G MTTS'!Z158*$A$3)</f>
        <v> </v>
      </c>
      <c r="K159" s="54">
        <f>'G MTTS'!AF158</f>
        <v>50000</v>
      </c>
      <c r="L159" s="54">
        <f>'G MTTS'!X158</f>
        <v>0</v>
      </c>
      <c r="M159" s="54" t="str">
        <f>'G MTTS'!AA158</f>
        <v>REENTRY</v>
      </c>
      <c r="N159" s="55">
        <f>'G MTTS'!AG158</f>
        <v>10</v>
      </c>
      <c r="O159" s="55">
        <f>'G MTTS'!AH158</f>
        <v>8</v>
      </c>
      <c r="P159" s="55">
        <f>'G MTTS'!AI158</f>
        <v>8</v>
      </c>
      <c r="Q159" s="56">
        <f>'G MTTS'!AJ158</f>
        <v>15</v>
      </c>
      <c r="R159" s="46">
        <f t="shared" si="12"/>
        <v>0.798622685185185</v>
      </c>
      <c r="S159" s="47" t="str">
        <f t="shared" si="14"/>
        <v>LOW</v>
      </c>
    </row>
    <row r="160" ht="29.25" customHeight="1" outlineLevel="1" spans="1:19">
      <c r="A160" s="132" t="s">
        <v>516</v>
      </c>
      <c r="B160" s="36">
        <f>'G MTTS'!B159</f>
        <v>0.708344907407407</v>
      </c>
      <c r="C160" s="37" t="str">
        <f>'G MTTS'!J159</f>
        <v>#AS 15K Battle PKO</v>
      </c>
      <c r="D160" s="38" t="str">
        <f>'G MTTS'!M159</f>
        <v>Side Event</v>
      </c>
      <c r="E160" s="39" t="str">
        <f>'G MTTS'!N159</f>
        <v>NLH</v>
      </c>
      <c r="F160" s="40" t="str">
        <f>'G MTTS'!O159</f>
        <v>Progressive KO 1/2</v>
      </c>
      <c r="G160" s="41">
        <f>IF('G MTTS'!Q159=0," ",'G MTTS'!Q159*$A$3)</f>
        <v>15000</v>
      </c>
      <c r="H160" s="42">
        <f>IF('G MTTS'!V159=0," ",'G MTTS'!V159*$A$3)</f>
        <v>25</v>
      </c>
      <c r="I160" s="42">
        <f>IF('G MTTS'!W159=0," ",'G MTTS'!W159*$A$3)</f>
        <v>25</v>
      </c>
      <c r="J160" s="42" t="str">
        <f>IF('G MTTS'!Z159=0," ",'G MTTS'!Z159*$A$3)</f>
        <v> </v>
      </c>
      <c r="K160" s="43">
        <f>'G MTTS'!AF159</f>
        <v>80000</v>
      </c>
      <c r="L160" s="43">
        <f>'G MTTS'!X159</f>
        <v>0</v>
      </c>
      <c r="M160" s="43" t="str">
        <f>'G MTTS'!AA159</f>
        <v>REENTRY</v>
      </c>
      <c r="N160" s="44">
        <f>'G MTTS'!AG159</f>
        <v>12</v>
      </c>
      <c r="O160" s="44">
        <f>'G MTTS'!AH159</f>
        <v>10</v>
      </c>
      <c r="P160" s="44">
        <f>'G MTTS'!AI159</f>
        <v>10</v>
      </c>
      <c r="Q160" s="45">
        <f>'G MTTS'!AJ159</f>
        <v>15</v>
      </c>
      <c r="R160" s="46">
        <f t="shared" si="12"/>
        <v>0.843761574074074</v>
      </c>
      <c r="S160" s="47" t="str">
        <f t="shared" si="14"/>
        <v>MICRO</v>
      </c>
    </row>
    <row r="161" ht="29.25" customHeight="1" outlineLevel="1" spans="1:19">
      <c r="A161" s="22"/>
      <c r="B161" s="36">
        <f>'G MTTS'!B160</f>
        <v>0.708344907407407</v>
      </c>
      <c r="C161" s="48" t="str">
        <f>'G MTTS'!J160</f>
        <v>Sit&amp;go 200p max.</v>
      </c>
      <c r="D161" s="49" t="str">
        <f>'G MTTS'!M160</f>
        <v>Side Event</v>
      </c>
      <c r="E161" s="50" t="str">
        <f>'G MTTS'!N160</f>
        <v>NLH</v>
      </c>
      <c r="F161" s="51" t="str">
        <f>'G MTTS'!O160</f>
        <v>OFF</v>
      </c>
      <c r="G161" s="52">
        <f>IF('G MTTS'!Q160=0," ",'G MTTS'!Q160*$A$3)</f>
        <v>200</v>
      </c>
      <c r="H161" s="53">
        <f>IF('G MTTS'!V160=0," ",'G MTTS'!V160*$A$3)</f>
        <v>3</v>
      </c>
      <c r="I161" s="53">
        <f>IF('G MTTS'!W160=0," ",'G MTTS'!W160*$A$3)</f>
        <v>3</v>
      </c>
      <c r="J161" s="53">
        <f>IF('G MTTS'!Z160=0," ",'G MTTS'!Z160*$A$3)</f>
        <v>3</v>
      </c>
      <c r="K161" s="54">
        <f>'G MTTS'!AF160</f>
        <v>20000</v>
      </c>
      <c r="L161" s="54">
        <f>'G MTTS'!X160</f>
        <v>0</v>
      </c>
      <c r="M161" s="54">
        <f>'G MTTS'!AA160</f>
        <v>30000</v>
      </c>
      <c r="N161" s="55">
        <f>'G MTTS'!AG160</f>
        <v>5</v>
      </c>
      <c r="O161" s="55">
        <f>'G MTTS'!AH160</f>
        <v>5</v>
      </c>
      <c r="P161" s="55">
        <f>'G MTTS'!AI160</f>
        <v>5</v>
      </c>
      <c r="Q161" s="56">
        <f>'G MTTS'!AJ160</f>
        <v>15</v>
      </c>
      <c r="R161" s="46">
        <f t="shared" si="12"/>
        <v>0.763900462962963</v>
      </c>
      <c r="S161" s="47" t="str">
        <f t="shared" si="14"/>
        <v>MICRO</v>
      </c>
    </row>
    <row r="162" ht="29.25" customHeight="1" outlineLevel="1" spans="1:19">
      <c r="A162" s="22"/>
      <c r="B162" s="36">
        <f>'G MTTS'!B161</f>
        <v>0.729178240740741</v>
      </c>
      <c r="C162" s="37" t="str">
        <f>'G MTTS'!J161</f>
        <v>750 Omax PKO</v>
      </c>
      <c r="D162" s="38" t="str">
        <f>'G MTTS'!M161</f>
        <v>Side Event</v>
      </c>
      <c r="E162" s="39" t="str">
        <f>'G MTTS'!N161</f>
        <v>PLO6</v>
      </c>
      <c r="F162" s="40" t="str">
        <f>'G MTTS'!O161</f>
        <v>Progressive KO 1/2</v>
      </c>
      <c r="G162" s="41">
        <f>IF('G MTTS'!Q161=0," ",'G MTTS'!Q161*$A$3)</f>
        <v>750</v>
      </c>
      <c r="H162" s="42">
        <f>IF('G MTTS'!V161=0," ",'G MTTS'!V161*$A$3)</f>
        <v>5</v>
      </c>
      <c r="I162" s="42">
        <f>IF('G MTTS'!W161=0," ",'G MTTS'!W161*$A$3)</f>
        <v>5</v>
      </c>
      <c r="J162" s="42" t="str">
        <f>IF('G MTTS'!Z161=0," ",'G MTTS'!Z161*$A$3)</f>
        <v> </v>
      </c>
      <c r="K162" s="43">
        <f>'G MTTS'!AF161</f>
        <v>30000</v>
      </c>
      <c r="L162" s="43">
        <f>'G MTTS'!X161</f>
        <v>0</v>
      </c>
      <c r="M162" s="43" t="str">
        <f>'G MTTS'!AA161</f>
        <v>REENTRY</v>
      </c>
      <c r="N162" s="44">
        <f>'G MTTS'!AG161</f>
        <v>8</v>
      </c>
      <c r="O162" s="44">
        <f>'G MTTS'!AH161</f>
        <v>7</v>
      </c>
      <c r="P162" s="44">
        <f>'G MTTS'!AI161</f>
        <v>7</v>
      </c>
      <c r="Q162" s="45">
        <f>'G MTTS'!AJ161</f>
        <v>13</v>
      </c>
      <c r="R162" s="46">
        <f t="shared" si="12"/>
        <v>0.804872685185185</v>
      </c>
      <c r="S162" s="47" t="str">
        <f t="shared" si="14"/>
        <v>MICRO</v>
      </c>
    </row>
    <row r="163" ht="29.25" customHeight="1" outlineLevel="1" spans="1:19">
      <c r="A163" s="60" t="s">
        <v>516</v>
      </c>
      <c r="B163" s="36">
        <f>'G MTTS'!B162</f>
        <v>0.729178240740741</v>
      </c>
      <c r="C163" s="48" t="str">
        <f>'G MTTS'!J162</f>
        <v>#AS 15K Bounty</v>
      </c>
      <c r="D163" s="49" t="str">
        <f>'G MTTS'!M162</f>
        <v>Side Event</v>
      </c>
      <c r="E163" s="50" t="str">
        <f>'G MTTS'!N162</f>
        <v>NLH</v>
      </c>
      <c r="F163" s="51" t="str">
        <f>'G MTTS'!O162</f>
        <v>Progressive KO 1/2</v>
      </c>
      <c r="G163" s="52">
        <f>IF('G MTTS'!Q162=0," ",'G MTTS'!Q162*$A$3)</f>
        <v>15000</v>
      </c>
      <c r="H163" s="53">
        <f>IF('G MTTS'!V162=0," ",'G MTTS'!V162*$A$3)</f>
        <v>100</v>
      </c>
      <c r="I163" s="53">
        <f>IF('G MTTS'!W162=0," ",'G MTTS'!W162*$A$3)</f>
        <v>100</v>
      </c>
      <c r="J163" s="53" t="str">
        <f>IF('G MTTS'!Z162=0," ",'G MTTS'!Z162*$A$3)</f>
        <v> </v>
      </c>
      <c r="K163" s="54">
        <f>'G MTTS'!AF162</f>
        <v>80000</v>
      </c>
      <c r="L163" s="54">
        <f>'G MTTS'!X162</f>
        <v>0</v>
      </c>
      <c r="M163" s="54" t="str">
        <f>'G MTTS'!AA162</f>
        <v>REENTRY</v>
      </c>
      <c r="N163" s="55">
        <f>'G MTTS'!AG162</f>
        <v>12</v>
      </c>
      <c r="O163" s="55">
        <f>'G MTTS'!AH162</f>
        <v>10</v>
      </c>
      <c r="P163" s="55">
        <f>'G MTTS'!AI162</f>
        <v>10</v>
      </c>
      <c r="Q163" s="56">
        <f>'G MTTS'!AJ162</f>
        <v>15</v>
      </c>
      <c r="R163" s="46">
        <f t="shared" si="12"/>
        <v>0.864594907407407</v>
      </c>
      <c r="S163" s="47" t="str">
        <f t="shared" si="14"/>
        <v>MEDIUM</v>
      </c>
    </row>
    <row r="164" ht="29.25" customHeight="1" outlineLevel="1" spans="1:19">
      <c r="B164" s="36">
        <f>'G MTTS'!B163</f>
        <v>0.750011574074074</v>
      </c>
      <c r="C164" s="37" t="str">
        <f>'G MTTS'!J163</f>
        <v>#AS 5K Little Bounty</v>
      </c>
      <c r="D164" s="38" t="str">
        <f>'G MTTS'!M163</f>
        <v>Side Event</v>
      </c>
      <c r="E164" s="39" t="str">
        <f>'G MTTS'!N163</f>
        <v>NLH</v>
      </c>
      <c r="F164" s="40" t="str">
        <f>'G MTTS'!O163</f>
        <v>Progressive KO 1/3</v>
      </c>
      <c r="G164" s="41">
        <f>IF('G MTTS'!Q163=0," ",'G MTTS'!Q163*$A$3)</f>
        <v>5000</v>
      </c>
      <c r="H164" s="42">
        <f>IF('G MTTS'!V163=0," ",'G MTTS'!V163*$A$3)</f>
        <v>15</v>
      </c>
      <c r="I164" s="42">
        <f>IF('G MTTS'!W163=0," ",'G MTTS'!W163*$A$3)</f>
        <v>15</v>
      </c>
      <c r="J164" s="42" t="str">
        <f>IF('G MTTS'!Z163=0," ",'G MTTS'!Z163*$A$3)</f>
        <v> </v>
      </c>
      <c r="K164" s="43">
        <f>'G MTTS'!AF163</f>
        <v>50000</v>
      </c>
      <c r="L164" s="43">
        <f>'G MTTS'!X163</f>
        <v>0</v>
      </c>
      <c r="M164" s="43" t="str">
        <f>'G MTTS'!AA163</f>
        <v>REENTRY</v>
      </c>
      <c r="N164" s="44">
        <f>'G MTTS'!AG163</f>
        <v>10</v>
      </c>
      <c r="O164" s="44">
        <f>'G MTTS'!AH163</f>
        <v>8</v>
      </c>
      <c r="P164" s="44">
        <f>'G MTTS'!AI163</f>
        <v>8</v>
      </c>
      <c r="Q164" s="45">
        <f>'G MTTS'!AJ163</f>
        <v>15</v>
      </c>
      <c r="R164" s="46">
        <f t="shared" si="12"/>
        <v>0.861122685185185</v>
      </c>
      <c r="S164" s="47" t="str">
        <f t="shared" si="14"/>
        <v>MICRO</v>
      </c>
    </row>
    <row r="165" ht="29.25" customHeight="1" outlineLevel="1" spans="1:19">
      <c r="B165" s="36">
        <f>'G MTTS'!B164</f>
        <v>0.770844907407407</v>
      </c>
      <c r="C165" s="48" t="str">
        <f>'G MTTS'!J164</f>
        <v>#AS 7.5K Mini Plus+SPS</v>
      </c>
      <c r="D165" s="49" t="str">
        <f>'G MTTS'!M164</f>
        <v>Side Event</v>
      </c>
      <c r="E165" s="50" t="str">
        <f>'G MTTS'!N164</f>
        <v>NLH</v>
      </c>
      <c r="F165" s="51" t="str">
        <f>'G MTTS'!O164</f>
        <v>OFF</v>
      </c>
      <c r="G165" s="52">
        <f>IF('G MTTS'!Q164=0," ",'G MTTS'!Q164*$A$3)</f>
        <v>8500</v>
      </c>
      <c r="H165" s="53">
        <f>IF('G MTTS'!V164=0," ",'G MTTS'!V164*$A$3)</f>
        <v>3</v>
      </c>
      <c r="I165" s="53">
        <f>IF('G MTTS'!W164=0," ",'G MTTS'!W164*$A$3)</f>
        <v>3</v>
      </c>
      <c r="J165" s="53">
        <f>IF('G MTTS'!Z164=0," ",'G MTTS'!Z164*$A$3)</f>
        <v>3</v>
      </c>
      <c r="K165" s="54">
        <f>'G MTTS'!AF164</f>
        <v>40000</v>
      </c>
      <c r="L165" s="54">
        <f>'G MTTS'!X164</f>
        <v>0</v>
      </c>
      <c r="M165" s="54">
        <f>'G MTTS'!AA164</f>
        <v>120000</v>
      </c>
      <c r="N165" s="55">
        <f>'G MTTS'!AG164</f>
        <v>8</v>
      </c>
      <c r="O165" s="55">
        <f>'G MTTS'!AH164</f>
        <v>7</v>
      </c>
      <c r="P165" s="55">
        <f>'G MTTS'!AI164</f>
        <v>7</v>
      </c>
      <c r="Q165" s="56">
        <f>'G MTTS'!AJ164</f>
        <v>15</v>
      </c>
      <c r="R165" s="46">
        <f t="shared" si="12"/>
        <v>0.861122685185185</v>
      </c>
      <c r="S165" s="47" t="str">
        <f t="shared" si="14"/>
        <v>MICRO</v>
      </c>
    </row>
    <row r="166" ht="29.25" customHeight="1" outlineLevel="1" spans="1:19">
      <c r="B166" s="36">
        <f>'G MTTS'!B165</f>
        <v>0.791678240740741</v>
      </c>
      <c r="C166" s="37" t="str">
        <f>'G MTTS'!J165</f>
        <v>#AS 2K Omax K.O</v>
      </c>
      <c r="D166" s="38" t="str">
        <f>'G MTTS'!M165</f>
        <v>Side Event</v>
      </c>
      <c r="E166" s="39" t="str">
        <f>'G MTTS'!N165</f>
        <v>PLO5</v>
      </c>
      <c r="F166" s="40" t="str">
        <f>'G MTTS'!O165</f>
        <v>Regular KO 1/3</v>
      </c>
      <c r="G166" s="41">
        <f>IF('G MTTS'!Q165=0," ",'G MTTS'!Q165*$A$3)</f>
        <v>2000</v>
      </c>
      <c r="H166" s="42">
        <f>IF('G MTTS'!V165=0," ",'G MTTS'!V165*$A$3)</f>
        <v>10</v>
      </c>
      <c r="I166" s="42">
        <f>IF('G MTTS'!W165=0," ",'G MTTS'!W165*$A$3)</f>
        <v>10</v>
      </c>
      <c r="J166" s="42" t="str">
        <f>IF('G MTTS'!Z165=0," ",'G MTTS'!Z165*$A$3)</f>
        <v> </v>
      </c>
      <c r="K166" s="43">
        <f>'G MTTS'!AF165</f>
        <v>50000</v>
      </c>
      <c r="L166" s="43">
        <f>'G MTTS'!X165</f>
        <v>0</v>
      </c>
      <c r="M166" s="43" t="str">
        <f>'G MTTS'!AA165</f>
        <v>REENTRY</v>
      </c>
      <c r="N166" s="44">
        <f>'G MTTS'!AG165</f>
        <v>10</v>
      </c>
      <c r="O166" s="44">
        <f>'G MTTS'!AH165</f>
        <v>8</v>
      </c>
      <c r="P166" s="44">
        <f>'G MTTS'!AI165</f>
        <v>8</v>
      </c>
      <c r="Q166" s="45">
        <f>'G MTTS'!AJ165</f>
        <v>15</v>
      </c>
      <c r="R166" s="46">
        <f t="shared" si="12"/>
        <v>0.902789351851852</v>
      </c>
      <c r="S166" s="47" t="str">
        <f t="shared" si="14"/>
        <v>MICRO</v>
      </c>
    </row>
    <row r="167" ht="29.25" customHeight="1" outlineLevel="1" spans="1:19">
      <c r="A167" s="60" t="s">
        <v>516</v>
      </c>
      <c r="B167" s="36">
        <f>'G MTTS'!B166</f>
        <v>0.791678240740741</v>
      </c>
      <c r="C167" s="48" t="str">
        <f>'G MTTS'!J166</f>
        <v>#AS 25K OmaX PKO</v>
      </c>
      <c r="D167" s="49" t="str">
        <f>'G MTTS'!M166</f>
        <v>Side Event</v>
      </c>
      <c r="E167" s="50" t="str">
        <f>'G MTTS'!N166</f>
        <v>PLO5</v>
      </c>
      <c r="F167" s="51" t="str">
        <f>'G MTTS'!O166</f>
        <v>Progressive KO 1/2</v>
      </c>
      <c r="G167" s="52">
        <f>IF('G MTTS'!Q166=0," ",'G MTTS'!Q166*$A$3)</f>
        <v>25000</v>
      </c>
      <c r="H167" s="53">
        <f>IF('G MTTS'!V166=0," ",'G MTTS'!V166*$A$3)</f>
        <v>75</v>
      </c>
      <c r="I167" s="53">
        <f>IF('G MTTS'!W166=0," ",'G MTTS'!W166*$A$3)</f>
        <v>75</v>
      </c>
      <c r="J167" s="53" t="str">
        <f>IF('G MTTS'!Z166=0," ",'G MTTS'!Z166*$A$3)</f>
        <v> </v>
      </c>
      <c r="K167" s="54">
        <f>'G MTTS'!AF166</f>
        <v>50000</v>
      </c>
      <c r="L167" s="54">
        <f>'G MTTS'!X166</f>
        <v>0</v>
      </c>
      <c r="M167" s="54" t="str">
        <f>'G MTTS'!AA166</f>
        <v>REENTRY</v>
      </c>
      <c r="N167" s="55">
        <f>'G MTTS'!AG166</f>
        <v>12</v>
      </c>
      <c r="O167" s="55">
        <f>'G MTTS'!AH166</f>
        <v>10</v>
      </c>
      <c r="P167" s="55">
        <f>'G MTTS'!AI166</f>
        <v>10</v>
      </c>
      <c r="Q167" s="56">
        <f>'G MTTS'!AJ166</f>
        <v>15</v>
      </c>
      <c r="R167" s="46">
        <f t="shared" si="12"/>
        <v>0.927094907407407</v>
      </c>
      <c r="S167" s="47" t="str">
        <f t="shared" si="14"/>
        <v>LOW</v>
      </c>
    </row>
    <row r="168" ht="29.25" customHeight="1" outlineLevel="1" spans="1:19">
      <c r="B168" s="36">
        <f>'G MTTS'!B167</f>
        <v>0.791678240740741</v>
      </c>
      <c r="C168" s="37" t="str">
        <f>'G MTTS'!J167</f>
        <v>#AS 4K Little Mystery</v>
      </c>
      <c r="D168" s="38" t="str">
        <f>'G MTTS'!M167</f>
        <v>Side Event</v>
      </c>
      <c r="E168" s="39" t="str">
        <f>'G MTTS'!N167</f>
        <v>NLH</v>
      </c>
      <c r="F168" s="40" t="str">
        <f>'G MTTS'!O167</f>
        <v>Mystery Bounty 1/2</v>
      </c>
      <c r="G168" s="41">
        <f>IF('G MTTS'!Q167=0," ",'G MTTS'!Q167*$A$3)</f>
        <v>4000</v>
      </c>
      <c r="H168" s="42">
        <f>IF('G MTTS'!V167=0," ",'G MTTS'!V167*$A$3)</f>
        <v>5</v>
      </c>
      <c r="I168" s="42">
        <f>IF('G MTTS'!W167=0," ",'G MTTS'!W167*$A$3)</f>
        <v>5</v>
      </c>
      <c r="J168" s="42" t="str">
        <f>IF('G MTTS'!Z167=0," ",'G MTTS'!Z167*$A$3)</f>
        <v> </v>
      </c>
      <c r="K168" s="43">
        <f>'G MTTS'!AF167</f>
        <v>30000</v>
      </c>
      <c r="L168" s="43">
        <f>'G MTTS'!X167</f>
        <v>0</v>
      </c>
      <c r="M168" s="43" t="str">
        <f>'G MTTS'!AA167</f>
        <v>REENTRY</v>
      </c>
      <c r="N168" s="44">
        <f>'G MTTS'!AG167</f>
        <v>10</v>
      </c>
      <c r="O168" s="44">
        <f>'G MTTS'!AH167</f>
        <v>8</v>
      </c>
      <c r="P168" s="44">
        <f>'G MTTS'!AI167</f>
        <v>8</v>
      </c>
      <c r="Q168" s="45">
        <f>'G MTTS'!AJ167</f>
        <v>13</v>
      </c>
      <c r="R168" s="46">
        <f t="shared" si="12"/>
        <v>0.888900462962963</v>
      </c>
      <c r="S168" s="47" t="str">
        <f t="shared" si="14"/>
        <v>MICRO</v>
      </c>
    </row>
    <row r="169" ht="29.25" customHeight="1" outlineLevel="1" spans="1:19">
      <c r="A169" s="132" t="s">
        <v>516</v>
      </c>
      <c r="B169" s="36">
        <f>'G MTTS'!B168</f>
        <v>0.80556712962963</v>
      </c>
      <c r="C169" s="48" t="str">
        <f>'G MTTS'!J168</f>
        <v>1K Plus</v>
      </c>
      <c r="D169" s="49" t="str">
        <f>'G MTTS'!M168</f>
        <v>Side Event</v>
      </c>
      <c r="E169" s="50" t="str">
        <f>'G MTTS'!N168</f>
        <v>NLH</v>
      </c>
      <c r="F169" s="51" t="str">
        <f>'G MTTS'!O168</f>
        <v>OFF</v>
      </c>
      <c r="G169" s="52">
        <f>IF('G MTTS'!Q168=0," ",'G MTTS'!Q168*$A$3)</f>
        <v>1000</v>
      </c>
      <c r="H169" s="53">
        <f>IF('G MTTS'!V168=0," ",'G MTTS'!V168*$A$3)</f>
        <v>1</v>
      </c>
      <c r="I169" s="53">
        <f>IF('G MTTS'!W168=0," ",'G MTTS'!W168*$A$3)</f>
        <v>2</v>
      </c>
      <c r="J169" s="53">
        <f>IF('G MTTS'!Z168=0," ",'G MTTS'!Z168*$A$3)</f>
        <v>4</v>
      </c>
      <c r="K169" s="54">
        <f>'G MTTS'!AF168</f>
        <v>40000</v>
      </c>
      <c r="L169" s="54">
        <f>'G MTTS'!X168</f>
        <v>0</v>
      </c>
      <c r="M169" s="54">
        <f>'G MTTS'!AA168</f>
        <v>100000</v>
      </c>
      <c r="N169" s="55">
        <f>'G MTTS'!AG168</f>
        <v>7</v>
      </c>
      <c r="O169" s="55">
        <f>'G MTTS'!AH168</f>
        <v>6</v>
      </c>
      <c r="P169" s="55">
        <f>'G MTTS'!AI168</f>
        <v>6</v>
      </c>
      <c r="Q169" s="56">
        <f>'G MTTS'!AJ168</f>
        <v>15</v>
      </c>
      <c r="R169" s="46">
        <f t="shared" si="12"/>
        <v>0.881956018518518</v>
      </c>
      <c r="S169" s="47" t="str">
        <f t="shared" si="14"/>
        <v>MICRO</v>
      </c>
    </row>
    <row r="170" ht="29.25" customHeight="1" outlineLevel="1" spans="1:19">
      <c r="A170" s="22"/>
      <c r="B170" s="36">
        <f>'G MTTS'!B169</f>
        <v>0.812511574074074</v>
      </c>
      <c r="C170" s="37" t="str">
        <f>'G MTTS'!J169</f>
        <v>FreeRoll Suprema</v>
      </c>
      <c r="D170" s="38" t="str">
        <f>'G MTTS'!M169</f>
        <v>Side Event</v>
      </c>
      <c r="E170" s="39" t="str">
        <f>'G MTTS'!N169</f>
        <v>PLO5</v>
      </c>
      <c r="F170" s="40" t="str">
        <f>'G MTTS'!O169</f>
        <v>OFF</v>
      </c>
      <c r="G170" s="41">
        <f>IF('G MTTS'!Q169=0," ",'G MTTS'!Q169*$A$3)</f>
        <v>500</v>
      </c>
      <c r="H170" s="42" t="str">
        <f>IF('G MTTS'!V169=0," ",'G MTTS'!V169*$A$3)</f>
        <v> </v>
      </c>
      <c r="I170" s="42" t="str">
        <f>IF('G MTTS'!W169=0," ",'G MTTS'!W169*$A$3)</f>
        <v> </v>
      </c>
      <c r="J170" s="42" t="str">
        <f>IF('G MTTS'!Z169=0," ",'G MTTS'!Z169*$A$3)</f>
        <v> </v>
      </c>
      <c r="K170" s="43">
        <f>'G MTTS'!AF169</f>
        <v>10000</v>
      </c>
      <c r="L170" s="43">
        <f>'G MTTS'!X169</f>
        <v>0</v>
      </c>
      <c r="M170" s="43" t="str">
        <f>'G MTTS'!AA169</f>
        <v>FREEZE</v>
      </c>
      <c r="N170" s="44">
        <f>'G MTTS'!AG169</f>
        <v>6</v>
      </c>
      <c r="O170" s="44">
        <f>'G MTTS'!AH169</f>
        <v>5</v>
      </c>
      <c r="P170" s="44">
        <f>'G MTTS'!AI169</f>
        <v>5</v>
      </c>
      <c r="Q170" s="45">
        <f>'G MTTS'!AJ169</f>
        <v>10</v>
      </c>
      <c r="R170" s="46">
        <f t="shared" si="12"/>
        <v>0.857650462962963</v>
      </c>
      <c r="S170" s="47" t="str">
        <f t="shared" si="14"/>
        <v>SUPER HIGH</v>
      </c>
    </row>
    <row r="171" ht="29.25" customHeight="1" outlineLevel="1" spans="1:19">
      <c r="A171" s="22"/>
      <c r="B171" s="36">
        <f>'G MTTS'!B170</f>
        <v>0.822928240740741</v>
      </c>
      <c r="C171" s="48" t="str">
        <f>'G MTTS'!J170</f>
        <v>Sit&amp;go 200p max.</v>
      </c>
      <c r="D171" s="49" t="str">
        <f>'G MTTS'!M170</f>
        <v>Side Event</v>
      </c>
      <c r="E171" s="50" t="str">
        <f>'G MTTS'!N170</f>
        <v>NLH</v>
      </c>
      <c r="F171" s="51" t="str">
        <f>'G MTTS'!O170</f>
        <v>OFF</v>
      </c>
      <c r="G171" s="52">
        <f>IF('G MTTS'!Q170=0," ",'G MTTS'!Q170*$A$3)</f>
        <v>200</v>
      </c>
      <c r="H171" s="53">
        <f>IF('G MTTS'!V170=0," ",'G MTTS'!V170*$A$3)</f>
        <v>3</v>
      </c>
      <c r="I171" s="53">
        <f>IF('G MTTS'!W170=0," ",'G MTTS'!W170*$A$3)</f>
        <v>3</v>
      </c>
      <c r="J171" s="53">
        <f>IF('G MTTS'!Z170=0," ",'G MTTS'!Z170*$A$3)</f>
        <v>3</v>
      </c>
      <c r="K171" s="54">
        <f>'G MTTS'!AF170</f>
        <v>20000</v>
      </c>
      <c r="L171" s="54">
        <f>'G MTTS'!X170</f>
        <v>0</v>
      </c>
      <c r="M171" s="54">
        <f>'G MTTS'!AA170</f>
        <v>30000</v>
      </c>
      <c r="N171" s="55">
        <f>'G MTTS'!AG170</f>
        <v>5</v>
      </c>
      <c r="O171" s="55">
        <f>'G MTTS'!AH170</f>
        <v>5</v>
      </c>
      <c r="P171" s="55">
        <f>'G MTTS'!AI170</f>
        <v>5</v>
      </c>
      <c r="Q171" s="56">
        <f>'G MTTS'!AJ170</f>
        <v>15</v>
      </c>
      <c r="R171" s="46">
        <f t="shared" si="12"/>
        <v>0.878483796296296</v>
      </c>
      <c r="S171" s="47" t="str">
        <f t="shared" si="14"/>
        <v>MICRO</v>
      </c>
    </row>
    <row r="172" ht="29.25" customHeight="1" outlineLevel="1" spans="1:19">
      <c r="A172" s="22"/>
      <c r="B172" s="36">
        <f>'G MTTS'!B171</f>
        <v>0.833344907407407</v>
      </c>
      <c r="C172" s="37" t="str">
        <f>'G MTTS'!J171</f>
        <v>#AS 5K Plus Turbo</v>
      </c>
      <c r="D172" s="38" t="str">
        <f>'G MTTS'!M171</f>
        <v>Side Event</v>
      </c>
      <c r="E172" s="39" t="str">
        <f>'G MTTS'!N171</f>
        <v>NLH</v>
      </c>
      <c r="F172" s="40" t="str">
        <f>'G MTTS'!O171</f>
        <v>OFF</v>
      </c>
      <c r="G172" s="41">
        <f>IF('G MTTS'!Q171=0," ",'G MTTS'!Q171*$A$3)</f>
        <v>5000</v>
      </c>
      <c r="H172" s="42">
        <f>IF('G MTTS'!V171=0," ",'G MTTS'!V171*$A$3)</f>
        <v>8</v>
      </c>
      <c r="I172" s="42">
        <f>IF('G MTTS'!W171=0," ",'G MTTS'!W171*$A$3)</f>
        <v>8</v>
      </c>
      <c r="J172" s="42">
        <f>IF('G MTTS'!Z171=0," ",'G MTTS'!Z171*$A$3)</f>
        <v>12</v>
      </c>
      <c r="K172" s="43">
        <f>'G MTTS'!AF171</f>
        <v>50000</v>
      </c>
      <c r="L172" s="43">
        <f>'G MTTS'!X171</f>
        <v>0</v>
      </c>
      <c r="M172" s="43">
        <f>'G MTTS'!AA171</f>
        <v>250000</v>
      </c>
      <c r="N172" s="44">
        <f>'G MTTS'!AG171</f>
        <v>7</v>
      </c>
      <c r="O172" s="44">
        <f>'G MTTS'!AH171</f>
        <v>6</v>
      </c>
      <c r="P172" s="44">
        <f>'G MTTS'!AI171</f>
        <v>6</v>
      </c>
      <c r="Q172" s="45">
        <f>'G MTTS'!AJ171</f>
        <v>14</v>
      </c>
      <c r="R172" s="46">
        <f t="shared" si="12"/>
        <v>0.904872685185185</v>
      </c>
      <c r="S172" s="47" t="str">
        <f t="shared" si="14"/>
        <v>MICRO</v>
      </c>
    </row>
    <row r="173" ht="29.25" customHeight="1" outlineLevel="1" spans="1:19">
      <c r="A173" s="60" t="s">
        <v>516</v>
      </c>
      <c r="B173" s="36">
        <f>'G MTTS'!B172</f>
        <v>0.833344907407407</v>
      </c>
      <c r="C173" s="48" t="str">
        <f>'G MTTS'!J172</f>
        <v>1K Omax</v>
      </c>
      <c r="D173" s="49" t="str">
        <f>'G MTTS'!M172</f>
        <v>Side Event</v>
      </c>
      <c r="E173" s="50" t="str">
        <f>'G MTTS'!N172</f>
        <v>PLO6</v>
      </c>
      <c r="F173" s="51" t="str">
        <f>'G MTTS'!O172</f>
        <v>OFF</v>
      </c>
      <c r="G173" s="52">
        <f>IF('G MTTS'!Q172=0," ",'G MTTS'!Q172*$A$3)</f>
        <v>1000</v>
      </c>
      <c r="H173" s="53">
        <f>IF('G MTTS'!V172=0," ",'G MTTS'!V172*$A$3)</f>
        <v>10</v>
      </c>
      <c r="I173" s="53">
        <f>IF('G MTTS'!W172=0," ",'G MTTS'!W172*$A$3)</f>
        <v>10</v>
      </c>
      <c r="J173" s="53">
        <f>IF('G MTTS'!Z172=0," ",'G MTTS'!Z172*$A$3)</f>
        <v>10</v>
      </c>
      <c r="K173" s="54">
        <f>'G MTTS'!AF172</f>
        <v>40000</v>
      </c>
      <c r="L173" s="54">
        <f>'G MTTS'!X172</f>
        <v>0</v>
      </c>
      <c r="M173" s="54">
        <f>'G MTTS'!AA172</f>
        <v>100000</v>
      </c>
      <c r="N173" s="55">
        <f>'G MTTS'!AG172</f>
        <v>10</v>
      </c>
      <c r="O173" s="55">
        <f>'G MTTS'!AH172</f>
        <v>8</v>
      </c>
      <c r="P173" s="55">
        <f>'G MTTS'!AI172</f>
        <v>8</v>
      </c>
      <c r="Q173" s="56">
        <f>'G MTTS'!AJ172</f>
        <v>12</v>
      </c>
      <c r="R173" s="46">
        <f t="shared" si="12"/>
        <v>0.923622685185185</v>
      </c>
      <c r="S173" s="47" t="str">
        <f t="shared" si="14"/>
        <v>MICRO</v>
      </c>
    </row>
    <row r="174" ht="29.25" customHeight="1" outlineLevel="1" spans="1:19">
      <c r="B174" s="36">
        <f>'G MTTS'!B173</f>
        <v>0.833344907407407</v>
      </c>
      <c r="C174" s="37" t="str">
        <f>'G MTTS'!J173</f>
        <v>#AS 30K Plus+SPS</v>
      </c>
      <c r="D174" s="38" t="str">
        <f>'G MTTS'!M173</f>
        <v>Side Event</v>
      </c>
      <c r="E174" s="39" t="str">
        <f>'G MTTS'!N173</f>
        <v>NLH</v>
      </c>
      <c r="F174" s="40" t="str">
        <f>'G MTTS'!O173</f>
        <v>OFF</v>
      </c>
      <c r="G174" s="41">
        <f>IF('G MTTS'!Q173=0," ",'G MTTS'!Q173*$A$3)</f>
        <v>31000</v>
      </c>
      <c r="H174" s="42">
        <f>IF('G MTTS'!V173=0," ",'G MTTS'!V173*$A$3)</f>
        <v>20</v>
      </c>
      <c r="I174" s="42">
        <f>IF('G MTTS'!W173=0," ",'G MTTS'!W173*$A$3)</f>
        <v>20</v>
      </c>
      <c r="J174" s="42">
        <f>IF('G MTTS'!Z173=0," ",'G MTTS'!Z173*$A$3)</f>
        <v>20</v>
      </c>
      <c r="K174" s="43">
        <f>'G MTTS'!AF173</f>
        <v>50000</v>
      </c>
      <c r="L174" s="43">
        <f>'G MTTS'!X173</f>
        <v>0</v>
      </c>
      <c r="M174" s="43">
        <f>'G MTTS'!AA173</f>
        <v>200000</v>
      </c>
      <c r="N174" s="44">
        <f>'G MTTS'!AG173</f>
        <v>10</v>
      </c>
      <c r="O174" s="44">
        <f>'G MTTS'!AH173</f>
        <v>8</v>
      </c>
      <c r="P174" s="44">
        <f>'G MTTS'!AI173</f>
        <v>8</v>
      </c>
      <c r="Q174" s="45">
        <f>'G MTTS'!AJ173</f>
        <v>14</v>
      </c>
      <c r="R174" s="46">
        <f t="shared" si="12"/>
        <v>0.937511574074074</v>
      </c>
      <c r="S174" s="47" t="str">
        <f t="shared" si="14"/>
        <v>MICRO</v>
      </c>
    </row>
    <row r="175" ht="29.25" customHeight="1" outlineLevel="1" spans="1:19">
      <c r="B175" s="36">
        <f>'G MTTS'!B174</f>
        <v>0.833344907407407</v>
      </c>
      <c r="C175" s="48" t="str">
        <f>'G MTTS'!J174</f>
        <v>#AS 5K OmaX PKO</v>
      </c>
      <c r="D175" s="49" t="str">
        <f>'G MTTS'!M174</f>
        <v>Side Event</v>
      </c>
      <c r="E175" s="50" t="str">
        <f>'G MTTS'!N174</f>
        <v>PLO5</v>
      </c>
      <c r="F175" s="51" t="str">
        <f>'G MTTS'!O174</f>
        <v>Progressive KO 1/2</v>
      </c>
      <c r="G175" s="52">
        <f>IF('G MTTS'!Q174=0," ",'G MTTS'!Q174*$A$3)</f>
        <v>5000</v>
      </c>
      <c r="H175" s="53">
        <f>IF('G MTTS'!V174=0," ",'G MTTS'!V174*$A$3)</f>
        <v>30</v>
      </c>
      <c r="I175" s="53">
        <f>IF('G MTTS'!W174=0," ",'G MTTS'!W174*$A$3)</f>
        <v>30</v>
      </c>
      <c r="J175" s="53" t="str">
        <f>IF('G MTTS'!Z174=0," ",'G MTTS'!Z174*$A$3)</f>
        <v> </v>
      </c>
      <c r="K175" s="54">
        <f>'G MTTS'!AF174</f>
        <v>50000</v>
      </c>
      <c r="L175" s="54">
        <f>'G MTTS'!X174</f>
        <v>0</v>
      </c>
      <c r="M175" s="54" t="str">
        <f>'G MTTS'!AA174</f>
        <v>REENTRY</v>
      </c>
      <c r="N175" s="55">
        <f>'G MTTS'!AG174</f>
        <v>10</v>
      </c>
      <c r="O175" s="55">
        <f>'G MTTS'!AH174</f>
        <v>8</v>
      </c>
      <c r="P175" s="55">
        <f>'G MTTS'!AI174</f>
        <v>8</v>
      </c>
      <c r="Q175" s="56">
        <f>'G MTTS'!AJ174</f>
        <v>15</v>
      </c>
      <c r="R175" s="46">
        <f t="shared" si="12"/>
        <v>0.944456018518518</v>
      </c>
      <c r="S175" s="47" t="str">
        <f t="shared" si="14"/>
        <v>LOW</v>
      </c>
    </row>
    <row r="176" ht="29.25" customHeight="1" outlineLevel="1" spans="1:19">
      <c r="A176" s="60" t="s">
        <v>516</v>
      </c>
      <c r="B176" s="36">
        <f>'G MTTS'!B175</f>
        <v>0.875011574074074</v>
      </c>
      <c r="C176" s="37" t="str">
        <f>'G MTTS'!J175</f>
        <v>#AS 12K Mystery</v>
      </c>
      <c r="D176" s="38" t="str">
        <f>'G MTTS'!M175</f>
        <v>Side Event</v>
      </c>
      <c r="E176" s="39" t="str">
        <f>'G MTTS'!N175</f>
        <v>NLH</v>
      </c>
      <c r="F176" s="40" t="str">
        <f>'G MTTS'!O175</f>
        <v>Mystery Bounty 1/3</v>
      </c>
      <c r="G176" s="41">
        <f>IF('G MTTS'!Q175=0," ",'G MTTS'!Q175*$A$3)</f>
        <v>12000</v>
      </c>
      <c r="H176" s="42">
        <f>IF('G MTTS'!V175=0," ",'G MTTS'!V175*$A$3)</f>
        <v>40</v>
      </c>
      <c r="I176" s="42">
        <f>IF('G MTTS'!W175=0," ",'G MTTS'!W175*$A$3)</f>
        <v>40</v>
      </c>
      <c r="J176" s="42" t="str">
        <f>IF('G MTTS'!Z175=0," ",'G MTTS'!Z175*$A$3)</f>
        <v> </v>
      </c>
      <c r="K176" s="43">
        <f>'G MTTS'!AF175</f>
        <v>60000</v>
      </c>
      <c r="L176" s="43">
        <f>'G MTTS'!X175</f>
        <v>0</v>
      </c>
      <c r="M176" s="43" t="str">
        <f>'G MTTS'!AA175</f>
        <v>REENTRY</v>
      </c>
      <c r="N176" s="44">
        <f>'G MTTS'!AG175</f>
        <v>10</v>
      </c>
      <c r="O176" s="44">
        <f>'G MTTS'!AH175</f>
        <v>8</v>
      </c>
      <c r="P176" s="44">
        <f>'G MTTS'!AI175</f>
        <v>8</v>
      </c>
      <c r="Q176" s="45">
        <f>'G MTTS'!AJ175</f>
        <v>14</v>
      </c>
      <c r="R176" s="46">
        <f t="shared" si="12"/>
        <v>0.979178240740741</v>
      </c>
      <c r="S176" s="47" t="str">
        <f t="shared" si="14"/>
        <v>LOW</v>
      </c>
    </row>
    <row r="177" ht="29.25" customHeight="1" outlineLevel="1" spans="1:19">
      <c r="B177" s="36">
        <f>'G MTTS'!B176</f>
        <v>0.875011574074074</v>
      </c>
      <c r="C177" s="48" t="str">
        <f>'G MTTS'!J176</f>
        <v>#AS 30K Freeze</v>
      </c>
      <c r="D177" s="49" t="str">
        <f>'G MTTS'!M176</f>
        <v>Side Event</v>
      </c>
      <c r="E177" s="50" t="str">
        <f>'G MTTS'!N176</f>
        <v>NLH</v>
      </c>
      <c r="F177" s="51" t="str">
        <f>'G MTTS'!O176</f>
        <v>OFF</v>
      </c>
      <c r="G177" s="52">
        <f>IF('G MTTS'!Q176=0," ",'G MTTS'!Q176*$A$3)</f>
        <v>30000</v>
      </c>
      <c r="H177" s="53">
        <f>IF('G MTTS'!V176=0," ",'G MTTS'!V176*$A$3)</f>
        <v>150</v>
      </c>
      <c r="I177" s="53" t="str">
        <f>IF('G MTTS'!W176=0," ",'G MTTS'!W176*$A$3)</f>
        <v> </v>
      </c>
      <c r="J177" s="53" t="str">
        <f>IF('G MTTS'!Z176=0," ",'G MTTS'!Z176*$A$3)</f>
        <v> </v>
      </c>
      <c r="K177" s="54">
        <f>'G MTTS'!AF176</f>
        <v>40000</v>
      </c>
      <c r="L177" s="54">
        <f>'G MTTS'!X176</f>
        <v>0</v>
      </c>
      <c r="M177" s="54" t="str">
        <f>'G MTTS'!AA176</f>
        <v>FREEZE</v>
      </c>
      <c r="N177" s="55">
        <f>'G MTTS'!AG176</f>
        <v>10</v>
      </c>
      <c r="O177" s="55">
        <f>'G MTTS'!AH176</f>
        <v>10</v>
      </c>
      <c r="P177" s="55">
        <f>'G MTTS'!AI176</f>
        <v>10</v>
      </c>
      <c r="Q177" s="56">
        <f>'G MTTS'!AJ176</f>
        <v>14</v>
      </c>
      <c r="R177" s="46">
        <f t="shared" si="12"/>
        <v>0.979178240740741</v>
      </c>
      <c r="S177" s="47" t="str">
        <f t="shared" si="14"/>
        <v>MEDIUM</v>
      </c>
    </row>
    <row r="178" ht="29.25" customHeight="1" outlineLevel="1" spans="1:19">
      <c r="B178" s="36">
        <f>'G MTTS'!B177</f>
        <v>0.875011574074074</v>
      </c>
      <c r="C178" s="37" t="str">
        <f>'G MTTS'!J177</f>
        <v>#AS 1.2K Omax</v>
      </c>
      <c r="D178" s="38" t="str">
        <f>'G MTTS'!M177</f>
        <v>Side Event</v>
      </c>
      <c r="E178" s="39" t="str">
        <f>'G MTTS'!N177</f>
        <v>PLO5</v>
      </c>
      <c r="F178" s="40" t="str">
        <f>'G MTTS'!O177</f>
        <v>OFF</v>
      </c>
      <c r="G178" s="41">
        <f>IF('G MTTS'!Q177=0," ",'G MTTS'!Q177*$A$3)</f>
        <v>1200</v>
      </c>
      <c r="H178" s="42">
        <f>IF('G MTTS'!V177=0," ",'G MTTS'!V177*$A$3)</f>
        <v>5</v>
      </c>
      <c r="I178" s="42">
        <f>IF('G MTTS'!W177=0," ",'G MTTS'!W177*$A$3)</f>
        <v>5</v>
      </c>
      <c r="J178" s="42">
        <f>IF('G MTTS'!Z177=0," ",'G MTTS'!Z177*$A$3)</f>
        <v>5</v>
      </c>
      <c r="K178" s="43">
        <f>'G MTTS'!AF177</f>
        <v>30000</v>
      </c>
      <c r="L178" s="43">
        <f>'G MTTS'!X177</f>
        <v>0</v>
      </c>
      <c r="M178" s="43">
        <f>'G MTTS'!AA177</f>
        <v>90000</v>
      </c>
      <c r="N178" s="44">
        <f>'G MTTS'!AG177</f>
        <v>8</v>
      </c>
      <c r="O178" s="44">
        <f>'G MTTS'!AH177</f>
        <v>7</v>
      </c>
      <c r="P178" s="44">
        <f>'G MTTS'!AI177</f>
        <v>7</v>
      </c>
      <c r="Q178" s="45">
        <f>'G MTTS'!AJ177</f>
        <v>12</v>
      </c>
      <c r="R178" s="46">
        <f t="shared" si="12"/>
        <v>0.945150462962963</v>
      </c>
      <c r="S178" s="47" t="str">
        <f t="shared" si="14"/>
        <v>MICRO</v>
      </c>
    </row>
    <row r="179" ht="29.25" customHeight="1" outlineLevel="1" spans="1:19">
      <c r="A179" s="132" t="s">
        <v>516</v>
      </c>
      <c r="B179" s="36">
        <f>'G MTTS'!B178</f>
        <v>0.875011574074074</v>
      </c>
      <c r="C179" s="48" t="str">
        <f>'G MTTS'!J178</f>
        <v>750 Omax PKO</v>
      </c>
      <c r="D179" s="49" t="str">
        <f>'G MTTS'!M178</f>
        <v>Side Event</v>
      </c>
      <c r="E179" s="50" t="str">
        <f>'G MTTS'!N178</f>
        <v>PLO4</v>
      </c>
      <c r="F179" s="51" t="str">
        <f>'G MTTS'!O178</f>
        <v>Progressive KO 1/2</v>
      </c>
      <c r="G179" s="52">
        <f>IF('G MTTS'!Q178=0," ",'G MTTS'!Q178*$A$3)</f>
        <v>750</v>
      </c>
      <c r="H179" s="53">
        <f>IF('G MTTS'!V178=0," ",'G MTTS'!V178*$A$3)</f>
        <v>3</v>
      </c>
      <c r="I179" s="53">
        <f>IF('G MTTS'!W178=0," ",'G MTTS'!W178*$A$3)</f>
        <v>3</v>
      </c>
      <c r="J179" s="53" t="str">
        <f>IF('G MTTS'!Z178=0," ",'G MTTS'!Z178*$A$3)</f>
        <v> </v>
      </c>
      <c r="K179" s="54">
        <f>'G MTTS'!AF178</f>
        <v>50000</v>
      </c>
      <c r="L179" s="54">
        <f>'G MTTS'!X178</f>
        <v>0</v>
      </c>
      <c r="M179" s="54" t="str">
        <f>'G MTTS'!AA178</f>
        <v>REENTRY</v>
      </c>
      <c r="N179" s="55">
        <f>'G MTTS'!AG178</f>
        <v>7</v>
      </c>
      <c r="O179" s="55">
        <f>'G MTTS'!AH178</f>
        <v>6</v>
      </c>
      <c r="P179" s="55">
        <f>'G MTTS'!AI178</f>
        <v>6</v>
      </c>
      <c r="Q179" s="56">
        <f>'G MTTS'!AJ178</f>
        <v>15</v>
      </c>
      <c r="R179" s="46">
        <f t="shared" si="12"/>
        <v>0.951400462962963</v>
      </c>
      <c r="S179" s="47" t="str">
        <f t="shared" si="14"/>
        <v>MICRO</v>
      </c>
    </row>
    <row r="180" ht="29.25" customHeight="1" outlineLevel="1" spans="1:19">
      <c r="A180" s="22"/>
      <c r="B180" s="36">
        <f>'G MTTS'!B179</f>
        <v>0.875011574074074</v>
      </c>
      <c r="C180" s="37" t="str">
        <f>'G MTTS'!J179</f>
        <v>#AS 7.5K Plus</v>
      </c>
      <c r="D180" s="38" t="str">
        <f>'G MTTS'!M179</f>
        <v>Side Event</v>
      </c>
      <c r="E180" s="39" t="str">
        <f>'G MTTS'!N179</f>
        <v>NLH</v>
      </c>
      <c r="F180" s="40" t="str">
        <f>'G MTTS'!O179</f>
        <v>OFF</v>
      </c>
      <c r="G180" s="41">
        <f>IF('G MTTS'!Q179=0," ",'G MTTS'!Q179*$A$3)</f>
        <v>7500</v>
      </c>
      <c r="H180" s="42">
        <f>IF('G MTTS'!V179=0," ",'G MTTS'!V179*$A$3)</f>
        <v>5</v>
      </c>
      <c r="I180" s="42">
        <f>IF('G MTTS'!W179=0," ",'G MTTS'!W179*$A$3)</f>
        <v>5</v>
      </c>
      <c r="J180" s="42">
        <f>IF('G MTTS'!Z179=0," ",'G MTTS'!Z179*$A$3)</f>
        <v>5</v>
      </c>
      <c r="K180" s="43">
        <f>'G MTTS'!AF179</f>
        <v>30000</v>
      </c>
      <c r="L180" s="43">
        <f>'G MTTS'!X179</f>
        <v>0</v>
      </c>
      <c r="M180" s="43">
        <f>'G MTTS'!AA179</f>
        <v>120000</v>
      </c>
      <c r="N180" s="44">
        <f>'G MTTS'!AG179</f>
        <v>7</v>
      </c>
      <c r="O180" s="44">
        <f>'G MTTS'!AH179</f>
        <v>6</v>
      </c>
      <c r="P180" s="44">
        <f>'G MTTS'!AI179</f>
        <v>6</v>
      </c>
      <c r="Q180" s="45">
        <f>'G MTTS'!AJ179</f>
        <v>13</v>
      </c>
      <c r="R180" s="46">
        <f t="shared" si="12"/>
        <v>0.941678240740741</v>
      </c>
      <c r="S180" s="47" t="str">
        <f t="shared" si="14"/>
        <v>MICRO</v>
      </c>
    </row>
    <row r="181" ht="29.25" customHeight="1" outlineLevel="1" spans="1:19">
      <c r="A181" s="22"/>
      <c r="B181" s="36">
        <f>'G MTTS'!B180</f>
        <v>0.888900462962963</v>
      </c>
      <c r="C181" s="48" t="str">
        <f>'G MTTS'!J180</f>
        <v>700 Hyper Plus</v>
      </c>
      <c r="D181" s="49" t="str">
        <f>'G MTTS'!M180</f>
        <v>Side Event</v>
      </c>
      <c r="E181" s="50" t="str">
        <f>'G MTTS'!N180</f>
        <v>NLH</v>
      </c>
      <c r="F181" s="51" t="str">
        <f>'G MTTS'!O180</f>
        <v>OFF</v>
      </c>
      <c r="G181" s="52">
        <f>IF('G MTTS'!Q180=0," ",'G MTTS'!Q180*$A$3)</f>
        <v>700</v>
      </c>
      <c r="H181" s="53">
        <f>IF('G MTTS'!V180=0," ",'G MTTS'!V180*$A$3)</f>
        <v>1</v>
      </c>
      <c r="I181" s="53">
        <f>IF('G MTTS'!W180=0," ",'G MTTS'!W180*$A$3)</f>
        <v>1</v>
      </c>
      <c r="J181" s="53">
        <f>IF('G MTTS'!Z180=0," ",'G MTTS'!Z180*$A$3)</f>
        <v>2</v>
      </c>
      <c r="K181" s="54">
        <f>'G MTTS'!AF180</f>
        <v>30000</v>
      </c>
      <c r="L181" s="54">
        <f>'G MTTS'!X180</f>
        <v>0</v>
      </c>
      <c r="M181" s="54">
        <f>'G MTTS'!AA180</f>
        <v>60000</v>
      </c>
      <c r="N181" s="55">
        <f>'G MTTS'!AG180</f>
        <v>6</v>
      </c>
      <c r="O181" s="55">
        <f>'G MTTS'!AH180</f>
        <v>5</v>
      </c>
      <c r="P181" s="55">
        <f>'G MTTS'!AI180</f>
        <v>5</v>
      </c>
      <c r="Q181" s="56">
        <f>'G MTTS'!AJ180</f>
        <v>12</v>
      </c>
      <c r="R181" s="46">
        <f t="shared" si="12"/>
        <v>0.942372685185185</v>
      </c>
      <c r="S181" s="47" t="str">
        <f t="shared" si="14"/>
        <v>MICRO</v>
      </c>
    </row>
    <row r="182" ht="29.25" customHeight="1" outlineLevel="1" spans="1:19">
      <c r="A182" s="60"/>
      <c r="B182" s="36">
        <f>'G MTTS'!B181</f>
        <v>0.916678240740741</v>
      </c>
      <c r="C182" s="37" t="str">
        <f>'G MTTS'!J181</f>
        <v>#AS 20K Plus+SPS</v>
      </c>
      <c r="D182" s="38" t="str">
        <f>'G MTTS'!M181</f>
        <v>Side Event</v>
      </c>
      <c r="E182" s="39" t="str">
        <f>'G MTTS'!N181</f>
        <v>NLH</v>
      </c>
      <c r="F182" s="40" t="str">
        <f>'G MTTS'!O181</f>
        <v>OFF</v>
      </c>
      <c r="G182" s="41">
        <f>IF('G MTTS'!Q181=0," ",'G MTTS'!Q181*$A$3)</f>
        <v>21000</v>
      </c>
      <c r="H182" s="42">
        <f>IF('G MTTS'!V181=0," ",'G MTTS'!V181*$A$3)</f>
        <v>15</v>
      </c>
      <c r="I182" s="42">
        <f>IF('G MTTS'!W181=0," ",'G MTTS'!W181*$A$3)</f>
        <v>15</v>
      </c>
      <c r="J182" s="42">
        <f>IF('G MTTS'!Z181=0," ",'G MTTS'!Z181*$A$3)</f>
        <v>20</v>
      </c>
      <c r="K182" s="43">
        <f>'G MTTS'!AF181</f>
        <v>40000</v>
      </c>
      <c r="L182" s="43">
        <f>'G MTTS'!X181</f>
        <v>0</v>
      </c>
      <c r="M182" s="43">
        <f>'G MTTS'!AA181</f>
        <v>160000</v>
      </c>
      <c r="N182" s="44">
        <f>'G MTTS'!AG181</f>
        <v>7</v>
      </c>
      <c r="O182" s="44">
        <f>'G MTTS'!AH181</f>
        <v>7</v>
      </c>
      <c r="P182" s="44">
        <f>'G MTTS'!AI181</f>
        <v>7</v>
      </c>
      <c r="Q182" s="45">
        <f>'G MTTS'!AJ181</f>
        <v>13</v>
      </c>
      <c r="R182" s="46">
        <f t="shared" si="12"/>
        <v>0.983344907407407</v>
      </c>
      <c r="S182" s="47" t="str">
        <f t="shared" si="14"/>
        <v>MICRO</v>
      </c>
    </row>
    <row r="183" ht="29.25" customHeight="1" outlineLevel="1" spans="1:19">
      <c r="B183" s="36">
        <f>'G MTTS'!B182</f>
        <v>0.916678240740741</v>
      </c>
      <c r="C183" s="48" t="str">
        <f>'G MTTS'!J182</f>
        <v>#AS 10K OmaX Turbo</v>
      </c>
      <c r="D183" s="49" t="str">
        <f>'G MTTS'!M182</f>
        <v>Side Event</v>
      </c>
      <c r="E183" s="50" t="str">
        <f>'G MTTS'!N182</f>
        <v>PLO5</v>
      </c>
      <c r="F183" s="51" t="str">
        <f>'G MTTS'!O182</f>
        <v>Progressive KO 1/2</v>
      </c>
      <c r="G183" s="52">
        <f>IF('G MTTS'!Q182=0," ",'G MTTS'!Q182*$A$3)</f>
        <v>10000</v>
      </c>
      <c r="H183" s="53">
        <f>IF('G MTTS'!V182=0," ",'G MTTS'!V182*$A$3)</f>
        <v>55</v>
      </c>
      <c r="I183" s="53">
        <f>IF('G MTTS'!W182=0," ",'G MTTS'!W182*$A$3)</f>
        <v>55</v>
      </c>
      <c r="J183" s="53" t="str">
        <f>IF('G MTTS'!Z182=0," ",'G MTTS'!Z182*$A$3)</f>
        <v> </v>
      </c>
      <c r="K183" s="54">
        <f>'G MTTS'!AF182</f>
        <v>60000</v>
      </c>
      <c r="L183" s="54">
        <f>'G MTTS'!X182</f>
        <v>0</v>
      </c>
      <c r="M183" s="54" t="str">
        <f>'G MTTS'!AA182</f>
        <v>REENTRY</v>
      </c>
      <c r="N183" s="55">
        <f>'G MTTS'!AG182</f>
        <v>7</v>
      </c>
      <c r="O183" s="55">
        <f>'G MTTS'!AH182</f>
        <v>6</v>
      </c>
      <c r="P183" s="55">
        <f>'G MTTS'!AI182</f>
        <v>6</v>
      </c>
      <c r="Q183" s="56">
        <f>'G MTTS'!AJ182</f>
        <v>14</v>
      </c>
      <c r="R183" s="46">
        <f t="shared" si="12"/>
        <v>0.988206018518519</v>
      </c>
      <c r="S183" s="47" t="str">
        <f t="shared" si="14"/>
        <v>LOW</v>
      </c>
    </row>
    <row r="184" ht="29.25" customHeight="1" outlineLevel="1" spans="1:19">
      <c r="A184" s="60" t="s">
        <v>516</v>
      </c>
      <c r="B184" s="36">
        <f>'G MTTS'!B183</f>
        <v>0.927094907407407</v>
      </c>
      <c r="C184" s="37" t="str">
        <f>'G MTTS'!J183</f>
        <v>Sit&amp;go 200p max.</v>
      </c>
      <c r="D184" s="38" t="str">
        <f>'G MTTS'!M183</f>
        <v>Side Event</v>
      </c>
      <c r="E184" s="39" t="str">
        <f>'G MTTS'!N183</f>
        <v>NLH</v>
      </c>
      <c r="F184" s="40" t="str">
        <f>'G MTTS'!O183</f>
        <v>OFF</v>
      </c>
      <c r="G184" s="41">
        <f>IF('G MTTS'!Q183=0," ",'G MTTS'!Q183*$A$3)</f>
        <v>250</v>
      </c>
      <c r="H184" s="42">
        <f>IF('G MTTS'!V183=0," ",'G MTTS'!V183*$A$3)</f>
        <v>3</v>
      </c>
      <c r="I184" s="42">
        <f>IF('G MTTS'!W183=0," ",'G MTTS'!W183*$A$3)</f>
        <v>3</v>
      </c>
      <c r="J184" s="42">
        <f>IF('G MTTS'!Z183=0," ",'G MTTS'!Z183*$A$3)</f>
        <v>3</v>
      </c>
      <c r="K184" s="43">
        <f>'G MTTS'!AF183</f>
        <v>20000</v>
      </c>
      <c r="L184" s="43">
        <f>'G MTTS'!X183</f>
        <v>0</v>
      </c>
      <c r="M184" s="43">
        <f>'G MTTS'!AA183</f>
        <v>30000</v>
      </c>
      <c r="N184" s="44">
        <f>'G MTTS'!AG183</f>
        <v>5</v>
      </c>
      <c r="O184" s="44">
        <f>'G MTTS'!AH183</f>
        <v>5</v>
      </c>
      <c r="P184" s="44">
        <f>'G MTTS'!AI183</f>
        <v>5</v>
      </c>
      <c r="Q184" s="45">
        <f>'G MTTS'!AJ183</f>
        <v>15</v>
      </c>
      <c r="R184" s="46">
        <f t="shared" si="12"/>
        <v>0.982650462962963</v>
      </c>
      <c r="S184" s="47" t="str">
        <f t="shared" si="14"/>
        <v>MICRO</v>
      </c>
    </row>
    <row r="185" ht="29.25" customHeight="1" outlineLevel="1" spans="1:19">
      <c r="B185" s="36">
        <f>'G MTTS'!B184</f>
        <v>0.937511574074074</v>
      </c>
      <c r="C185" s="48" t="str">
        <f>'G MTTS'!J184</f>
        <v>#AS 20K OmaX Night</v>
      </c>
      <c r="D185" s="49" t="str">
        <f>'G MTTS'!M184</f>
        <v>Side Event</v>
      </c>
      <c r="E185" s="50" t="str">
        <f>'G MTTS'!N184</f>
        <v>PLO5</v>
      </c>
      <c r="F185" s="51" t="str">
        <f>'G MTTS'!O184</f>
        <v>Progressive KO 1/2</v>
      </c>
      <c r="G185" s="52">
        <f>IF('G MTTS'!Q184=0," ",'G MTTS'!Q184*$A$3)</f>
        <v>20000</v>
      </c>
      <c r="H185" s="53">
        <f>IF('G MTTS'!V184=0," ",'G MTTS'!V184*$A$3)</f>
        <v>200</v>
      </c>
      <c r="I185" s="53">
        <f>IF('G MTTS'!W184=0," ",'G MTTS'!W184*$A$3)</f>
        <v>200</v>
      </c>
      <c r="J185" s="53" t="str">
        <f>IF('G MTTS'!Z184=0," ",'G MTTS'!Z184*$A$3)</f>
        <v> </v>
      </c>
      <c r="K185" s="54">
        <f>'G MTTS'!AF184</f>
        <v>60000</v>
      </c>
      <c r="L185" s="54">
        <f>'G MTTS'!X184</f>
        <v>0</v>
      </c>
      <c r="M185" s="54" t="str">
        <f>'G MTTS'!AA184</f>
        <v>REENTRY</v>
      </c>
      <c r="N185" s="55">
        <f>'G MTTS'!AG184</f>
        <v>8</v>
      </c>
      <c r="O185" s="55">
        <f>'G MTTS'!AH184</f>
        <v>7</v>
      </c>
      <c r="P185" s="55">
        <f>'G MTTS'!AI184</f>
        <v>7</v>
      </c>
      <c r="Q185" s="56">
        <f>'G MTTS'!AJ184</f>
        <v>14</v>
      </c>
      <c r="R185" s="46">
        <f t="shared" si="12"/>
        <v>1.01876157407407</v>
      </c>
      <c r="S185" s="47" t="str">
        <f t="shared" si="14"/>
        <v>MEDIUM</v>
      </c>
    </row>
    <row r="186" ht="29.25" customHeight="1" outlineLevel="1" spans="1:19">
      <c r="B186" s="36">
        <f>'G MTTS'!B185</f>
        <v>0.958344907407407</v>
      </c>
      <c r="C186" s="37" t="str">
        <f>'G MTTS'!J185</f>
        <v>#AS 1.2K Battle</v>
      </c>
      <c r="D186" s="38" t="str">
        <f>'G MTTS'!M185</f>
        <v>Side Event</v>
      </c>
      <c r="E186" s="39" t="str">
        <f>'G MTTS'!N185</f>
        <v>NLH</v>
      </c>
      <c r="F186" s="40" t="str">
        <f>'G MTTS'!O185</f>
        <v>Regular KO 1/2</v>
      </c>
      <c r="G186" s="41">
        <f>IF('G MTTS'!Q185=0," ",'G MTTS'!Q185*$A$3)</f>
        <v>1200</v>
      </c>
      <c r="H186" s="42">
        <f>IF('G MTTS'!V185=0," ",'G MTTS'!V185*$A$3)</f>
        <v>20</v>
      </c>
      <c r="I186" s="42">
        <f>IF('G MTTS'!W185=0," ",'G MTTS'!W185*$A$3)</f>
        <v>20</v>
      </c>
      <c r="J186" s="42" t="str">
        <f>IF('G MTTS'!Z185=0," ",'G MTTS'!Z185*$A$3)</f>
        <v> </v>
      </c>
      <c r="K186" s="43">
        <f>'G MTTS'!AF185</f>
        <v>30000</v>
      </c>
      <c r="L186" s="43">
        <f>'G MTTS'!X185</f>
        <v>0</v>
      </c>
      <c r="M186" s="43" t="str">
        <f>'G MTTS'!AA185</f>
        <v>REENTRY</v>
      </c>
      <c r="N186" s="44">
        <f>'G MTTS'!AG185</f>
        <v>7</v>
      </c>
      <c r="O186" s="44">
        <f>'G MTTS'!AH185</f>
        <v>6</v>
      </c>
      <c r="P186" s="44">
        <f>'G MTTS'!AI185</f>
        <v>6</v>
      </c>
      <c r="Q186" s="45">
        <f>'G MTTS'!AJ185</f>
        <v>13</v>
      </c>
      <c r="R186" s="46">
        <f t="shared" si="12"/>
        <v>1.02501157407407</v>
      </c>
      <c r="S186" s="47" t="str">
        <f t="shared" si="14"/>
        <v>MICRO</v>
      </c>
    </row>
    <row r="187" ht="29.25" customHeight="1" outlineLevel="1" spans="1:19">
      <c r="A187" s="132" t="s">
        <v>516</v>
      </c>
      <c r="B187" s="36">
        <f>'G MTTS'!B186</f>
        <v>0.958344907407407</v>
      </c>
      <c r="C187" s="48" t="str">
        <f>'G MTTS'!J186</f>
        <v>#AS 4K Plus</v>
      </c>
      <c r="D187" s="49" t="str">
        <f>'G MTTS'!M186</f>
        <v>Side Event</v>
      </c>
      <c r="E187" s="50" t="str">
        <f>'G MTTS'!N186</f>
        <v>NLH</v>
      </c>
      <c r="F187" s="51" t="str">
        <f>'G MTTS'!O186</f>
        <v>OFF</v>
      </c>
      <c r="G187" s="52">
        <f>IF('G MTTS'!Q186=0," ",'G MTTS'!Q186*$A$3)</f>
        <v>4000</v>
      </c>
      <c r="H187" s="53">
        <f>IF('G MTTS'!V186=0," ",'G MTTS'!V186*$A$3)</f>
        <v>4</v>
      </c>
      <c r="I187" s="53">
        <f>IF('G MTTS'!W186=0," ",'G MTTS'!W186*$A$3)</f>
        <v>4</v>
      </c>
      <c r="J187" s="53">
        <f>IF('G MTTS'!Z186=0," ",'G MTTS'!Z186*$A$3)</f>
        <v>4</v>
      </c>
      <c r="K187" s="54">
        <f>'G MTTS'!AF186</f>
        <v>20000</v>
      </c>
      <c r="L187" s="54">
        <f>'G MTTS'!X186</f>
        <v>0</v>
      </c>
      <c r="M187" s="54">
        <f>'G MTTS'!AA186</f>
        <v>60000</v>
      </c>
      <c r="N187" s="55">
        <f>'G MTTS'!AG186</f>
        <v>6</v>
      </c>
      <c r="O187" s="55">
        <f>'G MTTS'!AH186</f>
        <v>5</v>
      </c>
      <c r="P187" s="55">
        <f>'G MTTS'!AI186</f>
        <v>5</v>
      </c>
      <c r="Q187" s="56">
        <f>'G MTTS'!AJ186</f>
        <v>12</v>
      </c>
      <c r="R187" s="46">
        <f t="shared" si="12"/>
        <v>1.01181712962963</v>
      </c>
      <c r="S187" s="47" t="str">
        <f t="shared" si="14"/>
        <v>MICRO</v>
      </c>
    </row>
    <row r="188" ht="29.25" customHeight="1" outlineLevel="1" spans="1:19">
      <c r="A188" s="22"/>
      <c r="B188" s="36">
        <f>'G MTTS'!B187</f>
        <v>0.958344907407407</v>
      </c>
      <c r="C188" s="37" t="str">
        <f>'G MTTS'!J187</f>
        <v>400 Plus</v>
      </c>
      <c r="D188" s="38" t="str">
        <f>'G MTTS'!M187</f>
        <v>Side Event</v>
      </c>
      <c r="E188" s="39" t="str">
        <f>'G MTTS'!N187</f>
        <v>NLH</v>
      </c>
      <c r="F188" s="40" t="str">
        <f>'G MTTS'!O187</f>
        <v>OFF</v>
      </c>
      <c r="G188" s="41">
        <f>IF('G MTTS'!Q187=0," ",'G MTTS'!Q187*$A$3)</f>
        <v>400</v>
      </c>
      <c r="H188" s="42">
        <f>IF('G MTTS'!V187=0," ",'G MTTS'!V187*$A$3)</f>
        <v>1</v>
      </c>
      <c r="I188" s="42">
        <f>IF('G MTTS'!W187=0," ",'G MTTS'!W187*$A$3)</f>
        <v>1</v>
      </c>
      <c r="J188" s="42">
        <f>IF('G MTTS'!Z187=0," ",'G MTTS'!Z187*$A$3)</f>
        <v>1</v>
      </c>
      <c r="K188" s="43">
        <f>'G MTTS'!AF187</f>
        <v>20000</v>
      </c>
      <c r="L188" s="43">
        <f>'G MTTS'!X187</f>
        <v>0</v>
      </c>
      <c r="M188" s="43">
        <f>'G MTTS'!AA187</f>
        <v>50000</v>
      </c>
      <c r="N188" s="44">
        <f>'G MTTS'!AG187</f>
        <v>5</v>
      </c>
      <c r="O188" s="44">
        <f>'G MTTS'!AH187</f>
        <v>5</v>
      </c>
      <c r="P188" s="44">
        <f>'G MTTS'!AI187</f>
        <v>5</v>
      </c>
      <c r="Q188" s="45">
        <f>'G MTTS'!AJ187</f>
        <v>12</v>
      </c>
      <c r="R188" s="46">
        <f t="shared" si="12"/>
        <v>1.0034837962963</v>
      </c>
      <c r="S188" s="47" t="str">
        <f t="shared" si="14"/>
        <v>MICRO</v>
      </c>
    </row>
    <row r="189" ht="29.25" customHeight="1" outlineLevel="1" spans="1:19">
      <c r="A189" s="22"/>
      <c r="B189" s="36">
        <f>'G MTTS'!B188</f>
        <v>0.958344907407407</v>
      </c>
      <c r="C189" s="48" t="str">
        <f>'G MTTS'!J188</f>
        <v>#AS 7.5K Bounty Night</v>
      </c>
      <c r="D189" s="49" t="str">
        <f>'G MTTS'!M188</f>
        <v>Side Event</v>
      </c>
      <c r="E189" s="50" t="str">
        <f>'G MTTS'!N188</f>
        <v>NLH</v>
      </c>
      <c r="F189" s="51" t="str">
        <f>'G MTTS'!O188</f>
        <v>Progressive KO 1/2</v>
      </c>
      <c r="G189" s="52">
        <f>IF('G MTTS'!Q188=0," ",'G MTTS'!Q188*$A$3)</f>
        <v>7500</v>
      </c>
      <c r="H189" s="53">
        <f>IF('G MTTS'!V188=0," ",'G MTTS'!V188*$A$3)</f>
        <v>55</v>
      </c>
      <c r="I189" s="53">
        <f>IF('G MTTS'!W188=0," ",'G MTTS'!W188*$A$3)</f>
        <v>55</v>
      </c>
      <c r="J189" s="53" t="str">
        <f>IF('G MTTS'!Z188=0," ",'G MTTS'!Z188*$A$3)</f>
        <v> </v>
      </c>
      <c r="K189" s="54">
        <f>'G MTTS'!AF188</f>
        <v>50000</v>
      </c>
      <c r="L189" s="54">
        <f>'G MTTS'!X188</f>
        <v>0</v>
      </c>
      <c r="M189" s="54" t="str">
        <f>'G MTTS'!AA188</f>
        <v>REENTRY</v>
      </c>
      <c r="N189" s="55">
        <f>'G MTTS'!AG188</f>
        <v>6</v>
      </c>
      <c r="O189" s="55">
        <f>'G MTTS'!AH188</f>
        <v>6</v>
      </c>
      <c r="P189" s="55">
        <f>'G MTTS'!AI188</f>
        <v>6</v>
      </c>
      <c r="Q189" s="56">
        <f>'G MTTS'!AJ188</f>
        <v>13</v>
      </c>
      <c r="R189" s="46">
        <f t="shared" si="12"/>
        <v>1.0159837962963</v>
      </c>
      <c r="S189" s="47" t="str">
        <f t="shared" si="14"/>
        <v>LOW</v>
      </c>
    </row>
    <row r="190" ht="29.25" customHeight="1" outlineLevel="1" spans="1:19">
      <c r="A190" s="60" t="s">
        <v>516</v>
      </c>
      <c r="B190" s="36">
        <f>'G MTTS'!B189</f>
        <v>0.965289351851852</v>
      </c>
      <c r="C190" s="37" t="str">
        <f>'G MTTS'!J189</f>
        <v>400 Omax</v>
      </c>
      <c r="D190" s="38" t="str">
        <f>'G MTTS'!M189</f>
        <v>Side Event</v>
      </c>
      <c r="E190" s="39" t="str">
        <f>'G MTTS'!N189</f>
        <v>PLO4</v>
      </c>
      <c r="F190" s="40" t="str">
        <f>'G MTTS'!O189</f>
        <v>OFF</v>
      </c>
      <c r="G190" s="41">
        <f>IF('G MTTS'!Q189=0," ",'G MTTS'!Q189*$A$3)</f>
        <v>400</v>
      </c>
      <c r="H190" s="42">
        <f>IF('G MTTS'!V189=0," ",'G MTTS'!V189*$A$3)</f>
        <v>3</v>
      </c>
      <c r="I190" s="42">
        <f>IF('G MTTS'!W189=0," ",'G MTTS'!W189*$A$3)</f>
        <v>3</v>
      </c>
      <c r="J190" s="42">
        <f>IF('G MTTS'!Z189=0," ",'G MTTS'!Z189*$A$3)</f>
        <v>3</v>
      </c>
      <c r="K190" s="43">
        <f>'G MTTS'!AF189</f>
        <v>40000</v>
      </c>
      <c r="L190" s="43">
        <f>'G MTTS'!X189</f>
        <v>0</v>
      </c>
      <c r="M190" s="43">
        <f>'G MTTS'!AA189</f>
        <v>100000</v>
      </c>
      <c r="N190" s="44">
        <f>'G MTTS'!AG189</f>
        <v>6</v>
      </c>
      <c r="O190" s="44">
        <f>'G MTTS'!AH189</f>
        <v>5</v>
      </c>
      <c r="P190" s="44">
        <f>'G MTTS'!AI189</f>
        <v>5</v>
      </c>
      <c r="Q190" s="45">
        <f>'G MTTS'!AJ189</f>
        <v>12</v>
      </c>
      <c r="R190" s="46">
        <f t="shared" si="12"/>
        <v>1.01876157407407</v>
      </c>
      <c r="S190" s="47" t="str">
        <f t="shared" si="14"/>
        <v>MICRO</v>
      </c>
    </row>
    <row r="191" ht="29.25" customHeight="1" outlineLevel="1" spans="1:19">
      <c r="B191" s="36">
        <f>'G MTTS'!B190</f>
        <v>0.979178240740741</v>
      </c>
      <c r="C191" s="48" t="str">
        <f>'G MTTS'!J190</f>
        <v>#AS 1.2K Mystery</v>
      </c>
      <c r="D191" s="49" t="str">
        <f>'G MTTS'!M190</f>
        <v>Side Event</v>
      </c>
      <c r="E191" s="50" t="str">
        <f>'G MTTS'!N190</f>
        <v>NLH</v>
      </c>
      <c r="F191" s="51" t="str">
        <f>'G MTTS'!O190</f>
        <v>Mystery Bounty 1/3</v>
      </c>
      <c r="G191" s="52">
        <f>IF('G MTTS'!Q190=0," ",'G MTTS'!Q190*$A$3)</f>
        <v>1200</v>
      </c>
      <c r="H191" s="53">
        <f>IF('G MTTS'!V190=0," ",'G MTTS'!V190*$A$3)</f>
        <v>10</v>
      </c>
      <c r="I191" s="53">
        <f>IF('G MTTS'!W190=0," ",'G MTTS'!W190*$A$3)</f>
        <v>10</v>
      </c>
      <c r="J191" s="53" t="str">
        <f>IF('G MTTS'!Z190=0," ",'G MTTS'!Z190*$A$3)</f>
        <v> </v>
      </c>
      <c r="K191" s="54">
        <f>'G MTTS'!AF190</f>
        <v>30000</v>
      </c>
      <c r="L191" s="54">
        <f>'G MTTS'!X190</f>
        <v>0</v>
      </c>
      <c r="M191" s="54" t="str">
        <f>'G MTTS'!AA190</f>
        <v>REENTRY</v>
      </c>
      <c r="N191" s="55">
        <f>'G MTTS'!AG190</f>
        <v>5</v>
      </c>
      <c r="O191" s="55">
        <f>'G MTTS'!AH190</f>
        <v>5</v>
      </c>
      <c r="P191" s="55">
        <f>'G MTTS'!AI190</f>
        <v>5</v>
      </c>
      <c r="Q191" s="56">
        <f>'G MTTS'!AJ190</f>
        <v>13</v>
      </c>
      <c r="R191" s="46">
        <f t="shared" si="12"/>
        <v>1.02778935185185</v>
      </c>
      <c r="S191" s="47" t="str">
        <f t="shared" si="14"/>
        <v>MICRO</v>
      </c>
    </row>
    <row r="192" ht="29.25" customHeight="1" outlineLevel="1" spans="1:19">
      <c r="B192" s="36">
        <f>'G MTTS'!B191</f>
        <v>0.979178240740741</v>
      </c>
      <c r="C192" s="37" t="str">
        <f>'G MTTS'!J191</f>
        <v>#AS 15K Sonic+SPS</v>
      </c>
      <c r="D192" s="38" t="str">
        <f>'G MTTS'!M191</f>
        <v>Side Event</v>
      </c>
      <c r="E192" s="39" t="str">
        <f>'G MTTS'!N191</f>
        <v>NLH</v>
      </c>
      <c r="F192" s="40" t="str">
        <f>'G MTTS'!O191</f>
        <v>OFF</v>
      </c>
      <c r="G192" s="41">
        <f>IF('G MTTS'!Q191=0," ",'G MTTS'!Q191*$A$3)</f>
        <v>16000</v>
      </c>
      <c r="H192" s="42">
        <f>IF('G MTTS'!V191=0," ",'G MTTS'!V191*$A$3)</f>
        <v>150</v>
      </c>
      <c r="I192" s="42">
        <f>IF('G MTTS'!W191=0," ",'G MTTS'!W191*$A$3)</f>
        <v>150</v>
      </c>
      <c r="J192" s="42" t="str">
        <f>IF('G MTTS'!Z191=0," ",'G MTTS'!Z191*$A$3)</f>
        <v> </v>
      </c>
      <c r="K192" s="43">
        <f>'G MTTS'!AF191</f>
        <v>50000</v>
      </c>
      <c r="L192" s="43">
        <f>'G MTTS'!X191</f>
        <v>0</v>
      </c>
      <c r="M192" s="43" t="str">
        <f>'G MTTS'!AA191</f>
        <v>REENTRY</v>
      </c>
      <c r="N192" s="44">
        <f>'G MTTS'!AG191</f>
        <v>5</v>
      </c>
      <c r="O192" s="44">
        <f>'G MTTS'!AH191</f>
        <v>5</v>
      </c>
      <c r="P192" s="44">
        <f>'G MTTS'!AI191</f>
        <v>5</v>
      </c>
      <c r="Q192" s="45">
        <f>'G MTTS'!AJ191</f>
        <v>13</v>
      </c>
      <c r="R192" s="46">
        <f t="shared" si="12"/>
        <v>1.02778935185185</v>
      </c>
      <c r="S192" s="47" t="str">
        <f t="shared" si="14"/>
        <v>MEDIUM</v>
      </c>
    </row>
    <row r="193" ht="29.25" customHeight="1" outlineLevel="1" spans="1:19">
      <c r="A193" s="60"/>
      <c r="B193" s="89"/>
      <c r="C193" s="89"/>
      <c r="D193" s="89"/>
      <c r="E193" s="89"/>
      <c r="F193" s="89"/>
      <c r="G193" s="134"/>
      <c r="H193" s="92"/>
      <c r="I193" s="92"/>
      <c r="J193" s="92"/>
      <c r="K193" s="93"/>
      <c r="L193" s="93"/>
      <c r="M193" s="93"/>
      <c r="N193" s="89"/>
      <c r="O193" s="89"/>
      <c r="P193" s="89"/>
      <c r="Q193" s="89"/>
      <c r="R193" s="46"/>
      <c r="S193" s="47" t="str">
        <f t="shared" si="14"/>
        <v> </v>
      </c>
    </row>
    <row r="194" ht="29.25" customHeight="1" outlineLevel="1" spans="1:19">
      <c r="A194" s="96" t="s">
        <v>193</v>
      </c>
      <c r="B194" s="22"/>
      <c r="C194" s="96" t="s">
        <v>514</v>
      </c>
      <c r="Q194" s="22"/>
      <c r="R194" s="46" t="str">
        <f t="shared" ref="R194:R195" si="15">IF(B194=0," ",TIME(,ROUNDDOWN(N194*Q194/60,0)*5+(N194*Q194),)+B194)</f>
        <v> </v>
      </c>
      <c r="S194" s="47" t="str">
        <f t="shared" si="14"/>
        <v> </v>
      </c>
    </row>
    <row r="195" ht="29.25" customHeight="1" outlineLevel="1" spans="1:19">
      <c r="A195" s="97" t="str">
        <f>'G MTTS'!J193</f>
        <v>#AS Reentry</v>
      </c>
      <c r="B195" s="98">
        <f>'G MTTS'!B193</f>
        <v>0.423622685185185</v>
      </c>
      <c r="C195" s="99" t="str">
        <f>'G MTTS'!L193</f>
        <v>5 Seats Reentry</v>
      </c>
      <c r="D195" s="120" t="str">
        <f>'G MTTS'!M193</f>
        <v>SAT</v>
      </c>
      <c r="E195" s="101" t="str">
        <f>'G MTTS'!N193</f>
        <v>NLH</v>
      </c>
      <c r="F195" s="102" t="str">
        <f>'G MTTS'!O193</f>
        <v>OFF</v>
      </c>
      <c r="G195" s="103">
        <f>IF('G MTTS'!Q193=0," ",'G MTTS'!Q193*$A$3)</f>
        <v>375</v>
      </c>
      <c r="H195" s="104">
        <f>IF('G MTTS'!V193=0," ",'G MTTS'!V193*A$3)</f>
        <v>4</v>
      </c>
      <c r="I195" s="104">
        <f>IF('G MTTS'!W193=0," ",'G MTTS'!W193*$A$3)</f>
        <v>4</v>
      </c>
      <c r="J195" s="104">
        <f>IF('G MTTS'!Z193=0," ",'G MTTS'!Z193*$A$3)</f>
        <v>4</v>
      </c>
      <c r="K195" s="105">
        <f>'G MTTS'!AF193</f>
        <v>10000</v>
      </c>
      <c r="L195" s="105">
        <f>'G MTTS'!X193</f>
        <v>0</v>
      </c>
      <c r="M195" s="105">
        <f>'G MTTS'!AA193</f>
        <v>20000</v>
      </c>
      <c r="N195" s="106">
        <f>'G MTTS'!AG193</f>
        <v>4</v>
      </c>
      <c r="O195" s="106">
        <f>'G MTTS'!AH193</f>
        <v>4</v>
      </c>
      <c r="P195" s="106">
        <f>'G MTTS'!AI193</f>
        <v>4</v>
      </c>
      <c r="Q195" s="107">
        <f>'G MTTS'!AJ193</f>
        <v>8</v>
      </c>
      <c r="R195" s="46">
        <f t="shared" si="15"/>
        <v>0.445844907407407</v>
      </c>
      <c r="S195" s="47" t="str">
        <f t="shared" si="14"/>
        <v>MICRO</v>
      </c>
    </row>
    <row r="196" ht="29.25" customHeight="1" outlineLevel="1" spans="1:19">
      <c r="A196" s="135"/>
      <c r="B196" s="109"/>
      <c r="C196" s="110"/>
      <c r="D196" s="111"/>
      <c r="E196" s="112"/>
      <c r="F196" s="113"/>
      <c r="G196" s="114"/>
      <c r="H196" s="115"/>
      <c r="I196" s="115"/>
      <c r="J196" s="115"/>
      <c r="K196" s="116"/>
      <c r="L196" s="116"/>
      <c r="M196" s="116"/>
      <c r="N196" s="117"/>
      <c r="O196" s="117"/>
      <c r="P196" s="117"/>
      <c r="Q196" s="118"/>
      <c r="R196" s="46"/>
      <c r="S196" s="47"/>
    </row>
    <row r="197" ht="29.25" customHeight="1" outlineLevel="1" spans="1:19">
      <c r="A197" s="119" t="str">
        <f>'G MTTS'!J195</f>
        <v>#AS OmaX PKO</v>
      </c>
      <c r="B197" s="98">
        <f>'G MTTS'!B195</f>
        <v>0.437511574074074</v>
      </c>
      <c r="C197" s="99" t="str">
        <f>'G MTTS'!L195</f>
        <v>5 Seats OmaX PKO</v>
      </c>
      <c r="D197" s="120" t="str">
        <f>'G MTTS'!M195</f>
        <v>SAT</v>
      </c>
      <c r="E197" s="101" t="str">
        <f>'G MTTS'!N195</f>
        <v>PLO5</v>
      </c>
      <c r="F197" s="102" t="str">
        <f>'G MTTS'!O195</f>
        <v>OFF</v>
      </c>
      <c r="G197" s="103">
        <f>IF('G MTTS'!Q195=0," ",'G MTTS'!Q195*$A$3)</f>
        <v>300</v>
      </c>
      <c r="H197" s="104">
        <f>IF('G MTTS'!V195=0," ",'G MTTS'!V195*A$3)</f>
        <v>3</v>
      </c>
      <c r="I197" s="104">
        <f>IF('G MTTS'!W195=0," ",'G MTTS'!W195*$A$3)</f>
        <v>3</v>
      </c>
      <c r="J197" s="104">
        <f>IF('G MTTS'!Z195=0," ",'G MTTS'!Z195*$A$3)</f>
        <v>4</v>
      </c>
      <c r="K197" s="105">
        <f>'G MTTS'!AF195</f>
        <v>10000</v>
      </c>
      <c r="L197" s="105">
        <f>'G MTTS'!X195</f>
        <v>0</v>
      </c>
      <c r="M197" s="105">
        <f>'G MTTS'!AA195</f>
        <v>20000</v>
      </c>
      <c r="N197" s="106">
        <f>'G MTTS'!AG195</f>
        <v>4</v>
      </c>
      <c r="O197" s="106">
        <f>'G MTTS'!AH195</f>
        <v>4</v>
      </c>
      <c r="P197" s="106">
        <f>'G MTTS'!AI195</f>
        <v>4</v>
      </c>
      <c r="Q197" s="107">
        <f>'G MTTS'!AJ195</f>
        <v>9</v>
      </c>
      <c r="R197" s="46">
        <f t="shared" ref="R197:R206" si="16">IF(B197=0," ",TIME(,ROUNDDOWN(N197*Q197/60,0)*5+(N197*Q197),)+B197)</f>
        <v>0.462511574074074</v>
      </c>
      <c r="S197" s="47" t="str">
        <f t="shared" ref="S197:S206" si="17">IFERROR(IF(H197=0," ",IF(H197&lt;=25,"MICRO",IF(H197&lt;=99,"LOW",IF(H197&lt;=499,"MEDIUM",IF(H197&lt;=2500,"HIGH",IF(H197&gt;2500,"SUPER HIGH",)))))),"")</f>
        <v>MICRO</v>
      </c>
    </row>
    <row r="198" ht="29.25" customHeight="1" outlineLevel="1" spans="1:19">
      <c r="A198" s="135"/>
      <c r="B198" s="109"/>
      <c r="C198" s="110"/>
      <c r="D198" s="111"/>
      <c r="E198" s="112"/>
      <c r="F198" s="113"/>
      <c r="G198" s="114"/>
      <c r="H198" s="115"/>
      <c r="I198" s="115"/>
      <c r="J198" s="115"/>
      <c r="K198" s="116"/>
      <c r="L198" s="116"/>
      <c r="M198" s="116"/>
      <c r="N198" s="117"/>
      <c r="O198" s="117"/>
      <c r="P198" s="117"/>
      <c r="Q198" s="118"/>
      <c r="R198" s="46" t="str">
        <f t="shared" si="16"/>
        <v> </v>
      </c>
      <c r="S198" s="47" t="str">
        <f t="shared" si="17"/>
        <v> </v>
      </c>
    </row>
    <row r="199" ht="29.25" customHeight="1" outlineLevel="1" spans="1:19">
      <c r="A199" s="121" t="str">
        <f>'G MTTS'!J197</f>
        <v>#AS WarmUp</v>
      </c>
      <c r="B199" s="122">
        <f>'G MTTS'!B197</f>
        <v>0.437511574074074</v>
      </c>
      <c r="C199" s="123" t="str">
        <f>'G MTTS'!L197</f>
        <v>8 Seats WarmUp</v>
      </c>
      <c r="D199" s="120" t="str">
        <f>'G MTTS'!M197</f>
        <v>SAT</v>
      </c>
      <c r="E199" s="101" t="str">
        <f>'G MTTS'!N197</f>
        <v>NLH</v>
      </c>
      <c r="F199" s="102" t="str">
        <f>'G MTTS'!O197</f>
        <v>OFF</v>
      </c>
      <c r="G199" s="103">
        <f>IF('G MTTS'!Q197=0," ",'G MTTS'!Q197*$A$3)</f>
        <v>880</v>
      </c>
      <c r="H199" s="104">
        <f>IF('G MTTS'!V197=0," ",'G MTTS'!V197*A$3)</f>
        <v>6</v>
      </c>
      <c r="I199" s="104">
        <f>IF('G MTTS'!W197=0," ",'G MTTS'!W197*$A$3)</f>
        <v>6</v>
      </c>
      <c r="J199" s="104">
        <f>IF('G MTTS'!Z197=0," ",'G MTTS'!Z197*$A$3)</f>
        <v>6</v>
      </c>
      <c r="K199" s="105">
        <f>'G MTTS'!AF197</f>
        <v>10000</v>
      </c>
      <c r="L199" s="105">
        <f>'G MTTS'!X197</f>
        <v>0</v>
      </c>
      <c r="M199" s="105">
        <f>'G MTTS'!AA197</f>
        <v>20000</v>
      </c>
      <c r="N199" s="106">
        <f>'G MTTS'!AG197</f>
        <v>5</v>
      </c>
      <c r="O199" s="106">
        <f>'G MTTS'!AH197</f>
        <v>5</v>
      </c>
      <c r="P199" s="106">
        <f>'G MTTS'!AI197</f>
        <v>5</v>
      </c>
      <c r="Q199" s="107">
        <f>'G MTTS'!AJ197</f>
        <v>9</v>
      </c>
      <c r="R199" s="46">
        <f t="shared" si="16"/>
        <v>0.468761574074074</v>
      </c>
      <c r="S199" s="47" t="str">
        <f t="shared" si="17"/>
        <v>MICRO</v>
      </c>
    </row>
    <row r="200" ht="29.25" customHeight="1" outlineLevel="1" spans="1:19">
      <c r="A200" s="124"/>
      <c r="B200" s="125">
        <f>'G MTTS'!B198</f>
        <v>0.479178240740741</v>
      </c>
      <c r="C200" s="126" t="str">
        <f>'G MTTS'!L198</f>
        <v>7 Seats WarmUp</v>
      </c>
      <c r="D200" s="120" t="str">
        <f>'G MTTS'!M198</f>
        <v>SAT</v>
      </c>
      <c r="E200" s="101" t="str">
        <f>'G MTTS'!N198</f>
        <v>NLH</v>
      </c>
      <c r="F200" s="102" t="str">
        <f>'G MTTS'!O198</f>
        <v>OFF</v>
      </c>
      <c r="G200" s="103">
        <f>IF('G MTTS'!Q198=0," ",'G MTTS'!Q198*$A$3)</f>
        <v>770</v>
      </c>
      <c r="H200" s="104">
        <f>IF('G MTTS'!V198=0," ",'G MTTS'!V198*A$3)</f>
        <v>6</v>
      </c>
      <c r="I200" s="104">
        <f>IF('G MTTS'!W198=0," ",'G MTTS'!W198*$A$3)</f>
        <v>6</v>
      </c>
      <c r="J200" s="104">
        <f>IF('G MTTS'!Z198=0," ",'G MTTS'!Z198*$A$3)</f>
        <v>6</v>
      </c>
      <c r="K200" s="105">
        <f>'G MTTS'!AF198</f>
        <v>10000</v>
      </c>
      <c r="L200" s="105">
        <f>'G MTTS'!X198</f>
        <v>0</v>
      </c>
      <c r="M200" s="105">
        <f>'G MTTS'!AA198</f>
        <v>20000</v>
      </c>
      <c r="N200" s="106">
        <f>'G MTTS'!AG198</f>
        <v>4</v>
      </c>
      <c r="O200" s="106">
        <f>'G MTTS'!AH198</f>
        <v>4</v>
      </c>
      <c r="P200" s="106">
        <f>'G MTTS'!AI198</f>
        <v>4</v>
      </c>
      <c r="Q200" s="107">
        <f>'G MTTS'!AJ198</f>
        <v>9</v>
      </c>
      <c r="R200" s="46">
        <f t="shared" si="16"/>
        <v>0.504178240740741</v>
      </c>
      <c r="S200" s="47" t="str">
        <f t="shared" si="17"/>
        <v>MICRO</v>
      </c>
    </row>
    <row r="201" ht="29.25" customHeight="1" outlineLevel="1" spans="1:19">
      <c r="A201" s="135"/>
      <c r="B201" s="109"/>
      <c r="C201" s="110"/>
      <c r="D201" s="111"/>
      <c r="E201" s="112"/>
      <c r="F201" s="113"/>
      <c r="G201" s="114"/>
      <c r="H201" s="115"/>
      <c r="I201" s="115"/>
      <c r="J201" s="115"/>
      <c r="K201" s="116"/>
      <c r="L201" s="116"/>
      <c r="M201" s="116"/>
      <c r="N201" s="117"/>
      <c r="O201" s="117"/>
      <c r="P201" s="117"/>
      <c r="Q201" s="118"/>
      <c r="R201" s="46" t="str">
        <f t="shared" si="16"/>
        <v> </v>
      </c>
      <c r="S201" s="47" t="str">
        <f t="shared" si="17"/>
        <v> </v>
      </c>
    </row>
    <row r="202" ht="29.25" customHeight="1" outlineLevel="1" spans="1:19">
      <c r="A202" s="121" t="str">
        <f>'G MTTS'!J200</f>
        <v>#AS Battle HR+SPS</v>
      </c>
      <c r="B202" s="122">
        <f>'G MTTS'!B200</f>
        <v>0.520844907407407</v>
      </c>
      <c r="C202" s="123" t="str">
        <f>'G MTTS'!L200</f>
        <v>5 Seats Battle HR</v>
      </c>
      <c r="D202" s="120" t="str">
        <f>'G MTTS'!M200</f>
        <v>SAT</v>
      </c>
      <c r="E202" s="101" t="str">
        <f>'G MTTS'!N200</f>
        <v>NLH</v>
      </c>
      <c r="F202" s="102" t="str">
        <f>'G MTTS'!O200</f>
        <v>OFF</v>
      </c>
      <c r="G202" s="103">
        <f>IF('G MTTS'!Q200=0," ",'G MTTS'!Q200*$A$3)</f>
        <v>1500</v>
      </c>
      <c r="H202" s="104">
        <f>IF('G MTTS'!V200=0," ",'G MTTS'!V200*A$3)</f>
        <v>16</v>
      </c>
      <c r="I202" s="104">
        <f>IF('G MTTS'!W200=0," ",'G MTTS'!W200*$A$3)</f>
        <v>16</v>
      </c>
      <c r="J202" s="104">
        <f>IF('G MTTS'!Z200=0," ",'G MTTS'!Z200*$A$3)</f>
        <v>16</v>
      </c>
      <c r="K202" s="105">
        <f>'G MTTS'!AF200</f>
        <v>10000</v>
      </c>
      <c r="L202" s="105">
        <f>'G MTTS'!X200</f>
        <v>0</v>
      </c>
      <c r="M202" s="105">
        <f>'G MTTS'!AA200</f>
        <v>20000</v>
      </c>
      <c r="N202" s="106">
        <f>'G MTTS'!AG200</f>
        <v>5</v>
      </c>
      <c r="O202" s="106">
        <f>'G MTTS'!AH200</f>
        <v>5</v>
      </c>
      <c r="P202" s="106">
        <f>'G MTTS'!AI200</f>
        <v>4</v>
      </c>
      <c r="Q202" s="107">
        <f>'G MTTS'!AJ200</f>
        <v>9</v>
      </c>
      <c r="R202" s="46">
        <f t="shared" si="16"/>
        <v>0.552094907407407</v>
      </c>
      <c r="S202" s="47" t="str">
        <f t="shared" si="17"/>
        <v>MICRO</v>
      </c>
    </row>
    <row r="203" ht="29.25" customHeight="1" outlineLevel="1" spans="1:19">
      <c r="A203" s="29"/>
      <c r="B203" s="128">
        <f>'G MTTS'!B201</f>
        <v>0.583344907407407</v>
      </c>
      <c r="C203" s="129" t="str">
        <f>'G MTTS'!L201</f>
        <v>7 Seats Battle HR</v>
      </c>
      <c r="D203" s="120" t="str">
        <f>'G MTTS'!M201</f>
        <v>SAT</v>
      </c>
      <c r="E203" s="101" t="str">
        <f>'G MTTS'!N201</f>
        <v>NLH</v>
      </c>
      <c r="F203" s="102" t="str">
        <f>'G MTTS'!O201</f>
        <v>OFF</v>
      </c>
      <c r="G203" s="103">
        <f>IF('G MTTS'!Q201=0," ",'G MTTS'!Q201*$A$3)</f>
        <v>2100</v>
      </c>
      <c r="H203" s="104">
        <f>IF('G MTTS'!V201=0," ",'G MTTS'!V201*A$3)</f>
        <v>18</v>
      </c>
      <c r="I203" s="104">
        <f>IF('G MTTS'!W201=0," ",'G MTTS'!W201*$A$3)</f>
        <v>18</v>
      </c>
      <c r="J203" s="104">
        <f>IF('G MTTS'!Z201=0," ",'G MTTS'!Z201*$A$3)</f>
        <v>18</v>
      </c>
      <c r="K203" s="105">
        <f>'G MTTS'!AF201</f>
        <v>10000</v>
      </c>
      <c r="L203" s="105">
        <f>'G MTTS'!X201</f>
        <v>0</v>
      </c>
      <c r="M203" s="105">
        <f>'G MTTS'!AA201</f>
        <v>20000</v>
      </c>
      <c r="N203" s="106">
        <f>'G MTTS'!AG201</f>
        <v>5</v>
      </c>
      <c r="O203" s="106">
        <f>'G MTTS'!AH201</f>
        <v>5</v>
      </c>
      <c r="P203" s="106">
        <f>'G MTTS'!AI201</f>
        <v>4</v>
      </c>
      <c r="Q203" s="107">
        <f>'G MTTS'!AJ201</f>
        <v>9</v>
      </c>
      <c r="R203" s="46">
        <f t="shared" si="16"/>
        <v>0.614594907407407</v>
      </c>
      <c r="S203" s="47" t="str">
        <f t="shared" si="17"/>
        <v>MICRO</v>
      </c>
    </row>
    <row r="204" ht="29.25" customHeight="1" outlineLevel="1" spans="1:19">
      <c r="A204" s="29"/>
      <c r="B204" s="128">
        <f>'G MTTS'!B202</f>
        <v>0.625011574074074</v>
      </c>
      <c r="C204" s="129" t="str">
        <f>'G MTTS'!L202</f>
        <v>8 Seats Battle HR</v>
      </c>
      <c r="D204" s="120" t="str">
        <f>'G MTTS'!M202</f>
        <v>SAT</v>
      </c>
      <c r="E204" s="101" t="str">
        <f>'G MTTS'!N202</f>
        <v>NLH</v>
      </c>
      <c r="F204" s="102" t="str">
        <f>'G MTTS'!O202</f>
        <v>OFF</v>
      </c>
      <c r="G204" s="103">
        <f>IF('G MTTS'!Q202=0," ",'G MTTS'!Q202*$A$3)</f>
        <v>2400</v>
      </c>
      <c r="H204" s="104">
        <f>IF('G MTTS'!V202=0," ",'G MTTS'!V202*A$3)</f>
        <v>18</v>
      </c>
      <c r="I204" s="104">
        <f>IF('G MTTS'!W202=0," ",'G MTTS'!W202*$A$3)</f>
        <v>18</v>
      </c>
      <c r="J204" s="104">
        <f>IF('G MTTS'!Z202=0," ",'G MTTS'!Z202*$A$3)</f>
        <v>18</v>
      </c>
      <c r="K204" s="105">
        <f>'G MTTS'!AF202</f>
        <v>10000</v>
      </c>
      <c r="L204" s="105">
        <f>'G MTTS'!X202</f>
        <v>0</v>
      </c>
      <c r="M204" s="105">
        <f>'G MTTS'!AA202</f>
        <v>20000</v>
      </c>
      <c r="N204" s="106">
        <f>'G MTTS'!AG202</f>
        <v>4</v>
      </c>
      <c r="O204" s="106">
        <f>'G MTTS'!AH202</f>
        <v>4</v>
      </c>
      <c r="P204" s="106">
        <f>'G MTTS'!AI202</f>
        <v>4</v>
      </c>
      <c r="Q204" s="107">
        <f>'G MTTS'!AJ202</f>
        <v>9</v>
      </c>
      <c r="R204" s="46">
        <f t="shared" si="16"/>
        <v>0.650011574074074</v>
      </c>
      <c r="S204" s="47" t="str">
        <f t="shared" si="17"/>
        <v>MICRO</v>
      </c>
    </row>
    <row r="205" ht="29.25" customHeight="1" outlineLevel="1" spans="1:19">
      <c r="A205" s="29"/>
      <c r="B205" s="128">
        <f>'G MTTS'!B203</f>
        <v>0.666678240740741</v>
      </c>
      <c r="C205" s="129" t="str">
        <f>'G MTTS'!L203</f>
        <v>10 Seats Battle HR</v>
      </c>
      <c r="D205" s="120" t="str">
        <f>'G MTTS'!M203</f>
        <v>SAT</v>
      </c>
      <c r="E205" s="101" t="str">
        <f>'G MTTS'!N203</f>
        <v>NLH</v>
      </c>
      <c r="F205" s="102" t="str">
        <f>'G MTTS'!O203</f>
        <v>OFF</v>
      </c>
      <c r="G205" s="103">
        <f>IF('G MTTS'!Q203=0," ",'G MTTS'!Q203*$A$3)</f>
        <v>3000</v>
      </c>
      <c r="H205" s="104">
        <f>IF('G MTTS'!V203=0," ",'G MTTS'!V203*A$3)</f>
        <v>20</v>
      </c>
      <c r="I205" s="104">
        <f>IF('G MTTS'!W203=0," ",'G MTTS'!W203*$A$3)</f>
        <v>20</v>
      </c>
      <c r="J205" s="104">
        <f>IF('G MTTS'!Z203=0," ",'G MTTS'!Z203*$A$3)</f>
        <v>20</v>
      </c>
      <c r="K205" s="105">
        <f>'G MTTS'!AF203</f>
        <v>10000</v>
      </c>
      <c r="L205" s="105">
        <f>'G MTTS'!X203</f>
        <v>0</v>
      </c>
      <c r="M205" s="105">
        <f>'G MTTS'!AA203</f>
        <v>20000</v>
      </c>
      <c r="N205" s="106">
        <f>'G MTTS'!AG203</f>
        <v>4</v>
      </c>
      <c r="O205" s="106">
        <f>'G MTTS'!AH203</f>
        <v>4</v>
      </c>
      <c r="P205" s="106">
        <f>'G MTTS'!AI203</f>
        <v>4</v>
      </c>
      <c r="Q205" s="107">
        <f>'G MTTS'!AJ203</f>
        <v>9</v>
      </c>
      <c r="R205" s="46">
        <f t="shared" si="16"/>
        <v>0.691678240740741</v>
      </c>
      <c r="S205" s="47" t="str">
        <f t="shared" si="17"/>
        <v>MICRO</v>
      </c>
    </row>
    <row r="206" ht="29.25" customHeight="1" outlineLevel="1" spans="1:19">
      <c r="A206" s="124"/>
      <c r="B206" s="125">
        <f>'G MTTS'!B204</f>
        <v>0.729178240740741</v>
      </c>
      <c r="C206" s="126" t="str">
        <f>'G MTTS'!L204</f>
        <v>15 Seats Battle HR</v>
      </c>
      <c r="D206" s="120" t="str">
        <f>'G MTTS'!M204</f>
        <v>SAT</v>
      </c>
      <c r="E206" s="101" t="str">
        <f>'G MTTS'!N204</f>
        <v>NLH</v>
      </c>
      <c r="F206" s="102" t="str">
        <f>'G MTTS'!O204</f>
        <v>OFF</v>
      </c>
      <c r="G206" s="103">
        <f>IF('G MTTS'!Q204=0," ",'G MTTS'!Q204*$A$3)</f>
        <v>4500</v>
      </c>
      <c r="H206" s="104">
        <f>IF('G MTTS'!V204=0," ",'G MTTS'!V204*A$3)</f>
        <v>20</v>
      </c>
      <c r="I206" s="104">
        <f>IF('G MTTS'!W204=0," ",'G MTTS'!W204*$A$3)</f>
        <v>20</v>
      </c>
      <c r="J206" s="104">
        <f>IF('G MTTS'!Z204=0," ",'G MTTS'!Z204*$A$3)</f>
        <v>20</v>
      </c>
      <c r="K206" s="105">
        <f>'G MTTS'!AF204</f>
        <v>10000</v>
      </c>
      <c r="L206" s="105">
        <f>'G MTTS'!X204</f>
        <v>0</v>
      </c>
      <c r="M206" s="105">
        <f>'G MTTS'!AA204</f>
        <v>20000</v>
      </c>
      <c r="N206" s="106">
        <f>'G MTTS'!AG204</f>
        <v>4</v>
      </c>
      <c r="O206" s="106">
        <f>'G MTTS'!AH204</f>
        <v>4</v>
      </c>
      <c r="P206" s="106">
        <f>'G MTTS'!AI204</f>
        <v>4</v>
      </c>
      <c r="Q206" s="107">
        <f>'G MTTS'!AJ204</f>
        <v>9</v>
      </c>
      <c r="R206" s="46">
        <f t="shared" si="16"/>
        <v>0.754178240740741</v>
      </c>
      <c r="S206" s="47" t="str">
        <f t="shared" si="17"/>
        <v>MICRO</v>
      </c>
    </row>
    <row r="207" ht="29.25" customHeight="1" outlineLevel="1" spans="1:19">
      <c r="A207" s="135"/>
      <c r="B207" s="109"/>
      <c r="C207" s="110"/>
      <c r="D207" s="111"/>
      <c r="E207" s="112"/>
      <c r="F207" s="113"/>
      <c r="G207" s="114"/>
      <c r="H207" s="115"/>
      <c r="I207" s="115"/>
      <c r="J207" s="115"/>
      <c r="K207" s="116"/>
      <c r="L207" s="116"/>
      <c r="M207" s="116"/>
      <c r="N207" s="117"/>
      <c r="O207" s="117"/>
      <c r="P207" s="117"/>
      <c r="Q207" s="118"/>
      <c r="R207" s="46"/>
      <c r="S207" s="47"/>
    </row>
    <row r="208" ht="29.25" customHeight="1" outlineLevel="1" spans="1:19">
      <c r="A208" s="119" t="str">
        <f>'G MTTS'!J206</f>
        <v>#AS OmaX PKO</v>
      </c>
      <c r="B208" s="98">
        <f>'G MTTS'!B206</f>
        <v>0.562511574074074</v>
      </c>
      <c r="C208" s="99" t="str">
        <f>'G MTTS'!L206</f>
        <v>4 Seats OmaX PKO</v>
      </c>
      <c r="D208" s="120" t="str">
        <f>'G MTTS'!M206</f>
        <v>SAT</v>
      </c>
      <c r="E208" s="101" t="str">
        <f>'G MTTS'!N206</f>
        <v>PLO5</v>
      </c>
      <c r="F208" s="102" t="str">
        <f>'G MTTS'!O206</f>
        <v>OFF</v>
      </c>
      <c r="G208" s="103">
        <f>IF('G MTTS'!Q206=0," ",'G MTTS'!Q206*$A$3)</f>
        <v>600</v>
      </c>
      <c r="H208" s="104">
        <f>IF('G MTTS'!V206=0," ",'G MTTS'!V206*A$3)</f>
        <v>8</v>
      </c>
      <c r="I208" s="104">
        <f>IF('G MTTS'!W206=0," ",'G MTTS'!W206*$A$3)</f>
        <v>8</v>
      </c>
      <c r="J208" s="104">
        <f>IF('G MTTS'!Z206=0," ",'G MTTS'!Z206*$A$3)</f>
        <v>8</v>
      </c>
      <c r="K208" s="105">
        <f>'G MTTS'!AF206</f>
        <v>10000</v>
      </c>
      <c r="L208" s="105">
        <f>'G MTTS'!X206</f>
        <v>0</v>
      </c>
      <c r="M208" s="105">
        <f>'G MTTS'!AA206</f>
        <v>20000</v>
      </c>
      <c r="N208" s="106">
        <f>'G MTTS'!AG206</f>
        <v>4</v>
      </c>
      <c r="O208" s="106">
        <f>'G MTTS'!AH206</f>
        <v>4</v>
      </c>
      <c r="P208" s="106">
        <f>'G MTTS'!AI206</f>
        <v>4</v>
      </c>
      <c r="Q208" s="107">
        <f>'G MTTS'!AJ206</f>
        <v>9</v>
      </c>
      <c r="R208" s="46">
        <f>IF(B208=0," ",TIME(,ROUNDDOWN(N208*Q208/60,0)*5+(N208*Q208),)+B208)</f>
        <v>0.587511574074074</v>
      </c>
      <c r="S208" s="47" t="str">
        <f>IFERROR(IF(H208=0," ",IF(H208&lt;=25,"MICRO",IF(H208&lt;=99,"LOW",IF(H208&lt;=499,"MEDIUM",IF(H208&lt;=2500,"HIGH",IF(H208&gt;2500,"SUPER HIGH",)))))),"")</f>
        <v>MICRO</v>
      </c>
    </row>
    <row r="209" ht="29.25" customHeight="1" outlineLevel="1" spans="1:19">
      <c r="A209" s="135"/>
      <c r="B209" s="109"/>
      <c r="C209" s="110"/>
      <c r="D209" s="111"/>
      <c r="E209" s="112"/>
      <c r="F209" s="113"/>
      <c r="G209" s="114"/>
      <c r="H209" s="115"/>
      <c r="I209" s="115"/>
      <c r="J209" s="115"/>
      <c r="K209" s="116"/>
      <c r="L209" s="116"/>
      <c r="M209" s="116"/>
      <c r="N209" s="117"/>
      <c r="O209" s="117"/>
      <c r="P209" s="117"/>
      <c r="Q209" s="118"/>
      <c r="R209" s="46"/>
      <c r="S209" s="47"/>
    </row>
    <row r="210" ht="29.25" customHeight="1" outlineLevel="1" spans="1:19">
      <c r="A210" s="119" t="str">
        <f>'G MTTS'!J208</f>
        <v>#AS Bounty</v>
      </c>
      <c r="B210" s="98">
        <f>'G MTTS'!B208</f>
        <v>0.604178240740741</v>
      </c>
      <c r="C210" s="99" t="str">
        <f>'G MTTS'!L208</f>
        <v>4 Seats Bounty</v>
      </c>
      <c r="D210" s="120" t="str">
        <f>'G MTTS'!M208</f>
        <v>SAT</v>
      </c>
      <c r="E210" s="101" t="str">
        <f>'G MTTS'!N208</f>
        <v>NLH</v>
      </c>
      <c r="F210" s="102" t="str">
        <f>'G MTTS'!O208</f>
        <v>OFF</v>
      </c>
      <c r="G210" s="103">
        <f>IF('G MTTS'!Q208=0," ",'G MTTS'!Q208*$A$3)</f>
        <v>400</v>
      </c>
      <c r="H210" s="104">
        <f>IF('G MTTS'!V208=0," ",'G MTTS'!V208*A$3)</f>
        <v>7</v>
      </c>
      <c r="I210" s="104">
        <f>IF('G MTTS'!W208=0," ",'G MTTS'!W208*$A$3)</f>
        <v>7</v>
      </c>
      <c r="J210" s="104">
        <f>IF('G MTTS'!Z208=0," ",'G MTTS'!Z208*$A$3)</f>
        <v>7</v>
      </c>
      <c r="K210" s="105">
        <f>'G MTTS'!AF208</f>
        <v>10000</v>
      </c>
      <c r="L210" s="105">
        <f>'G MTTS'!X208</f>
        <v>0</v>
      </c>
      <c r="M210" s="105">
        <f>'G MTTS'!AA208</f>
        <v>20000</v>
      </c>
      <c r="N210" s="106">
        <f>'G MTTS'!AG208</f>
        <v>5</v>
      </c>
      <c r="O210" s="106">
        <f>'G MTTS'!AH208</f>
        <v>5</v>
      </c>
      <c r="P210" s="106">
        <f>'G MTTS'!AI208</f>
        <v>4</v>
      </c>
      <c r="Q210" s="107">
        <f>'G MTTS'!AJ208</f>
        <v>9</v>
      </c>
      <c r="R210" s="46">
        <f>IF(B210=0," ",TIME(,ROUNDDOWN(N210*Q210/60,0)*5+(N210*Q210),)+B210)</f>
        <v>0.635428240740741</v>
      </c>
      <c r="S210" s="47" t="str">
        <f>IFERROR(IF(H210=0," ",IF(H210&lt;=25,"MICRO",IF(H210&lt;=99,"LOW",IF(H210&lt;=499,"MEDIUM",IF(H210&lt;=2500,"HIGH",IF(H210&gt;2500,"SUPER HIGH",)))))),"")</f>
        <v>MICRO</v>
      </c>
    </row>
    <row r="211" ht="29.25" customHeight="1" outlineLevel="1" spans="1:19">
      <c r="A211" s="135"/>
      <c r="B211" s="109"/>
      <c r="C211" s="110"/>
      <c r="D211" s="111"/>
      <c r="E211" s="112"/>
      <c r="F211" s="113"/>
      <c r="G211" s="114"/>
      <c r="H211" s="115"/>
      <c r="I211" s="115"/>
      <c r="J211" s="115"/>
      <c r="K211" s="116"/>
      <c r="L211" s="116"/>
      <c r="M211" s="116"/>
      <c r="N211" s="117"/>
      <c r="O211" s="117"/>
      <c r="P211" s="117"/>
      <c r="Q211" s="118"/>
      <c r="R211" s="46"/>
      <c r="S211" s="47"/>
    </row>
    <row r="212" ht="29.25" customHeight="1" outlineLevel="1" spans="1:19">
      <c r="A212" s="119" t="str">
        <f>'G MTTS'!J210</f>
        <v>#AS Big Plus+SPT</v>
      </c>
      <c r="B212" s="98">
        <f>'G MTTS'!B210</f>
        <v>0.666678240740741</v>
      </c>
      <c r="C212" s="99" t="str">
        <f>'G MTTS'!L210</f>
        <v>5 Seats Big Plus</v>
      </c>
      <c r="D212" s="120" t="str">
        <f>'G MTTS'!M210</f>
        <v>SAT</v>
      </c>
      <c r="E212" s="101" t="str">
        <f>'G MTTS'!N210</f>
        <v>NLH</v>
      </c>
      <c r="F212" s="102" t="str">
        <f>'G MTTS'!O210</f>
        <v>OFF</v>
      </c>
      <c r="G212" s="103">
        <f>IF('G MTTS'!Q210=0," ",'G MTTS'!Q210*$A$3)</f>
        <v>750</v>
      </c>
      <c r="H212" s="104">
        <f>IF('G MTTS'!V210=0," ",'G MTTS'!V210*A$3)</f>
        <v>8</v>
      </c>
      <c r="I212" s="104">
        <f>IF('G MTTS'!W210=0," ",'G MTTS'!W210*$A$3)</f>
        <v>8</v>
      </c>
      <c r="J212" s="104">
        <f>IF('G MTTS'!Z210=0," ",'G MTTS'!Z210*$A$3)</f>
        <v>10</v>
      </c>
      <c r="K212" s="105">
        <f>'G MTTS'!AF210</f>
        <v>10000</v>
      </c>
      <c r="L212" s="105">
        <f>'G MTTS'!X210</f>
        <v>0</v>
      </c>
      <c r="M212" s="105">
        <f>'G MTTS'!AA210</f>
        <v>20000</v>
      </c>
      <c r="N212" s="106">
        <f>'G MTTS'!AG210</f>
        <v>5</v>
      </c>
      <c r="O212" s="106">
        <f>'G MTTS'!AH210</f>
        <v>5</v>
      </c>
      <c r="P212" s="106">
        <f>'G MTTS'!AI210</f>
        <v>4</v>
      </c>
      <c r="Q212" s="107">
        <f>'G MTTS'!AJ210</f>
        <v>9</v>
      </c>
      <c r="R212" s="46">
        <f>IF(B212=0," ",TIME(,ROUNDDOWN(N212*Q212/60,0)*5+(N212*Q212),)+B212)</f>
        <v>0.697928240740741</v>
      </c>
      <c r="S212" s="47" t="str">
        <f>IFERROR(IF(H212=0," ",IF(H212&lt;=25,"MICRO",IF(H212&lt;=99,"LOW",IF(H212&lt;=499,"MEDIUM",IF(H212&lt;=2500,"HIGH",IF(H212&gt;2500,"SUPER HIGH",)))))),"")</f>
        <v>MICRO</v>
      </c>
    </row>
    <row r="213" ht="29.25" customHeight="1" outlineLevel="1" spans="1:19">
      <c r="A213" s="135"/>
      <c r="B213" s="109"/>
      <c r="C213" s="110"/>
      <c r="D213" s="111"/>
      <c r="E213" s="112"/>
      <c r="F213" s="113"/>
      <c r="G213" s="114"/>
      <c r="H213" s="115"/>
      <c r="I213" s="115"/>
      <c r="J213" s="115"/>
      <c r="K213" s="116"/>
      <c r="L213" s="116"/>
      <c r="M213" s="116"/>
      <c r="N213" s="117"/>
      <c r="O213" s="117"/>
      <c r="P213" s="117"/>
      <c r="Q213" s="118"/>
      <c r="R213" s="46"/>
      <c r="S213" s="47"/>
    </row>
    <row r="214" ht="29.25" customHeight="1" outlineLevel="1" spans="1:19">
      <c r="A214" s="119" t="str">
        <f>'G MTTS'!J212</f>
        <v>#AS Mystery+SPS</v>
      </c>
      <c r="B214" s="98">
        <f>'G MTTS'!B212</f>
        <v>0.687511574074074</v>
      </c>
      <c r="C214" s="99" t="str">
        <f>'G MTTS'!L212</f>
        <v>8 Seats Mystery</v>
      </c>
      <c r="D214" s="120" t="str">
        <f>'G MTTS'!M212</f>
        <v>SAT</v>
      </c>
      <c r="E214" s="101" t="str">
        <f>'G MTTS'!N212</f>
        <v>NLH</v>
      </c>
      <c r="F214" s="102" t="str">
        <f>'G MTTS'!O212</f>
        <v>OFF</v>
      </c>
      <c r="G214" s="103">
        <f>IF('G MTTS'!Q212=0," ",'G MTTS'!Q212*$A$3)</f>
        <v>600</v>
      </c>
      <c r="H214" s="104">
        <f>IF('G MTTS'!V212=0," ",'G MTTS'!V212*A$3)</f>
        <v>5</v>
      </c>
      <c r="I214" s="104">
        <f>IF('G MTTS'!W212=0," ",'G MTTS'!W212*$A$3)</f>
        <v>5</v>
      </c>
      <c r="J214" s="104">
        <f>IF('G MTTS'!Z212=0," ",'G MTTS'!Z212*$A$3)</f>
        <v>5</v>
      </c>
      <c r="K214" s="105">
        <f>'G MTTS'!AF212</f>
        <v>10000</v>
      </c>
      <c r="L214" s="105">
        <f>'G MTTS'!X212</f>
        <v>0</v>
      </c>
      <c r="M214" s="105">
        <f>'G MTTS'!AA212</f>
        <v>20000</v>
      </c>
      <c r="N214" s="106">
        <f>'G MTTS'!AG212</f>
        <v>4</v>
      </c>
      <c r="O214" s="106">
        <f>'G MTTS'!AH212</f>
        <v>4</v>
      </c>
      <c r="P214" s="106">
        <f>'G MTTS'!AI212</f>
        <v>4</v>
      </c>
      <c r="Q214" s="107">
        <f>'G MTTS'!AJ212</f>
        <v>9</v>
      </c>
      <c r="R214" s="46">
        <f>IF(B214=0," ",TIME(,ROUNDDOWN(N214*Q214/60,0)*5+(N214*Q214),)+B214)</f>
        <v>0.712511574074074</v>
      </c>
      <c r="S214" s="47" t="str">
        <f>IFERROR(IF(H214=0," ",IF(H214&lt;=25,"MICRO",IF(H214&lt;=99,"LOW",IF(H214&lt;=499,"MEDIUM",IF(H214&lt;=2500,"HIGH",IF(H214&gt;2500,"SUPER HIGH",)))))),"")</f>
        <v>MICRO</v>
      </c>
    </row>
    <row r="215" ht="29.25" customHeight="1" outlineLevel="1" spans="1:19">
      <c r="A215" s="135"/>
      <c r="B215" s="109"/>
      <c r="C215" s="110"/>
      <c r="D215" s="111"/>
      <c r="E215" s="112"/>
      <c r="F215" s="113"/>
      <c r="G215" s="114"/>
      <c r="H215" s="115"/>
      <c r="I215" s="115"/>
      <c r="J215" s="115"/>
      <c r="K215" s="116"/>
      <c r="L215" s="116"/>
      <c r="M215" s="116"/>
      <c r="N215" s="117"/>
      <c r="O215" s="117"/>
      <c r="P215" s="117"/>
      <c r="Q215" s="118"/>
      <c r="R215" s="46"/>
      <c r="S215" s="47"/>
    </row>
    <row r="216" ht="29.25" customHeight="1" outlineLevel="1" spans="1:19">
      <c r="A216" s="119" t="str">
        <f>'G MTTS'!J214</f>
        <v>#AS OmaX PKO</v>
      </c>
      <c r="B216" s="98">
        <f>'G MTTS'!B214</f>
        <v>0.708344907407407</v>
      </c>
      <c r="C216" s="99" t="str">
        <f>'G MTTS'!L214</f>
        <v>6 Seats OmaX PKO</v>
      </c>
      <c r="D216" s="120" t="str">
        <f>'G MTTS'!M214</f>
        <v>SAT</v>
      </c>
      <c r="E216" s="101" t="str">
        <f>'G MTTS'!N214</f>
        <v>PLO5</v>
      </c>
      <c r="F216" s="102" t="str">
        <f>'G MTTS'!O214</f>
        <v>OFF</v>
      </c>
      <c r="G216" s="103">
        <f>IF('G MTTS'!Q214=0," ",'G MTTS'!Q214*$A$3)</f>
        <v>450</v>
      </c>
      <c r="H216" s="104">
        <f>IF('G MTTS'!V214=0," ",'G MTTS'!V214*A$3)</f>
        <v>4</v>
      </c>
      <c r="I216" s="104">
        <f>IF('G MTTS'!W214=0," ",'G MTTS'!W214*$A$3)</f>
        <v>4</v>
      </c>
      <c r="J216" s="104">
        <f>IF('G MTTS'!Z214=0," ",'G MTTS'!Z214*$A$3)</f>
        <v>4</v>
      </c>
      <c r="K216" s="105">
        <f>'G MTTS'!AF214</f>
        <v>10000</v>
      </c>
      <c r="L216" s="105">
        <f>'G MTTS'!X214</f>
        <v>0</v>
      </c>
      <c r="M216" s="105">
        <f>'G MTTS'!AA214</f>
        <v>20000</v>
      </c>
      <c r="N216" s="106">
        <f>'G MTTS'!AG214</f>
        <v>4</v>
      </c>
      <c r="O216" s="106">
        <f>'G MTTS'!AH214</f>
        <v>4</v>
      </c>
      <c r="P216" s="106">
        <f>'G MTTS'!AI214</f>
        <v>4</v>
      </c>
      <c r="Q216" s="107">
        <f>'G MTTS'!AJ214</f>
        <v>9</v>
      </c>
      <c r="R216" s="46">
        <f>IF(B216=0," ",TIME(,ROUNDDOWN(N216*Q216/60,0)*5+(N216*Q216),)+B216)</f>
        <v>0.733344907407407</v>
      </c>
      <c r="S216" s="47" t="str">
        <f>IFERROR(IF(H216=0," ",IF(H216&lt;=25,"MICRO",IF(H216&lt;=99,"LOW",IF(H216&lt;=499,"MEDIUM",IF(H216&lt;=2500,"HIGH",IF(H216&gt;2500,"SUPER HIGH",)))))),"")</f>
        <v>MICRO</v>
      </c>
    </row>
    <row r="217" ht="29.25" customHeight="1" outlineLevel="1" spans="1:19">
      <c r="A217" s="135"/>
      <c r="B217" s="109"/>
      <c r="C217" s="110"/>
      <c r="D217" s="111"/>
      <c r="E217" s="112"/>
      <c r="F217" s="113"/>
      <c r="G217" s="114"/>
      <c r="H217" s="115"/>
      <c r="I217" s="115"/>
      <c r="J217" s="115"/>
      <c r="K217" s="116"/>
      <c r="L217" s="116"/>
      <c r="M217" s="116"/>
      <c r="N217" s="117"/>
      <c r="O217" s="117"/>
      <c r="P217" s="117"/>
      <c r="Q217" s="118"/>
      <c r="R217" s="46"/>
      <c r="S217" s="47"/>
    </row>
    <row r="218" ht="29.25" customHeight="1" outlineLevel="1" spans="1:19">
      <c r="A218" s="119" t="str">
        <f>'G MTTS'!J216</f>
        <v>HighS</v>
      </c>
      <c r="B218" s="98">
        <f>'G MTTS'!B216</f>
        <v>0.718761574074074</v>
      </c>
      <c r="C218" s="99" t="str">
        <f>'G MTTS'!L216</f>
        <v>6 Seats HighS</v>
      </c>
      <c r="D218" s="120" t="str">
        <f>'G MTTS'!M216</f>
        <v>SAT</v>
      </c>
      <c r="E218" s="101" t="str">
        <f>'G MTTS'!N216</f>
        <v>NLH</v>
      </c>
      <c r="F218" s="102" t="str">
        <f>'G MTTS'!O216</f>
        <v>OFF</v>
      </c>
      <c r="G218" s="103">
        <f>IF('G MTTS'!Q216=0," ",'G MTTS'!Q216*$A$3)</f>
        <v>6600</v>
      </c>
      <c r="H218" s="104">
        <f>IF('G MTTS'!V216=0," ",'G MTTS'!V216*A$3)</f>
        <v>150</v>
      </c>
      <c r="I218" s="104">
        <f>IF('G MTTS'!W216=0," ",'G MTTS'!W216*$A$3)</f>
        <v>150</v>
      </c>
      <c r="J218" s="104" t="str">
        <f>IF('G MTTS'!Z216=0," ",'G MTTS'!Z216*$A$3)</f>
        <v> </v>
      </c>
      <c r="K218" s="105">
        <f>'G MTTS'!AF216</f>
        <v>20000</v>
      </c>
      <c r="L218" s="105">
        <f>'G MTTS'!X216</f>
        <v>0</v>
      </c>
      <c r="M218" s="105" t="str">
        <f>'G MTTS'!AA216</f>
        <v>REENTRY</v>
      </c>
      <c r="N218" s="106">
        <f>'G MTTS'!AG216</f>
        <v>5</v>
      </c>
      <c r="O218" s="106">
        <f>'G MTTS'!AH216</f>
        <v>5</v>
      </c>
      <c r="P218" s="106">
        <f>'G MTTS'!AI216</f>
        <v>4</v>
      </c>
      <c r="Q218" s="107">
        <f>'G MTTS'!AJ216</f>
        <v>9</v>
      </c>
      <c r="R218" s="46">
        <f>IF(B218=0," ",TIME(,ROUNDDOWN(N218*Q218/60,0)*5+(N218*Q218),)+B218)</f>
        <v>0.750011574074074</v>
      </c>
      <c r="S218" s="47" t="str">
        <f>IFERROR(IF(H218=0," ",IF(H218&lt;=25,"MICRO",IF(H218&lt;=99,"LOW",IF(H218&lt;=499,"MEDIUM",IF(H218&lt;=2500,"HIGH",IF(H218&gt;2500,"SUPER HIGH",)))))),"")</f>
        <v>MEDIUM</v>
      </c>
    </row>
    <row r="219" ht="29.25" customHeight="1" outlineLevel="1" spans="1:19">
      <c r="A219" s="135"/>
      <c r="B219" s="109"/>
      <c r="C219" s="110"/>
      <c r="D219" s="111"/>
      <c r="E219" s="112"/>
      <c r="F219" s="113"/>
      <c r="G219" s="114"/>
      <c r="H219" s="115"/>
      <c r="I219" s="115"/>
      <c r="J219" s="115"/>
      <c r="K219" s="116"/>
      <c r="L219" s="116"/>
      <c r="M219" s="116"/>
      <c r="N219" s="117"/>
      <c r="O219" s="117"/>
      <c r="P219" s="117"/>
      <c r="Q219" s="118"/>
      <c r="R219" s="46"/>
      <c r="S219" s="47"/>
    </row>
    <row r="220" ht="29.25" customHeight="1" outlineLevel="1" spans="1:19">
      <c r="A220" s="119" t="str">
        <f>'G MTTS'!J218</f>
        <v>#AS OmaX HR</v>
      </c>
      <c r="B220" s="98">
        <f>'G MTTS'!B218</f>
        <v>0.750011574074074</v>
      </c>
      <c r="C220" s="99" t="str">
        <f>'G MTTS'!L218</f>
        <v>8 Seats OmaX HR</v>
      </c>
      <c r="D220" s="120" t="str">
        <f>'G MTTS'!M218</f>
        <v>SAT</v>
      </c>
      <c r="E220" s="101" t="str">
        <f>'G MTTS'!N218</f>
        <v>PLO5</v>
      </c>
      <c r="F220" s="102" t="str">
        <f>'G MTTS'!O218</f>
        <v>OFF</v>
      </c>
      <c r="G220" s="103">
        <f>IF('G MTTS'!Q218=0," ",'G MTTS'!Q218*$A$3)</f>
        <v>4000</v>
      </c>
      <c r="H220" s="104">
        <f>IF('G MTTS'!V218=0," ",'G MTTS'!V218*A$3)</f>
        <v>35</v>
      </c>
      <c r="I220" s="104">
        <f>IF('G MTTS'!W218=0," ",'G MTTS'!W218*$A$3)</f>
        <v>35</v>
      </c>
      <c r="J220" s="104">
        <f>IF('G MTTS'!Z218=0," ",'G MTTS'!Z218*$A$3)</f>
        <v>40</v>
      </c>
      <c r="K220" s="105">
        <f>'G MTTS'!AF218</f>
        <v>10000</v>
      </c>
      <c r="L220" s="105">
        <f>'G MTTS'!X218</f>
        <v>0</v>
      </c>
      <c r="M220" s="105">
        <f>'G MTTS'!AA218</f>
        <v>20000</v>
      </c>
      <c r="N220" s="106">
        <f>'G MTTS'!AG218</f>
        <v>4</v>
      </c>
      <c r="O220" s="106">
        <f>'G MTTS'!AH218</f>
        <v>4</v>
      </c>
      <c r="P220" s="106">
        <f>'G MTTS'!AI218</f>
        <v>4</v>
      </c>
      <c r="Q220" s="107">
        <f>'G MTTS'!AJ218</f>
        <v>9</v>
      </c>
      <c r="R220" s="46">
        <f>IF(B220=0," ",TIME(,ROUNDDOWN(N220*Q220/60,0)*5+(N220*Q220),)+B220)</f>
        <v>0.775011574074074</v>
      </c>
      <c r="S220" s="47" t="str">
        <f>IFERROR(IF(H220=0," ",IF(H220&lt;=25,"MICRO",IF(H220&lt;=99,"LOW",IF(H220&lt;=499,"MEDIUM",IF(H220&lt;=2500,"HIGH",IF(H220&gt;2500,"SUPER HIGH",)))))),"")</f>
        <v>LOW</v>
      </c>
    </row>
    <row r="221" ht="29.25" customHeight="1" outlineLevel="1" spans="1:19">
      <c r="A221" s="135"/>
      <c r="B221" s="109"/>
      <c r="C221" s="110"/>
      <c r="D221" s="111"/>
      <c r="E221" s="112"/>
      <c r="F221" s="113"/>
      <c r="G221" s="114"/>
      <c r="H221" s="115"/>
      <c r="I221" s="115"/>
      <c r="J221" s="115"/>
      <c r="K221" s="116"/>
      <c r="L221" s="116"/>
      <c r="M221" s="116"/>
      <c r="N221" s="117"/>
      <c r="O221" s="117"/>
      <c r="P221" s="117"/>
      <c r="Q221" s="118"/>
      <c r="R221" s="46"/>
      <c r="S221" s="47"/>
    </row>
    <row r="222" ht="29.25" customHeight="1" outlineLevel="1" spans="1:19">
      <c r="A222" s="119" t="str">
        <f>'G MTTS'!J220</f>
        <v>#AS Freeze</v>
      </c>
      <c r="B222" s="98">
        <f>'G MTTS'!B220</f>
        <v>0.750011574074074</v>
      </c>
      <c r="C222" s="99" t="str">
        <f>'G MTTS'!L220</f>
        <v>4 Seats Freeze</v>
      </c>
      <c r="D222" s="120" t="str">
        <f>'G MTTS'!M220</f>
        <v>SAT</v>
      </c>
      <c r="E222" s="101" t="str">
        <f>'G MTTS'!N220</f>
        <v>NLH</v>
      </c>
      <c r="F222" s="102" t="str">
        <f>'G MTTS'!O220</f>
        <v>OFF</v>
      </c>
      <c r="G222" s="103">
        <f>IF('G MTTS'!Q220=0," ",'G MTTS'!Q220*$A$3)</f>
        <v>600</v>
      </c>
      <c r="H222" s="104">
        <f>IF('G MTTS'!V220=0," ",'G MTTS'!V220*A$3)</f>
        <v>10</v>
      </c>
      <c r="I222" s="104">
        <f>IF('G MTTS'!W220=0," ",'G MTTS'!W220*$A$3)</f>
        <v>10</v>
      </c>
      <c r="J222" s="104">
        <f>IF('G MTTS'!Z220=0," ",'G MTTS'!Z220*$A$3)</f>
        <v>10</v>
      </c>
      <c r="K222" s="105">
        <f>'G MTTS'!AF220</f>
        <v>10000</v>
      </c>
      <c r="L222" s="105">
        <f>'G MTTS'!X220</f>
        <v>0</v>
      </c>
      <c r="M222" s="105">
        <f>'G MTTS'!AA220</f>
        <v>20000</v>
      </c>
      <c r="N222" s="106">
        <f>'G MTTS'!AG220</f>
        <v>5</v>
      </c>
      <c r="O222" s="106">
        <f>'G MTTS'!AH220</f>
        <v>5</v>
      </c>
      <c r="P222" s="106">
        <f>'G MTTS'!AI220</f>
        <v>4</v>
      </c>
      <c r="Q222" s="107">
        <f>'G MTTS'!AJ220</f>
        <v>9</v>
      </c>
      <c r="R222" s="46">
        <f>IF(B222=0," ",TIME(,ROUNDDOWN(N222*Q222/60,0)*5+(N222*Q222),)+B222)</f>
        <v>0.781261574074074</v>
      </c>
      <c r="S222" s="47" t="str">
        <f>IFERROR(IF(H222=0," ",IF(H222&lt;=25,"MICRO",IF(H222&lt;=99,"LOW",IF(H222&lt;=499,"MEDIUM",IF(H222&lt;=2500,"HIGH",IF(H222&gt;2500,"SUPER HIGH",)))))),"")</f>
        <v>MICRO</v>
      </c>
    </row>
    <row r="223" ht="29.25" customHeight="1" outlineLevel="1" spans="1:19">
      <c r="A223" s="135"/>
      <c r="B223" s="109"/>
      <c r="C223" s="110"/>
      <c r="D223" s="111"/>
      <c r="E223" s="112"/>
      <c r="F223" s="113"/>
      <c r="G223" s="114"/>
      <c r="H223" s="115"/>
      <c r="I223" s="115"/>
      <c r="J223" s="115"/>
      <c r="K223" s="116"/>
      <c r="L223" s="116"/>
      <c r="M223" s="116"/>
      <c r="N223" s="117"/>
      <c r="O223" s="117"/>
      <c r="P223" s="117"/>
      <c r="Q223" s="118"/>
      <c r="R223" s="46"/>
      <c r="S223" s="47"/>
    </row>
    <row r="224" ht="29.25" customHeight="1" outlineLevel="1" spans="1:19">
      <c r="A224" s="119" t="str">
        <f>'G MTTS'!J222</f>
        <v>#AS Bounty</v>
      </c>
      <c r="B224" s="98">
        <f>'G MTTS'!B222</f>
        <v>0.770844907407407</v>
      </c>
      <c r="C224" s="99" t="str">
        <f>'G MTTS'!L222</f>
        <v>5 Seats Bounty</v>
      </c>
      <c r="D224" s="120" t="str">
        <f>'G MTTS'!M222</f>
        <v>SAT</v>
      </c>
      <c r="E224" s="101" t="str">
        <f>'G MTTS'!N222</f>
        <v>NLH</v>
      </c>
      <c r="F224" s="102" t="str">
        <f>'G MTTS'!O222</f>
        <v>OFF</v>
      </c>
      <c r="G224" s="103">
        <f>IF('G MTTS'!Q222=0," ",'G MTTS'!Q222*$A$3)</f>
        <v>550</v>
      </c>
      <c r="H224" s="104">
        <f>IF('G MTTS'!V222=0," ",'G MTTS'!V222*A$3)</f>
        <v>7</v>
      </c>
      <c r="I224" s="104">
        <f>IF('G MTTS'!W222=0," ",'G MTTS'!W222*$A$3)</f>
        <v>7</v>
      </c>
      <c r="J224" s="104">
        <f>IF('G MTTS'!Z222=0," ",'G MTTS'!Z222*$A$3)</f>
        <v>7</v>
      </c>
      <c r="K224" s="105">
        <f>'G MTTS'!AF222</f>
        <v>10000</v>
      </c>
      <c r="L224" s="105">
        <f>'G MTTS'!X222</f>
        <v>0</v>
      </c>
      <c r="M224" s="105">
        <f>'G MTTS'!AA222</f>
        <v>20000</v>
      </c>
      <c r="N224" s="106">
        <f>'G MTTS'!AG222</f>
        <v>4</v>
      </c>
      <c r="O224" s="106">
        <f>'G MTTS'!AH222</f>
        <v>4</v>
      </c>
      <c r="P224" s="106">
        <f>'G MTTS'!AI222</f>
        <v>4</v>
      </c>
      <c r="Q224" s="107">
        <f>'G MTTS'!AJ222</f>
        <v>9</v>
      </c>
      <c r="R224" s="46">
        <f>IF(B224=0," ",TIME(,ROUNDDOWN(N224*Q224/60,0)*5+(N224*Q224),)+B224)</f>
        <v>0.795844907407407</v>
      </c>
      <c r="S224" s="47" t="str">
        <f>IFERROR(IF(H224=0," ",IF(H224&lt;=25,"MICRO",IF(H224&lt;=99,"LOW",IF(H224&lt;=499,"MEDIUM",IF(H224&lt;=2500,"HIGH",IF(H224&gt;2500,"SUPER HIGH",)))))),"")</f>
        <v>MICRO</v>
      </c>
    </row>
    <row r="225" ht="29.25" customHeight="1" outlineLevel="1" spans="1:19">
      <c r="A225" s="135"/>
      <c r="B225" s="109"/>
      <c r="C225" s="110"/>
      <c r="D225" s="111"/>
      <c r="E225" s="112"/>
      <c r="F225" s="113"/>
      <c r="G225" s="114"/>
      <c r="H225" s="115"/>
      <c r="I225" s="115"/>
      <c r="J225" s="115"/>
      <c r="K225" s="116"/>
      <c r="L225" s="116"/>
      <c r="M225" s="116"/>
      <c r="N225" s="117"/>
      <c r="O225" s="117"/>
      <c r="P225" s="117"/>
      <c r="Q225" s="118"/>
      <c r="R225" s="46"/>
      <c r="S225" s="47"/>
    </row>
    <row r="226" ht="29.25" customHeight="1" outlineLevel="1" spans="1:19">
      <c r="A226" s="119" t="str">
        <f>'G MTTS'!J224</f>
        <v>#AS OmaX Turbo</v>
      </c>
      <c r="B226" s="98">
        <f>'G MTTS'!B224</f>
        <v>0.812511574074074</v>
      </c>
      <c r="C226" s="99" t="str">
        <f>'G MTTS'!L224</f>
        <v>6 Seats OmaX T.</v>
      </c>
      <c r="D226" s="120" t="str">
        <f>'G MTTS'!M224</f>
        <v>SAT</v>
      </c>
      <c r="E226" s="101" t="str">
        <f>'G MTTS'!N224</f>
        <v>PLO5</v>
      </c>
      <c r="F226" s="102" t="str">
        <f>'G MTTS'!O224</f>
        <v>OFF</v>
      </c>
      <c r="G226" s="103">
        <f>IF('G MTTS'!Q224=0," ",'G MTTS'!Q224*$A$3)</f>
        <v>330</v>
      </c>
      <c r="H226" s="104">
        <f>IF('G MTTS'!V224=0," ",'G MTTS'!V224*A$3)</f>
        <v>3</v>
      </c>
      <c r="I226" s="104">
        <f>IF('G MTTS'!W224=0," ",'G MTTS'!W224*$A$3)</f>
        <v>3</v>
      </c>
      <c r="J226" s="104">
        <f>IF('G MTTS'!Z224=0," ",'G MTTS'!Z224*$A$3)</f>
        <v>3</v>
      </c>
      <c r="K226" s="105">
        <f>'G MTTS'!AF224</f>
        <v>10000</v>
      </c>
      <c r="L226" s="105">
        <f>'G MTTS'!X224</f>
        <v>0</v>
      </c>
      <c r="M226" s="105">
        <f>'G MTTS'!AA224</f>
        <v>20000</v>
      </c>
      <c r="N226" s="106">
        <f>'G MTTS'!AG224</f>
        <v>4</v>
      </c>
      <c r="O226" s="106">
        <f>'G MTTS'!AH224</f>
        <v>4</v>
      </c>
      <c r="P226" s="106">
        <f>'G MTTS'!AI224</f>
        <v>4</v>
      </c>
      <c r="Q226" s="107">
        <f>'G MTTS'!AJ224</f>
        <v>9</v>
      </c>
      <c r="R226" s="46">
        <f>IF(B226=0," ",TIME(,ROUNDDOWN(N226*Q226/60,0)*5+(N226*Q226),)+B226)</f>
        <v>0.837511574074074</v>
      </c>
      <c r="S226" s="47" t="str">
        <f>IFERROR(IF(H226=0," ",IF(H226&lt;=25,"MICRO",IF(H226&lt;=99,"LOW",IF(H226&lt;=499,"MEDIUM",IF(H226&lt;=2500,"HIGH",IF(H226&gt;2500,"SUPER HIGH",)))))),"")</f>
        <v>MICRO</v>
      </c>
    </row>
    <row r="227" ht="29.25" customHeight="1" outlineLevel="1" spans="1:19">
      <c r="A227" s="135"/>
      <c r="B227" s="109"/>
      <c r="C227" s="110"/>
      <c r="D227" s="111"/>
      <c r="E227" s="112"/>
      <c r="F227" s="113"/>
      <c r="G227" s="114"/>
      <c r="H227" s="115"/>
      <c r="I227" s="115"/>
      <c r="J227" s="115"/>
      <c r="K227" s="116"/>
      <c r="L227" s="116"/>
      <c r="M227" s="116"/>
      <c r="N227" s="117"/>
      <c r="O227" s="117"/>
      <c r="P227" s="117"/>
      <c r="Q227" s="118"/>
      <c r="R227" s="46"/>
      <c r="S227" s="47"/>
    </row>
    <row r="228" ht="29.25" customHeight="1" outlineLevel="1" spans="1:19">
      <c r="A228" s="119" t="str">
        <f>'G MTTS'!J226</f>
        <v>#AS OmaX Night</v>
      </c>
      <c r="B228" s="98">
        <f>'G MTTS'!B226</f>
        <v>0.791678240740741</v>
      </c>
      <c r="C228" s="99" t="str">
        <f>'G MTTS'!L226</f>
        <v>4 Seats OmaX Night</v>
      </c>
      <c r="D228" s="120" t="str">
        <f>'G MTTS'!M226</f>
        <v>SAT</v>
      </c>
      <c r="E228" s="101" t="str">
        <f>'G MTTS'!N226</f>
        <v>PLO5</v>
      </c>
      <c r="F228" s="102" t="str">
        <f>'G MTTS'!O226</f>
        <v>OFF</v>
      </c>
      <c r="G228" s="103">
        <f>IF('G MTTS'!Q226=0," ",'G MTTS'!Q226*$A$3)</f>
        <v>800</v>
      </c>
      <c r="H228" s="104">
        <f>IF('G MTTS'!V226=0," ",'G MTTS'!V226*A$3)</f>
        <v>12</v>
      </c>
      <c r="I228" s="104">
        <f>IF('G MTTS'!W226=0," ",'G MTTS'!W226*$A$3)</f>
        <v>12</v>
      </c>
      <c r="J228" s="104">
        <f>IF('G MTTS'!Z226=0," ",'G MTTS'!Z226*$A$3)</f>
        <v>12</v>
      </c>
      <c r="K228" s="105">
        <f>'G MTTS'!AF226</f>
        <v>10000</v>
      </c>
      <c r="L228" s="105">
        <f>'G MTTS'!X226</f>
        <v>0</v>
      </c>
      <c r="M228" s="105">
        <f>'G MTTS'!AA226</f>
        <v>20000</v>
      </c>
      <c r="N228" s="106">
        <f>'G MTTS'!AG226</f>
        <v>4</v>
      </c>
      <c r="O228" s="106">
        <f>'G MTTS'!AH226</f>
        <v>4</v>
      </c>
      <c r="P228" s="106">
        <f>'G MTTS'!AI226</f>
        <v>4</v>
      </c>
      <c r="Q228" s="107">
        <f>'G MTTS'!AJ226</f>
        <v>9</v>
      </c>
      <c r="R228" s="46">
        <f>IF(B228=0," ",TIME(,ROUNDDOWN(N228*Q228/60,0)*5+(N228*Q228),)+B228)</f>
        <v>0.816678240740741</v>
      </c>
      <c r="S228" s="47" t="str">
        <f>IFERROR(IF(H228=0," ",IF(H228&lt;=25,"MICRO",IF(H228&lt;=99,"LOW",IF(H228&lt;=499,"MEDIUM",IF(H228&lt;=2500,"HIGH",IF(H228&gt;2500,"SUPER HIGH",)))))),"")</f>
        <v>MICRO</v>
      </c>
    </row>
    <row r="229" ht="29.25" customHeight="1" outlineLevel="1" spans="1:19">
      <c r="A229" s="135"/>
      <c r="B229" s="109"/>
      <c r="C229" s="110"/>
      <c r="D229" s="111"/>
      <c r="E229" s="112"/>
      <c r="F229" s="113"/>
      <c r="G229" s="114"/>
      <c r="H229" s="115"/>
      <c r="I229" s="115"/>
      <c r="J229" s="115"/>
      <c r="K229" s="116"/>
      <c r="L229" s="116"/>
      <c r="M229" s="116"/>
      <c r="N229" s="117"/>
      <c r="O229" s="117"/>
      <c r="P229" s="117"/>
      <c r="Q229" s="118"/>
      <c r="R229" s="46"/>
      <c r="S229" s="47"/>
    </row>
    <row r="230" ht="29.25" customHeight="1" outlineLevel="1" spans="1:19">
      <c r="A230" s="119" t="str">
        <f>'G MTTS'!J228</f>
        <v>#AS Bounty Night</v>
      </c>
      <c r="B230" s="98">
        <f>'G MTTS'!B228</f>
        <v>0.854178240740741</v>
      </c>
      <c r="C230" s="99" t="str">
        <f>'G MTTS'!L228</f>
        <v>5 Seats Bounty</v>
      </c>
      <c r="D230" s="120" t="str">
        <f>'G MTTS'!M228</f>
        <v>SAT</v>
      </c>
      <c r="E230" s="101" t="str">
        <f>'G MTTS'!N228</f>
        <v>NLH</v>
      </c>
      <c r="F230" s="102" t="str">
        <f>'G MTTS'!O228</f>
        <v>OFF</v>
      </c>
      <c r="G230" s="103">
        <f>IF('G MTTS'!Q228=0," ",'G MTTS'!Q228*$A$3)</f>
        <v>275</v>
      </c>
      <c r="H230" s="104">
        <f>IF('G MTTS'!V228=0," ",'G MTTS'!V228*A$3)</f>
        <v>3</v>
      </c>
      <c r="I230" s="104">
        <f>IF('G MTTS'!W228=0," ",'G MTTS'!W228*$A$3)</f>
        <v>3</v>
      </c>
      <c r="J230" s="104">
        <f>IF('G MTTS'!Z228=0," ",'G MTTS'!Z228*$A$3)</f>
        <v>3</v>
      </c>
      <c r="K230" s="105">
        <f>'G MTTS'!AF228</f>
        <v>10000</v>
      </c>
      <c r="L230" s="105">
        <f>'G MTTS'!X228</f>
        <v>0</v>
      </c>
      <c r="M230" s="105">
        <f>'G MTTS'!AA228</f>
        <v>20000</v>
      </c>
      <c r="N230" s="106">
        <f>'G MTTS'!AG228</f>
        <v>4</v>
      </c>
      <c r="O230" s="106">
        <f>'G MTTS'!AH228</f>
        <v>4</v>
      </c>
      <c r="P230" s="106">
        <f>'G MTTS'!AI228</f>
        <v>4</v>
      </c>
      <c r="Q230" s="107">
        <f>'G MTTS'!AJ228</f>
        <v>9</v>
      </c>
      <c r="R230" s="46">
        <f>IF(B230=0," ",TIME(,ROUNDDOWN(N230*Q230/60,0)*5+(N230*Q230),)+B230)</f>
        <v>0.879178240740741</v>
      </c>
      <c r="S230" s="47" t="str">
        <f>IFERROR(IF(H230=0," ",IF(H230&lt;=25,"MICRO",IF(H230&lt;=99,"LOW",IF(H230&lt;=499,"MEDIUM",IF(H230&lt;=2500,"HIGH",IF(H230&gt;2500,"SUPER HIGH",)))))),"")</f>
        <v>MICRO</v>
      </c>
    </row>
    <row r="231" ht="29.25" customHeight="1" outlineLevel="1" spans="1:19">
      <c r="A231" s="135"/>
      <c r="B231" s="109"/>
      <c r="C231" s="110"/>
      <c r="D231" s="111"/>
      <c r="E231" s="112"/>
      <c r="F231" s="113"/>
      <c r="G231" s="114"/>
      <c r="H231" s="115"/>
      <c r="I231" s="115"/>
      <c r="J231" s="115"/>
      <c r="K231" s="116"/>
      <c r="L231" s="116"/>
      <c r="M231" s="116"/>
      <c r="N231" s="117"/>
      <c r="O231" s="117"/>
      <c r="P231" s="117"/>
      <c r="Q231" s="118"/>
      <c r="R231" s="46"/>
      <c r="S231" s="47"/>
    </row>
    <row r="232" ht="29.25" customHeight="1" outlineLevel="1" spans="1:19">
      <c r="A232" s="119" t="str">
        <f>'G MTTS'!J230</f>
        <v>#AS Sonic+SPS</v>
      </c>
      <c r="B232" s="98">
        <f>'G MTTS'!B230</f>
        <v>0.895844907407407</v>
      </c>
      <c r="C232" s="99" t="str">
        <f>'G MTTS'!L230</f>
        <v>2 Seats Sonic</v>
      </c>
      <c r="D232" s="120" t="str">
        <f>'G MTTS'!M230</f>
        <v>SAT</v>
      </c>
      <c r="E232" s="101" t="str">
        <f>'G MTTS'!N230</f>
        <v>NLH</v>
      </c>
      <c r="F232" s="102" t="str">
        <f>'G MTTS'!O230</f>
        <v>OFF</v>
      </c>
      <c r="G232" s="103">
        <f>IF('G MTTS'!Q230=0," ",'G MTTS'!Q230*$A$3)</f>
        <v>300</v>
      </c>
      <c r="H232" s="104">
        <f>IF('G MTTS'!V230=0," ",'G MTTS'!V230*A$3)</f>
        <v>8</v>
      </c>
      <c r="I232" s="104">
        <f>IF('G MTTS'!W230=0," ",'G MTTS'!W230*$A$3)</f>
        <v>8</v>
      </c>
      <c r="J232" s="104">
        <f>IF('G MTTS'!Z230=0," ",'G MTTS'!Z230*$A$3)</f>
        <v>8</v>
      </c>
      <c r="K232" s="105">
        <f>'G MTTS'!AF230</f>
        <v>10000</v>
      </c>
      <c r="L232" s="105">
        <f>'G MTTS'!X230</f>
        <v>0</v>
      </c>
      <c r="M232" s="105">
        <f>'G MTTS'!AA230</f>
        <v>20000</v>
      </c>
      <c r="N232" s="106">
        <f>'G MTTS'!AG230</f>
        <v>4</v>
      </c>
      <c r="O232" s="106">
        <f>'G MTTS'!AH230</f>
        <v>4</v>
      </c>
      <c r="P232" s="106">
        <f>'G MTTS'!AI230</f>
        <v>4</v>
      </c>
      <c r="Q232" s="107">
        <f>'G MTTS'!AJ230</f>
        <v>9</v>
      </c>
      <c r="R232" s="46">
        <f>IF(B232=0," ",TIME(,ROUNDDOWN(N232*Q232/60,0)*5+(N232*Q232),)+B232)</f>
        <v>0.920844907407407</v>
      </c>
      <c r="S232" s="47" t="str">
        <f>IFERROR(IF(H232=0," ",IF(H232&lt;=25,"MICRO",IF(H232&lt;=99,"LOW",IF(H232&lt;=499,"MEDIUM",IF(H232&lt;=2500,"HIGH",IF(H232&gt;2500,"SUPER HIGH",)))))),"")</f>
        <v>MICRO</v>
      </c>
    </row>
    <row r="233" ht="29.25" customHeight="1" outlineLevel="1" spans="1:19">
      <c r="A233" s="135"/>
      <c r="B233" s="109"/>
      <c r="C233" s="110"/>
      <c r="D233" s="111"/>
      <c r="E233" s="112"/>
      <c r="F233" s="113"/>
      <c r="G233" s="114"/>
      <c r="H233" s="115"/>
      <c r="I233" s="115"/>
      <c r="J233" s="115"/>
      <c r="K233" s="116"/>
      <c r="L233" s="116"/>
      <c r="M233" s="116"/>
      <c r="N233" s="117"/>
      <c r="O233" s="117"/>
      <c r="P233" s="117"/>
      <c r="Q233" s="118"/>
      <c r="R233" s="46"/>
      <c r="S233" s="47"/>
    </row>
    <row r="234" ht="29.25" customHeight="1" outlineLevel="1" spans="1:19">
      <c r="A234" s="121" t="str">
        <f>'G MTTS'!J232</f>
        <v>Suprema Poker Tour</v>
      </c>
      <c r="B234" s="122">
        <f>'G MTTS'!B232</f>
        <v>0.458344907407407</v>
      </c>
      <c r="C234" s="123" t="str">
        <f>'G MTTS'!L232</f>
        <v>5 Seats SPT</v>
      </c>
      <c r="D234" s="120" t="str">
        <f>'G MTTS'!M232</f>
        <v>SAT</v>
      </c>
      <c r="E234" s="101" t="str">
        <f>'G MTTS'!N232</f>
        <v>NLH</v>
      </c>
      <c r="F234" s="102" t="str">
        <f>'G MTTS'!O232</f>
        <v>OFF</v>
      </c>
      <c r="G234" s="103">
        <f>IF('G MTTS'!Q232=0," ",'G MTTS'!Q232*$A$3)</f>
        <v>1250</v>
      </c>
      <c r="H234" s="104">
        <f>IF('G MTTS'!V232=0," ",'G MTTS'!V232*A$3)</f>
        <v>15</v>
      </c>
      <c r="I234" s="104">
        <f>IF('G MTTS'!W232=0," ",'G MTTS'!W232*$A$3)</f>
        <v>15</v>
      </c>
      <c r="J234" s="104">
        <f>IF('G MTTS'!Z232=0," ",'G MTTS'!Z232*$A$3)</f>
        <v>20</v>
      </c>
      <c r="K234" s="105">
        <f>'G MTTS'!AF232</f>
        <v>20000</v>
      </c>
      <c r="L234" s="105">
        <f>'G MTTS'!X232</f>
        <v>25000</v>
      </c>
      <c r="M234" s="105">
        <f>'G MTTS'!AA232</f>
        <v>60000</v>
      </c>
      <c r="N234" s="106">
        <f>'G MTTS'!AG232</f>
        <v>7</v>
      </c>
      <c r="O234" s="106">
        <f>'G MTTS'!AH232</f>
        <v>6</v>
      </c>
      <c r="P234" s="106">
        <f>'G MTTS'!AI232</f>
        <v>6</v>
      </c>
      <c r="Q234" s="107">
        <f>'G MTTS'!AJ232</f>
        <v>13</v>
      </c>
      <c r="R234" s="46">
        <f t="shared" ref="R234:R238" si="18">IF(B234=0," ",TIME(,ROUNDDOWN(N234*Q234/60,0)*5+(N234*Q234),)+B234)</f>
        <v>0.525011574074074</v>
      </c>
      <c r="S234" s="47" t="str">
        <f t="shared" ref="S234:S238" si="19">IFERROR(IF(H234=0," ",IF(H234&lt;=25,"MICRO",IF(H234&lt;=99,"LOW",IF(H234&lt;=499,"MEDIUM",IF(H234&lt;=2500,"HIGH",IF(H234&gt;2500,"SUPER HIGH",)))))),"")</f>
        <v>MICRO</v>
      </c>
    </row>
    <row r="235" ht="29.25" customHeight="1" outlineLevel="1" spans="1:19">
      <c r="A235" s="29"/>
      <c r="B235" s="128">
        <f>'G MTTS'!B233</f>
        <v>0.541678240740741</v>
      </c>
      <c r="C235" s="129" t="str">
        <f>'G MTTS'!L233</f>
        <v>5 Seats SPT</v>
      </c>
      <c r="D235" s="120" t="str">
        <f>'G MTTS'!M233</f>
        <v>SAT</v>
      </c>
      <c r="E235" s="101" t="str">
        <f>'G MTTS'!N233</f>
        <v>NLH</v>
      </c>
      <c r="F235" s="102" t="str">
        <f>'G MTTS'!O233</f>
        <v>OFF</v>
      </c>
      <c r="G235" s="103">
        <f>IF('G MTTS'!Q233=0," ",'G MTTS'!Q233*$A$3)</f>
        <v>1250</v>
      </c>
      <c r="H235" s="104">
        <f>IF('G MTTS'!V233=0," ",'G MTTS'!V233*A$3)</f>
        <v>15</v>
      </c>
      <c r="I235" s="104">
        <f>IF('G MTTS'!W233=0," ",'G MTTS'!W233*$A$3)</f>
        <v>15</v>
      </c>
      <c r="J235" s="104">
        <f>IF('G MTTS'!Z233=0," ",'G MTTS'!Z233*$A$3)</f>
        <v>20</v>
      </c>
      <c r="K235" s="105">
        <f>'G MTTS'!AF233</f>
        <v>20000</v>
      </c>
      <c r="L235" s="105">
        <f>'G MTTS'!X233</f>
        <v>25000</v>
      </c>
      <c r="M235" s="105">
        <f>'G MTTS'!AA233</f>
        <v>40000</v>
      </c>
      <c r="N235" s="106">
        <f>'G MTTS'!AG233</f>
        <v>6</v>
      </c>
      <c r="O235" s="106">
        <f>'G MTTS'!AH233</f>
        <v>5</v>
      </c>
      <c r="P235" s="106">
        <f>'G MTTS'!AI233</f>
        <v>5</v>
      </c>
      <c r="Q235" s="107">
        <f>'G MTTS'!AJ233</f>
        <v>11</v>
      </c>
      <c r="R235" s="46">
        <f t="shared" si="18"/>
        <v>0.590983796296296</v>
      </c>
      <c r="S235" s="47" t="str">
        <f t="shared" si="19"/>
        <v>MICRO</v>
      </c>
    </row>
    <row r="236" ht="29.25" customHeight="1" outlineLevel="1" spans="1:19">
      <c r="A236" s="29"/>
      <c r="B236" s="128">
        <f>'G MTTS'!B234</f>
        <v>0.604178240740741</v>
      </c>
      <c r="C236" s="129" t="str">
        <f>'G MTTS'!L234</f>
        <v>5 Seats SPT</v>
      </c>
      <c r="D236" s="120" t="str">
        <f>'G MTTS'!M234</f>
        <v>SAT</v>
      </c>
      <c r="E236" s="101" t="str">
        <f>'G MTTS'!N234</f>
        <v>NLH</v>
      </c>
      <c r="F236" s="102" t="str">
        <f>'G MTTS'!O234</f>
        <v>OFF</v>
      </c>
      <c r="G236" s="103">
        <f>IF('G MTTS'!Q234=0," ",'G MTTS'!Q234*$A$3)</f>
        <v>1250</v>
      </c>
      <c r="H236" s="104">
        <f>IF('G MTTS'!V234=0," ",'G MTTS'!V234*A$3)</f>
        <v>15</v>
      </c>
      <c r="I236" s="104">
        <f>IF('G MTTS'!W234=0," ",'G MTTS'!W234*$A$3)</f>
        <v>15</v>
      </c>
      <c r="J236" s="104">
        <f>IF('G MTTS'!Z234=0," ",'G MTTS'!Z234*$A$3)</f>
        <v>20</v>
      </c>
      <c r="K236" s="105">
        <f>'G MTTS'!AF234</f>
        <v>20000</v>
      </c>
      <c r="L236" s="105">
        <f>'G MTTS'!X234</f>
        <v>25000</v>
      </c>
      <c r="M236" s="105">
        <f>'G MTTS'!AA234</f>
        <v>40000</v>
      </c>
      <c r="N236" s="106">
        <f>'G MTTS'!AG234</f>
        <v>6</v>
      </c>
      <c r="O236" s="106">
        <f>'G MTTS'!AH234</f>
        <v>5</v>
      </c>
      <c r="P236" s="106">
        <f>'G MTTS'!AI234</f>
        <v>5</v>
      </c>
      <c r="Q236" s="107">
        <f>'G MTTS'!AJ234</f>
        <v>11</v>
      </c>
      <c r="R236" s="46">
        <f t="shared" si="18"/>
        <v>0.653483796296296</v>
      </c>
      <c r="S236" s="47" t="str">
        <f t="shared" si="19"/>
        <v>MICRO</v>
      </c>
    </row>
    <row r="237" ht="29.25" customHeight="1" outlineLevel="1" spans="1:19">
      <c r="A237" s="29"/>
      <c r="B237" s="128">
        <f>'G MTTS'!B235</f>
        <v>0.666678240740741</v>
      </c>
      <c r="C237" s="129" t="str">
        <f>'G MTTS'!L235</f>
        <v>5 Seats SPT</v>
      </c>
      <c r="D237" s="120" t="str">
        <f>'G MTTS'!M235</f>
        <v>SAT</v>
      </c>
      <c r="E237" s="101" t="str">
        <f>'G MTTS'!N235</f>
        <v>NLH</v>
      </c>
      <c r="F237" s="102" t="str">
        <f>'G MTTS'!O235</f>
        <v>OFF</v>
      </c>
      <c r="G237" s="103">
        <f>IF('G MTTS'!Q235=0," ",'G MTTS'!Q235*$A$3)</f>
        <v>1250</v>
      </c>
      <c r="H237" s="104">
        <f>IF('G MTTS'!V235=0," ",'G MTTS'!V235*A$3)</f>
        <v>15</v>
      </c>
      <c r="I237" s="104">
        <f>IF('G MTTS'!W235=0," ",'G MTTS'!W235*$A$3)</f>
        <v>15</v>
      </c>
      <c r="J237" s="104">
        <f>IF('G MTTS'!Z235=0," ",'G MTTS'!Z235*$A$3)</f>
        <v>20</v>
      </c>
      <c r="K237" s="105">
        <f>'G MTTS'!AF235</f>
        <v>20000</v>
      </c>
      <c r="L237" s="105">
        <f>'G MTTS'!X235</f>
        <v>25000</v>
      </c>
      <c r="M237" s="105">
        <f>'G MTTS'!AA235</f>
        <v>40000</v>
      </c>
      <c r="N237" s="106">
        <f>'G MTTS'!AG235</f>
        <v>6</v>
      </c>
      <c r="O237" s="106">
        <f>'G MTTS'!AH235</f>
        <v>5</v>
      </c>
      <c r="P237" s="106">
        <f>'G MTTS'!AI235</f>
        <v>5</v>
      </c>
      <c r="Q237" s="107">
        <f>'G MTTS'!AJ235</f>
        <v>11</v>
      </c>
      <c r="R237" s="46">
        <f t="shared" si="18"/>
        <v>0.715983796296296</v>
      </c>
      <c r="S237" s="47" t="str">
        <f t="shared" si="19"/>
        <v>MICRO</v>
      </c>
    </row>
    <row r="238" ht="29.25" customHeight="1" outlineLevel="1" spans="1:19">
      <c r="A238" s="124"/>
      <c r="B238" s="125">
        <f>'G MTTS'!B236</f>
        <v>0.750011574074074</v>
      </c>
      <c r="C238" s="126" t="str">
        <f>'G MTTS'!L236</f>
        <v>10 Seats SPT</v>
      </c>
      <c r="D238" s="120" t="str">
        <f>'G MTTS'!M236</f>
        <v>SAT</v>
      </c>
      <c r="E238" s="101" t="str">
        <f>'G MTTS'!N236</f>
        <v>NLH</v>
      </c>
      <c r="F238" s="102" t="str">
        <f>'G MTTS'!O236</f>
        <v>OFF</v>
      </c>
      <c r="G238" s="103">
        <f>IF('G MTTS'!Q236=0," ",'G MTTS'!Q236*$A$3)</f>
        <v>2500</v>
      </c>
      <c r="H238" s="104">
        <f>IF('G MTTS'!V236=0," ",'G MTTS'!V236*A$3)</f>
        <v>15</v>
      </c>
      <c r="I238" s="104">
        <f>IF('G MTTS'!W236=0," ",'G MTTS'!W236*$A$3)</f>
        <v>15</v>
      </c>
      <c r="J238" s="104">
        <f>IF('G MTTS'!Z236=0," ",'G MTTS'!Z236*$A$3)</f>
        <v>20</v>
      </c>
      <c r="K238" s="105">
        <f>'G MTTS'!AF236</f>
        <v>20000</v>
      </c>
      <c r="L238" s="105">
        <f>'G MTTS'!X236</f>
        <v>25000</v>
      </c>
      <c r="M238" s="105">
        <f>'G MTTS'!AA236</f>
        <v>40000</v>
      </c>
      <c r="N238" s="106">
        <f>'G MTTS'!AG236</f>
        <v>6</v>
      </c>
      <c r="O238" s="106">
        <f>'G MTTS'!AH236</f>
        <v>5</v>
      </c>
      <c r="P238" s="106">
        <f>'G MTTS'!AI236</f>
        <v>4</v>
      </c>
      <c r="Q238" s="107">
        <f>'G MTTS'!AJ236</f>
        <v>11</v>
      </c>
      <c r="R238" s="46">
        <f t="shared" si="18"/>
        <v>0.79931712962963</v>
      </c>
      <c r="S238" s="47" t="str">
        <f t="shared" si="19"/>
        <v>MICRO</v>
      </c>
    </row>
    <row r="239" ht="29.25" customHeight="1" outlineLevel="1" spans="1:19">
      <c r="A239" s="135"/>
      <c r="B239" s="109"/>
      <c r="C239" s="110"/>
      <c r="D239" s="111"/>
      <c r="E239" s="112"/>
      <c r="F239" s="113"/>
      <c r="G239" s="114"/>
      <c r="H239" s="115"/>
      <c r="I239" s="115"/>
      <c r="J239" s="115"/>
      <c r="K239" s="116"/>
      <c r="L239" s="116"/>
      <c r="M239" s="116"/>
      <c r="N239" s="117"/>
      <c r="O239" s="117"/>
      <c r="P239" s="117"/>
      <c r="Q239" s="118"/>
      <c r="R239" s="46"/>
      <c r="S239" s="47"/>
    </row>
    <row r="240" ht="29.25" customHeight="1" outlineLevel="1" spans="1:19">
      <c r="A240" s="119" t="str">
        <f>'G MTTS'!J238</f>
        <v>Suprema Poker Tour</v>
      </c>
      <c r="B240" s="98">
        <f>'G MTTS'!B238</f>
        <v>0.875011574074074</v>
      </c>
      <c r="C240" s="99" t="str">
        <f>'G MTTS'!L238</f>
        <v>Mega Sat SPT</v>
      </c>
      <c r="D240" s="120" t="str">
        <f>'G MTTS'!M238</f>
        <v>SAT</v>
      </c>
      <c r="E240" s="101" t="str">
        <f>'G MTTS'!N238</f>
        <v>NLH</v>
      </c>
      <c r="F240" s="102" t="str">
        <f>'G MTTS'!O238</f>
        <v>OFF</v>
      </c>
      <c r="G240" s="103">
        <f>IF('G MTTS'!Q238=0," ",'G MTTS'!Q238*$A$3)</f>
        <v>42500</v>
      </c>
      <c r="H240" s="104">
        <f>IF('G MTTS'!V238=0," ",'G MTTS'!V238*A$3)</f>
        <v>250</v>
      </c>
      <c r="I240" s="104">
        <f>IF('G MTTS'!W238=0," ",'G MTTS'!W238*$A$3)</f>
        <v>250</v>
      </c>
      <c r="J240" s="104">
        <f>IF('G MTTS'!Z238=0," ",'G MTTS'!Z238*$A$3)</f>
        <v>250</v>
      </c>
      <c r="K240" s="105">
        <f>'G MTTS'!AF238</f>
        <v>40000</v>
      </c>
      <c r="L240" s="105">
        <f>'G MTTS'!X238</f>
        <v>50000</v>
      </c>
      <c r="M240" s="105">
        <f>'G MTTS'!AA238</f>
        <v>120000</v>
      </c>
      <c r="N240" s="106">
        <f>'G MTTS'!AG238</f>
        <v>8</v>
      </c>
      <c r="O240" s="106">
        <f>'G MTTS'!AH238</f>
        <v>7</v>
      </c>
      <c r="P240" s="106">
        <f>'G MTTS'!AI238</f>
        <v>7</v>
      </c>
      <c r="Q240" s="107">
        <f>'G MTTS'!AJ238</f>
        <v>15</v>
      </c>
      <c r="R240" s="46">
        <f>IF(B240=0," ",TIME(,ROUNDDOWN(N240*Q240/60,0)*5+(N240*Q240),)+B240)</f>
        <v>0.965289351851852</v>
      </c>
      <c r="S240" s="47" t="str">
        <f>IFERROR(IF(H240=0," ",IF(H240&lt;=25,"MICRO",IF(H240&lt;=99,"LOW",IF(H240&lt;=499,"MEDIUM",IF(H240&lt;=2500,"HIGH",IF(H240&gt;2500,"SUPER HIGH",)))))),"")</f>
        <v>MEDIUM</v>
      </c>
    </row>
    <row r="241" ht="29.25" customHeight="1" outlineLevel="1" spans="1:19">
      <c r="A241" s="135"/>
      <c r="B241" s="109"/>
      <c r="C241" s="110"/>
      <c r="D241" s="111"/>
      <c r="E241" s="112"/>
      <c r="F241" s="113"/>
      <c r="G241" s="114"/>
      <c r="H241" s="115"/>
      <c r="I241" s="115"/>
      <c r="J241" s="115"/>
      <c r="K241" s="116"/>
      <c r="L241" s="116"/>
      <c r="M241" s="116"/>
      <c r="N241" s="117"/>
      <c r="O241" s="117"/>
      <c r="P241" s="117"/>
      <c r="Q241" s="118"/>
      <c r="R241" s="46"/>
      <c r="S241" s="47"/>
    </row>
    <row r="242" ht="29.25" customHeight="1" outlineLevel="1" spans="1:19">
      <c r="A242" s="121" t="str">
        <f>'G MTTS'!J240</f>
        <v>30 Seats Supremo</v>
      </c>
      <c r="B242" s="122">
        <f>'G MTTS'!B240</f>
        <v>0.500011574074074</v>
      </c>
      <c r="C242" s="123" t="str">
        <f>'G MTTS'!L240</f>
        <v>Step 76-M Supremo</v>
      </c>
      <c r="D242" s="120" t="str">
        <f>'G MTTS'!M240</f>
        <v>SAT</v>
      </c>
      <c r="E242" s="101" t="str">
        <f>'G MTTS'!N240</f>
        <v>NLH</v>
      </c>
      <c r="F242" s="102" t="str">
        <f>'G MTTS'!O240</f>
        <v>OFF</v>
      </c>
      <c r="G242" s="103">
        <f>IF('G MTTS'!Q240=0," ",'G MTTS'!Q240*$A$3)</f>
        <v>300</v>
      </c>
      <c r="H242" s="104">
        <f>IF('G MTTS'!V240=0," ",'G MTTS'!V240*A$3)</f>
        <v>3</v>
      </c>
      <c r="I242" s="104">
        <f>IF('G MTTS'!W240=0," ",'G MTTS'!W240*$A$3)</f>
        <v>5</v>
      </c>
      <c r="J242" s="104">
        <f>IF('G MTTS'!Z240=0," ",'G MTTS'!Z240*$A$3)</f>
        <v>5</v>
      </c>
      <c r="K242" s="105">
        <f>'G MTTS'!AF240</f>
        <v>20000</v>
      </c>
      <c r="L242" s="105">
        <f>'G MTTS'!X240</f>
        <v>25000</v>
      </c>
      <c r="M242" s="105">
        <f>'G MTTS'!AA240</f>
        <v>40000</v>
      </c>
      <c r="N242" s="106">
        <f>'G MTTS'!AG240</f>
        <v>7</v>
      </c>
      <c r="O242" s="106">
        <f>'G MTTS'!AH240</f>
        <v>6</v>
      </c>
      <c r="P242" s="106">
        <f>'G MTTS'!AI240</f>
        <v>5</v>
      </c>
      <c r="Q242" s="107">
        <f>'G MTTS'!AJ240</f>
        <v>13</v>
      </c>
      <c r="R242" s="46">
        <f t="shared" ref="R242:R247" si="20">IF(B242=0," ",TIME(,ROUNDDOWN(N242*Q242/60,0)*5+(N242*Q242),)+B242)</f>
        <v>0.566678240740741</v>
      </c>
      <c r="S242" s="47" t="str">
        <f t="shared" ref="S242:S247" si="21">IFERROR(IF(H242=0," ",IF(H242&lt;=25,"MICRO",IF(H242&lt;=99,"LOW",IF(H242&lt;=499,"MEDIUM",IF(H242&lt;=2500,"HIGH",IF(H242&gt;2500,"SUPER HIGH",)))))),"")</f>
        <v>MICRO</v>
      </c>
    </row>
    <row r="243" ht="29.25" customHeight="1" outlineLevel="1" spans="1:19">
      <c r="A243" s="29"/>
      <c r="B243" s="128">
        <f>'G MTTS'!B241</f>
        <v>0.583344907407407</v>
      </c>
      <c r="C243" s="129" t="str">
        <f>'G MTTS'!L241</f>
        <v>Step 76-M Supremo</v>
      </c>
      <c r="D243" s="120" t="str">
        <f>'G MTTS'!M241</f>
        <v>SAT</v>
      </c>
      <c r="E243" s="101" t="str">
        <f>'G MTTS'!N241</f>
        <v>NLH</v>
      </c>
      <c r="F243" s="102" t="str">
        <f>'G MTTS'!O241</f>
        <v>OFF</v>
      </c>
      <c r="G243" s="103">
        <f>IF('G MTTS'!Q241=0," ",'G MTTS'!Q241*$A$3)</f>
        <v>300</v>
      </c>
      <c r="H243" s="104">
        <f>IF('G MTTS'!V241=0," ",'G MTTS'!V241*A$3)</f>
        <v>3</v>
      </c>
      <c r="I243" s="104">
        <f>IF('G MTTS'!W241=0," ",'G MTTS'!W241*$A$3)</f>
        <v>5</v>
      </c>
      <c r="J243" s="104">
        <f>IF('G MTTS'!Z241=0," ",'G MTTS'!Z241*$A$3)</f>
        <v>5</v>
      </c>
      <c r="K243" s="105">
        <f>'G MTTS'!AF241</f>
        <v>20000</v>
      </c>
      <c r="L243" s="105">
        <f>'G MTTS'!X241</f>
        <v>25000</v>
      </c>
      <c r="M243" s="105">
        <f>'G MTTS'!AA241</f>
        <v>40000</v>
      </c>
      <c r="N243" s="106">
        <f>'G MTTS'!AG241</f>
        <v>7</v>
      </c>
      <c r="O243" s="106">
        <f>'G MTTS'!AH241</f>
        <v>6</v>
      </c>
      <c r="P243" s="106">
        <f>'G MTTS'!AI241</f>
        <v>5</v>
      </c>
      <c r="Q243" s="107">
        <f>'G MTTS'!AJ241</f>
        <v>13</v>
      </c>
      <c r="R243" s="46">
        <f t="shared" si="20"/>
        <v>0.650011574074074</v>
      </c>
      <c r="S243" s="47" t="str">
        <f t="shared" si="21"/>
        <v>MICRO</v>
      </c>
    </row>
    <row r="244" ht="29.25" customHeight="1" outlineLevel="1" spans="1:19">
      <c r="A244" s="29"/>
      <c r="B244" s="128">
        <f>'G MTTS'!B242</f>
        <v>0.666678240740741</v>
      </c>
      <c r="C244" s="129" t="str">
        <f>'G MTTS'!L242</f>
        <v>Step 76-M Supremo</v>
      </c>
      <c r="D244" s="120" t="str">
        <f>'G MTTS'!M242</f>
        <v>SAT</v>
      </c>
      <c r="E244" s="101" t="str">
        <f>'G MTTS'!N242</f>
        <v>NLH</v>
      </c>
      <c r="F244" s="102" t="str">
        <f>'G MTTS'!O242</f>
        <v>OFF</v>
      </c>
      <c r="G244" s="103">
        <f>IF('G MTTS'!Q242=0," ",'G MTTS'!Q242*$A$3)</f>
        <v>300</v>
      </c>
      <c r="H244" s="104">
        <f>IF('G MTTS'!V242=0," ",'G MTTS'!V242*A$3)</f>
        <v>3</v>
      </c>
      <c r="I244" s="104">
        <f>IF('G MTTS'!W242=0," ",'G MTTS'!W242*$A$3)</f>
        <v>5</v>
      </c>
      <c r="J244" s="104">
        <f>IF('G MTTS'!Z242=0," ",'G MTTS'!Z242*$A$3)</f>
        <v>5</v>
      </c>
      <c r="K244" s="105">
        <f>'G MTTS'!AF242</f>
        <v>20000</v>
      </c>
      <c r="L244" s="105">
        <f>'G MTTS'!X242</f>
        <v>25000</v>
      </c>
      <c r="M244" s="105">
        <f>'G MTTS'!AA242</f>
        <v>40000</v>
      </c>
      <c r="N244" s="106">
        <f>'G MTTS'!AG242</f>
        <v>7</v>
      </c>
      <c r="O244" s="106">
        <f>'G MTTS'!AH242</f>
        <v>6</v>
      </c>
      <c r="P244" s="106">
        <f>'G MTTS'!AI242</f>
        <v>5</v>
      </c>
      <c r="Q244" s="107">
        <f>'G MTTS'!AJ242</f>
        <v>13</v>
      </c>
      <c r="R244" s="46">
        <f t="shared" si="20"/>
        <v>0.733344907407407</v>
      </c>
      <c r="S244" s="47" t="str">
        <f t="shared" si="21"/>
        <v>MICRO</v>
      </c>
    </row>
    <row r="245" ht="29.25" customHeight="1" outlineLevel="1" spans="1:19">
      <c r="A245" s="29"/>
      <c r="B245" s="128">
        <f>'G MTTS'!B243</f>
        <v>0.750011574074074</v>
      </c>
      <c r="C245" s="129" t="str">
        <f>'G MTTS'!L243</f>
        <v>Step 76-M Supremo</v>
      </c>
      <c r="D245" s="120" t="str">
        <f>'G MTTS'!M243</f>
        <v>SAT</v>
      </c>
      <c r="E245" s="101" t="str">
        <f>'G MTTS'!N243</f>
        <v>NLH</v>
      </c>
      <c r="F245" s="102" t="str">
        <f>'G MTTS'!O243</f>
        <v>OFF</v>
      </c>
      <c r="G245" s="103">
        <f>IF('G MTTS'!Q243=0," ",'G MTTS'!Q243*$A$3)</f>
        <v>300</v>
      </c>
      <c r="H245" s="104">
        <f>IF('G MTTS'!V243=0," ",'G MTTS'!V243*A$3)</f>
        <v>3</v>
      </c>
      <c r="I245" s="104">
        <f>IF('G MTTS'!W243=0," ",'G MTTS'!W243*$A$3)</f>
        <v>5</v>
      </c>
      <c r="J245" s="104">
        <f>IF('G MTTS'!Z243=0," ",'G MTTS'!Z243*$A$3)</f>
        <v>5</v>
      </c>
      <c r="K245" s="105">
        <f>'G MTTS'!AF243</f>
        <v>20000</v>
      </c>
      <c r="L245" s="105">
        <f>'G MTTS'!X243</f>
        <v>25000</v>
      </c>
      <c r="M245" s="105">
        <f>'G MTTS'!AA243</f>
        <v>40000</v>
      </c>
      <c r="N245" s="106">
        <f>'G MTTS'!AG243</f>
        <v>7</v>
      </c>
      <c r="O245" s="106">
        <f>'G MTTS'!AH243</f>
        <v>6</v>
      </c>
      <c r="P245" s="106">
        <f>'G MTTS'!AI243</f>
        <v>5</v>
      </c>
      <c r="Q245" s="107">
        <f>'G MTTS'!AJ243</f>
        <v>13</v>
      </c>
      <c r="R245" s="46">
        <f t="shared" si="20"/>
        <v>0.816678240740741</v>
      </c>
      <c r="S245" s="47" t="str">
        <f t="shared" si="21"/>
        <v>MICRO</v>
      </c>
    </row>
    <row r="246" ht="29.25" customHeight="1" outlineLevel="1" spans="1:19">
      <c r="A246" s="29"/>
      <c r="B246" s="128">
        <f>'G MTTS'!B244</f>
        <v>0.833344907407407</v>
      </c>
      <c r="C246" s="129" t="str">
        <f>'G MTTS'!L244</f>
        <v>Step 76-M Supremo</v>
      </c>
      <c r="D246" s="120" t="str">
        <f>'G MTTS'!M244</f>
        <v>SAT</v>
      </c>
      <c r="E246" s="101" t="str">
        <f>'G MTTS'!N244</f>
        <v>NLH</v>
      </c>
      <c r="F246" s="102" t="str">
        <f>'G MTTS'!O244</f>
        <v>OFF</v>
      </c>
      <c r="G246" s="103">
        <f>IF('G MTTS'!Q244=0," ",'G MTTS'!Q244*$A$3)</f>
        <v>300</v>
      </c>
      <c r="H246" s="104">
        <f>IF('G MTTS'!V244=0," ",'G MTTS'!V244*A$3)</f>
        <v>3</v>
      </c>
      <c r="I246" s="104">
        <f>IF('G MTTS'!W244=0," ",'G MTTS'!W244*$A$3)</f>
        <v>5</v>
      </c>
      <c r="J246" s="104">
        <f>IF('G MTTS'!Z244=0," ",'G MTTS'!Z244*$A$3)</f>
        <v>5</v>
      </c>
      <c r="K246" s="105">
        <f>'G MTTS'!AF244</f>
        <v>20000</v>
      </c>
      <c r="L246" s="105">
        <f>'G MTTS'!X244</f>
        <v>25000</v>
      </c>
      <c r="M246" s="105">
        <f>'G MTTS'!AA244</f>
        <v>40000</v>
      </c>
      <c r="N246" s="106">
        <f>'G MTTS'!AG244</f>
        <v>7</v>
      </c>
      <c r="O246" s="106">
        <f>'G MTTS'!AH244</f>
        <v>6</v>
      </c>
      <c r="P246" s="106">
        <f>'G MTTS'!AI244</f>
        <v>5</v>
      </c>
      <c r="Q246" s="107">
        <f>'G MTTS'!AJ244</f>
        <v>13</v>
      </c>
      <c r="R246" s="46">
        <f t="shared" si="20"/>
        <v>0.900011574074074</v>
      </c>
      <c r="S246" s="47" t="str">
        <f t="shared" si="21"/>
        <v>MICRO</v>
      </c>
    </row>
    <row r="247" ht="29.25" customHeight="1" outlineLevel="1" spans="1:19">
      <c r="A247" s="124"/>
      <c r="B247" s="125">
        <f>'G MTTS'!B245</f>
        <v>0.916678240740741</v>
      </c>
      <c r="C247" s="126" t="str">
        <f>'G MTTS'!L245</f>
        <v>Step 76-M Supremo</v>
      </c>
      <c r="D247" s="120" t="str">
        <f>'G MTTS'!M245</f>
        <v>SAT</v>
      </c>
      <c r="E247" s="101" t="str">
        <f>'G MTTS'!N245</f>
        <v>NLH</v>
      </c>
      <c r="F247" s="102" t="str">
        <f>'G MTTS'!O245</f>
        <v>OFF</v>
      </c>
      <c r="G247" s="103">
        <f>IF('G MTTS'!Q245=0," ",'G MTTS'!Q245*$A$3)</f>
        <v>300</v>
      </c>
      <c r="H247" s="104">
        <f>IF('G MTTS'!V245=0," ",'G MTTS'!V245*A$3)</f>
        <v>3</v>
      </c>
      <c r="I247" s="104">
        <f>IF('G MTTS'!W245=0," ",'G MTTS'!W245*$A$3)</f>
        <v>5</v>
      </c>
      <c r="J247" s="104">
        <f>IF('G MTTS'!Z245=0," ",'G MTTS'!Z245*$A$3)</f>
        <v>5</v>
      </c>
      <c r="K247" s="105">
        <f>'G MTTS'!AF245</f>
        <v>20000</v>
      </c>
      <c r="L247" s="105">
        <f>'G MTTS'!X245</f>
        <v>25000</v>
      </c>
      <c r="M247" s="105">
        <f>'G MTTS'!AA245</f>
        <v>40000</v>
      </c>
      <c r="N247" s="106">
        <f>'G MTTS'!AG245</f>
        <v>7</v>
      </c>
      <c r="O247" s="106">
        <f>'G MTTS'!AH245</f>
        <v>6</v>
      </c>
      <c r="P247" s="106">
        <f>'G MTTS'!AI245</f>
        <v>5</v>
      </c>
      <c r="Q247" s="107">
        <f>'G MTTS'!AJ245</f>
        <v>13</v>
      </c>
      <c r="R247" s="46">
        <f t="shared" si="20"/>
        <v>0.983344907407407</v>
      </c>
      <c r="S247" s="47" t="str">
        <f t="shared" si="21"/>
        <v>MICRO</v>
      </c>
    </row>
    <row r="248" ht="29.25" customHeight="1" outlineLevel="1" spans="1:19">
      <c r="A248" s="135"/>
      <c r="B248" s="109"/>
      <c r="C248" s="110"/>
      <c r="D248" s="111"/>
      <c r="E248" s="112"/>
      <c r="F248" s="113"/>
      <c r="G248" s="114"/>
      <c r="H248" s="115"/>
      <c r="I248" s="115"/>
      <c r="J248" s="115"/>
      <c r="K248" s="116"/>
      <c r="L248" s="116"/>
      <c r="M248" s="116"/>
      <c r="N248" s="117"/>
      <c r="O248" s="117"/>
      <c r="P248" s="117"/>
      <c r="Q248" s="118"/>
      <c r="R248" s="46"/>
      <c r="S248" s="47"/>
    </row>
    <row r="249" ht="21.75" customHeight="1" spans="1:19">
      <c r="A249" s="33" t="s">
        <v>517</v>
      </c>
      <c r="B249" s="15"/>
      <c r="C249" s="33" t="s">
        <v>517</v>
      </c>
      <c r="G249" s="15"/>
      <c r="H249" s="35" t="s">
        <v>517</v>
      </c>
      <c r="Q249" s="15"/>
      <c r="R249" s="33"/>
      <c r="S249" s="47"/>
    </row>
    <row r="250" ht="29.25" customHeight="1" outlineLevel="1" spans="1:19">
      <c r="A250" s="33" t="s">
        <v>517</v>
      </c>
      <c r="B250" s="36">
        <f>'G MTTS'!B248</f>
        <v>0.583344907407407</v>
      </c>
      <c r="C250" s="48" t="str">
        <f>'G MTTS'!J248</f>
        <v>#AS 50K WarmUp+SPS</v>
      </c>
      <c r="D250" s="49" t="str">
        <f>'G MTTS'!M248</f>
        <v>Main Event</v>
      </c>
      <c r="E250" s="50" t="str">
        <f>'G MTTS'!N248</f>
        <v>NLH</v>
      </c>
      <c r="F250" s="51" t="str">
        <f>'G MTTS'!O248</f>
        <v>Progressive KO 1/3</v>
      </c>
      <c r="G250" s="52">
        <f>IF('G MTTS'!Q248=0," ",'G MTTS'!Q248*$A$3)</f>
        <v>51000</v>
      </c>
      <c r="H250" s="53">
        <f>IF('G MTTS'!V248=0," ",'G MTTS'!V248*$A$3)</f>
        <v>150</v>
      </c>
      <c r="I250" s="53">
        <f>IF('G MTTS'!W248=0," ",'G MTTS'!W248*$A$3)</f>
        <v>150</v>
      </c>
      <c r="J250" s="53" t="str">
        <f>IF('G MTTS'!Z248=0," ",'G MTTS'!Z248*$A$3)</f>
        <v> </v>
      </c>
      <c r="K250" s="54">
        <f>'G MTTS'!AF248</f>
        <v>50000</v>
      </c>
      <c r="L250" s="54">
        <f>'G MTTS'!X248</f>
        <v>0</v>
      </c>
      <c r="M250" s="54" t="str">
        <f>'G MTTS'!AA248</f>
        <v>REENTRY</v>
      </c>
      <c r="N250" s="55">
        <f>'G MTTS'!AG248</f>
        <v>12</v>
      </c>
      <c r="O250" s="55">
        <f>'G MTTS'!AH248</f>
        <v>12</v>
      </c>
      <c r="P250" s="55">
        <f>'G MTTS'!AI248</f>
        <v>12</v>
      </c>
      <c r="Q250" s="56">
        <f>'G MTTS'!AJ248</f>
        <v>15</v>
      </c>
      <c r="R250" s="46">
        <f t="shared" ref="R250:R336" si="22">IF(B250=0," ",TIME(,ROUNDDOWN(N250*Q250/60,0)*5+(N250*Q250),)+B250)</f>
        <v>0.718761574074074</v>
      </c>
      <c r="S250" s="47" t="str">
        <f t="shared" ref="S250:S258" si="23">IFERROR(IF(H250=0," ",IF(H250&lt;=25,"MICRO",IF(H250&lt;=99,"LOW",IF(H250&lt;=499,"MEDIUM",IF(H250&lt;=2500,"HIGH",IF(H250&gt;2500,"SUPER HIGH",)))))),"")</f>
        <v>MEDIUM</v>
      </c>
    </row>
    <row r="251" ht="29.25" customHeight="1" outlineLevel="1" spans="1:19">
      <c r="A251" s="33" t="s">
        <v>71</v>
      </c>
      <c r="B251" s="36">
        <f>'G MTTS'!B249</f>
        <v>0.708344907407407</v>
      </c>
      <c r="C251" s="37" t="str">
        <f>'G MTTS'!J249</f>
        <v>#AS 50K Battle+SPS</v>
      </c>
      <c r="D251" s="38" t="str">
        <f>'G MTTS'!M249</f>
        <v>Main Event</v>
      </c>
      <c r="E251" s="39" t="str">
        <f>'G MTTS'!N249</f>
        <v>NLH</v>
      </c>
      <c r="F251" s="40" t="str">
        <f>'G MTTS'!O249</f>
        <v>Progressive KO 1/2</v>
      </c>
      <c r="G251" s="41">
        <f>IF('G MTTS'!Q249=0," ",'G MTTS'!Q249*$A$3)</f>
        <v>51000</v>
      </c>
      <c r="H251" s="42">
        <f>IF('G MTTS'!V249=0," ",'G MTTS'!V249*$A$3)</f>
        <v>55</v>
      </c>
      <c r="I251" s="42">
        <f>IF('G MTTS'!W249=0," ",'G MTTS'!W249*$A$3)</f>
        <v>55</v>
      </c>
      <c r="J251" s="42" t="str">
        <f>IF('G MTTS'!Z249=0," ",'G MTTS'!Z249*$A$3)</f>
        <v> </v>
      </c>
      <c r="K251" s="43">
        <f>'G MTTS'!AF249</f>
        <v>50000</v>
      </c>
      <c r="L251" s="43">
        <f>'G MTTS'!X249</f>
        <v>0</v>
      </c>
      <c r="M251" s="43" t="str">
        <f>'G MTTS'!AA249</f>
        <v>REENTRY</v>
      </c>
      <c r="N251" s="44">
        <f>'G MTTS'!AG249</f>
        <v>12</v>
      </c>
      <c r="O251" s="44">
        <f>'G MTTS'!AH249</f>
        <v>10</v>
      </c>
      <c r="P251" s="44">
        <f>'G MTTS'!AI249</f>
        <v>10</v>
      </c>
      <c r="Q251" s="45">
        <f>'G MTTS'!AJ249</f>
        <v>15</v>
      </c>
      <c r="R251" s="46">
        <f t="shared" si="22"/>
        <v>0.843761574074074</v>
      </c>
      <c r="S251" s="47" t="str">
        <f t="shared" si="23"/>
        <v>LOW</v>
      </c>
    </row>
    <row r="252" ht="29.25" customHeight="1" outlineLevel="1" spans="1:19">
      <c r="A252" s="33">
        <f>COUNTIF(D250:D336,"Side event")</f>
        <v>77</v>
      </c>
      <c r="B252" s="36">
        <f>'G MTTS'!B250</f>
        <v>0.750011574074074</v>
      </c>
      <c r="C252" s="48" t="str">
        <f>'G MTTS'!J250</f>
        <v>#AS 250K Big Plus+SPT</v>
      </c>
      <c r="D252" s="49" t="str">
        <f>'G MTTS'!M250</f>
        <v>Main Event</v>
      </c>
      <c r="E252" s="50" t="str">
        <f>'G MTTS'!N250</f>
        <v>NLH</v>
      </c>
      <c r="F252" s="51" t="str">
        <f>'G MTTS'!O250</f>
        <v>OFF</v>
      </c>
      <c r="G252" s="52">
        <f>IF('G MTTS'!Q250=0," ",'G MTTS'!Q250*$A$3)</f>
        <v>258500</v>
      </c>
      <c r="H252" s="53">
        <f>IF('G MTTS'!V250=0," ",'G MTTS'!V250*$A$3)</f>
        <v>50</v>
      </c>
      <c r="I252" s="53">
        <f>IF('G MTTS'!W250=0," ",'G MTTS'!W250*$A$3)</f>
        <v>50</v>
      </c>
      <c r="J252" s="53">
        <f>IF('G MTTS'!Z250=0," ",'G MTTS'!Z250*$A$3)</f>
        <v>75</v>
      </c>
      <c r="K252" s="54">
        <f>'G MTTS'!AF250</f>
        <v>50000</v>
      </c>
      <c r="L252" s="54">
        <f>'G MTTS'!X250</f>
        <v>0</v>
      </c>
      <c r="M252" s="54">
        <f>'G MTTS'!AA250</f>
        <v>250000</v>
      </c>
      <c r="N252" s="55">
        <f>'G MTTS'!AG250</f>
        <v>12</v>
      </c>
      <c r="O252" s="55">
        <f>'G MTTS'!AH250</f>
        <v>10</v>
      </c>
      <c r="P252" s="55">
        <f>'G MTTS'!AI250</f>
        <v>10</v>
      </c>
      <c r="Q252" s="56">
        <f>'G MTTS'!AJ250</f>
        <v>15</v>
      </c>
      <c r="R252" s="46">
        <f t="shared" si="22"/>
        <v>0.885428240740741</v>
      </c>
      <c r="S252" s="47" t="str">
        <f t="shared" si="23"/>
        <v>LOW</v>
      </c>
    </row>
    <row r="253" ht="29.25" customHeight="1" outlineLevel="1" spans="1:19">
      <c r="A253" s="33" t="s">
        <v>56</v>
      </c>
      <c r="B253" s="36">
        <f>'G MTTS'!B251</f>
        <v>0.750011574074074</v>
      </c>
      <c r="C253" s="37" t="str">
        <f>'G MTTS'!J251</f>
        <v>#AS 50K Freeze HR</v>
      </c>
      <c r="D253" s="38" t="str">
        <f>'G MTTS'!M251</f>
        <v>Main Event</v>
      </c>
      <c r="E253" s="39" t="str">
        <f>'G MTTS'!N251</f>
        <v>NLH</v>
      </c>
      <c r="F253" s="40" t="str">
        <f>'G MTTS'!O251</f>
        <v>OFF</v>
      </c>
      <c r="G253" s="41">
        <f>IF('G MTTS'!Q251=0," ",'G MTTS'!Q251*$A$3)</f>
        <v>50000</v>
      </c>
      <c r="H253" s="42">
        <f>IF('G MTTS'!V251=0," ",'G MTTS'!V251*$A$3)</f>
        <v>150</v>
      </c>
      <c r="I253" s="42" t="str">
        <f>IF('G MTTS'!W251=0," ",'G MTTS'!W251*$A$3)</f>
        <v> </v>
      </c>
      <c r="J253" s="42" t="str">
        <f>IF('G MTTS'!Z251=0," ",'G MTTS'!Z251*$A$3)</f>
        <v> </v>
      </c>
      <c r="K253" s="43">
        <f>'G MTTS'!AF251</f>
        <v>50000</v>
      </c>
      <c r="L253" s="43">
        <f>'G MTTS'!X251</f>
        <v>0</v>
      </c>
      <c r="M253" s="43" t="str">
        <f>'G MTTS'!AA251</f>
        <v>FREEZE</v>
      </c>
      <c r="N253" s="44">
        <f>'G MTTS'!AG251</f>
        <v>10</v>
      </c>
      <c r="O253" s="44">
        <f>'G MTTS'!AH251</f>
        <v>10</v>
      </c>
      <c r="P253" s="44">
        <f>'G MTTS'!AI251</f>
        <v>10</v>
      </c>
      <c r="Q253" s="45">
        <f>'G MTTS'!AJ251</f>
        <v>15</v>
      </c>
      <c r="R253" s="46">
        <f t="shared" si="22"/>
        <v>0.861122685185185</v>
      </c>
      <c r="S253" s="47" t="str">
        <f t="shared" si="23"/>
        <v>MEDIUM</v>
      </c>
    </row>
    <row r="254" ht="29.25" customHeight="1" outlineLevel="1" spans="1:19">
      <c r="A254" s="33">
        <f>COUNTIF(D250:D336,"Main Event")</f>
        <v>9</v>
      </c>
      <c r="B254" s="36">
        <f>'G MTTS'!B252</f>
        <v>0.791678240740741</v>
      </c>
      <c r="C254" s="48" t="str">
        <f>'G MTTS'!J252</f>
        <v>#AS 500K Battle HR+SPT</v>
      </c>
      <c r="D254" s="49" t="str">
        <f>'G MTTS'!M252</f>
        <v>Main Event</v>
      </c>
      <c r="E254" s="50" t="str">
        <f>'G MTTS'!N252</f>
        <v>NLH</v>
      </c>
      <c r="F254" s="51" t="str">
        <f>'G MTTS'!O252</f>
        <v>Progressive KO 1/2</v>
      </c>
      <c r="G254" s="52">
        <f>IF('G MTTS'!Q252=0," ",'G MTTS'!Q252*$A$3)</f>
        <v>508500</v>
      </c>
      <c r="H254" s="53">
        <f>IF('G MTTS'!V252=0," ",'G MTTS'!V252*$A$3)</f>
        <v>550</v>
      </c>
      <c r="I254" s="53">
        <f>IF('G MTTS'!W252=0," ",'G MTTS'!W252*$A$3)</f>
        <v>550</v>
      </c>
      <c r="J254" s="53" t="str">
        <f>IF('G MTTS'!Z252=0," ",'G MTTS'!Z252*$A$3)</f>
        <v> </v>
      </c>
      <c r="K254" s="54">
        <f>'G MTTS'!AF252</f>
        <v>50000</v>
      </c>
      <c r="L254" s="54">
        <f>'G MTTS'!X252</f>
        <v>60000</v>
      </c>
      <c r="M254" s="54" t="str">
        <f>'G MTTS'!AA252</f>
        <v>REENTRY</v>
      </c>
      <c r="N254" s="55">
        <f>'G MTTS'!AG252</f>
        <v>12</v>
      </c>
      <c r="O254" s="55">
        <f>'G MTTS'!AH252</f>
        <v>12</v>
      </c>
      <c r="P254" s="55">
        <f>'G MTTS'!AI252</f>
        <v>12</v>
      </c>
      <c r="Q254" s="56">
        <f>'G MTTS'!AJ252</f>
        <v>15</v>
      </c>
      <c r="R254" s="46">
        <f t="shared" si="22"/>
        <v>0.927094907407407</v>
      </c>
      <c r="S254" s="47" t="str">
        <f t="shared" si="23"/>
        <v>HIGH</v>
      </c>
    </row>
    <row r="255" ht="29.25" customHeight="1" outlineLevel="1" spans="1:19">
      <c r="A255" s="57" t="s">
        <v>518</v>
      </c>
      <c r="B255" s="36">
        <f>'G MTTS'!B253</f>
        <v>0.791678240740741</v>
      </c>
      <c r="C255" s="37" t="str">
        <f>'G MTTS'!J253</f>
        <v>100K HighS</v>
      </c>
      <c r="D255" s="38" t="str">
        <f>'G MTTS'!M253</f>
        <v>Main Event</v>
      </c>
      <c r="E255" s="39" t="str">
        <f>'G MTTS'!N253</f>
        <v>NLH</v>
      </c>
      <c r="F255" s="40" t="str">
        <f>'G MTTS'!O253</f>
        <v>Progressive KO 1/2</v>
      </c>
      <c r="G255" s="41">
        <f>IF('G MTTS'!Q253=0," ",'G MTTS'!Q253*$A$3)</f>
        <v>100000</v>
      </c>
      <c r="H255" s="42">
        <f>IF('G MTTS'!V253=0," ",'G MTTS'!V253*$A$3)</f>
        <v>1100</v>
      </c>
      <c r="I255" s="42">
        <f>IF('G MTTS'!W253=0," ",'G MTTS'!W253*$A$3)</f>
        <v>1100</v>
      </c>
      <c r="J255" s="42" t="str">
        <f>IF('G MTTS'!Z253=0," ",'G MTTS'!Z253*$A$3)</f>
        <v> </v>
      </c>
      <c r="K255" s="43">
        <f>'G MTTS'!AF253</f>
        <v>50000</v>
      </c>
      <c r="L255" s="43">
        <f>'G MTTS'!X253</f>
        <v>60000</v>
      </c>
      <c r="M255" s="43" t="str">
        <f>'G MTTS'!AA253</f>
        <v>REENTRY</v>
      </c>
      <c r="N255" s="44">
        <f>'G MTTS'!AG253</f>
        <v>12</v>
      </c>
      <c r="O255" s="44">
        <f>'G MTTS'!AH253</f>
        <v>12</v>
      </c>
      <c r="P255" s="44">
        <f>'G MTTS'!AI253</f>
        <v>12</v>
      </c>
      <c r="Q255" s="45">
        <f>'G MTTS'!AJ253</f>
        <v>15</v>
      </c>
      <c r="R255" s="46">
        <f t="shared" si="22"/>
        <v>0.927094907407407</v>
      </c>
      <c r="S255" s="47" t="str">
        <f t="shared" si="23"/>
        <v>HIGH</v>
      </c>
    </row>
    <row r="256" ht="29.25" customHeight="1" outlineLevel="1" spans="1:19">
      <c r="A256" s="58">
        <f>SUM(G250:G336,G339:G395)</f>
        <v>1739840</v>
      </c>
      <c r="B256" s="36">
        <f>'G MTTS'!B254</f>
        <v>0.833344907407407</v>
      </c>
      <c r="C256" s="48" t="str">
        <f>'G MTTS'!J254</f>
        <v>#AS 35K Freeze+SPS</v>
      </c>
      <c r="D256" s="49" t="str">
        <f>'G MTTS'!M254</f>
        <v>Main Event</v>
      </c>
      <c r="E256" s="50" t="str">
        <f>'G MTTS'!N254</f>
        <v>NLH</v>
      </c>
      <c r="F256" s="51" t="str">
        <f>'G MTTS'!O254</f>
        <v>OFF</v>
      </c>
      <c r="G256" s="52">
        <f>IF('G MTTS'!Q254=0," ",'G MTTS'!Q254*$A$3)</f>
        <v>36000</v>
      </c>
      <c r="H256" s="53">
        <f>IF('G MTTS'!V254=0," ",'G MTTS'!V254*$A$3)</f>
        <v>75</v>
      </c>
      <c r="I256" s="53" t="str">
        <f>IF('G MTTS'!W254=0," ",'G MTTS'!W254*$A$3)</f>
        <v> </v>
      </c>
      <c r="J256" s="53" t="str">
        <f>IF('G MTTS'!Z254=0," ",'G MTTS'!Z254*$A$3)</f>
        <v> </v>
      </c>
      <c r="K256" s="54">
        <f>'G MTTS'!AF254</f>
        <v>40000</v>
      </c>
      <c r="L256" s="54">
        <f>'G MTTS'!X254</f>
        <v>0</v>
      </c>
      <c r="M256" s="54" t="str">
        <f>'G MTTS'!AA254</f>
        <v>FREEZE</v>
      </c>
      <c r="N256" s="55">
        <f>'G MTTS'!AG254</f>
        <v>10</v>
      </c>
      <c r="O256" s="55">
        <f>'G MTTS'!AH254</f>
        <v>10</v>
      </c>
      <c r="P256" s="55">
        <f>'G MTTS'!AI254</f>
        <v>10</v>
      </c>
      <c r="Q256" s="56">
        <f>'G MTTS'!AJ254</f>
        <v>14</v>
      </c>
      <c r="R256" s="46">
        <f t="shared" si="22"/>
        <v>0.937511574074074</v>
      </c>
      <c r="S256" s="47" t="str">
        <f t="shared" si="23"/>
        <v>LOW</v>
      </c>
    </row>
    <row r="257" ht="29.25" customHeight="1" outlineLevel="1" spans="1:19">
      <c r="A257" s="60" t="s">
        <v>519</v>
      </c>
      <c r="B257" s="36">
        <f>'G MTTS'!B255</f>
        <v>0.833344907407407</v>
      </c>
      <c r="C257" s="37" t="str">
        <f>'G MTTS'!J255</f>
        <v>#AS 80K OmaX HR</v>
      </c>
      <c r="D257" s="38" t="str">
        <f>'G MTTS'!M255</f>
        <v>Main Event</v>
      </c>
      <c r="E257" s="39" t="str">
        <f>'G MTTS'!N255</f>
        <v>PLO5</v>
      </c>
      <c r="F257" s="40" t="str">
        <f>'G MTTS'!O255</f>
        <v>Progressive KO 1/2</v>
      </c>
      <c r="G257" s="41">
        <f>IF('G MTTS'!Q255=0," ",'G MTTS'!Q255*$A$3)</f>
        <v>80000</v>
      </c>
      <c r="H257" s="42">
        <f>IF('G MTTS'!V255=0," ",'G MTTS'!V255*$A$3)</f>
        <v>750</v>
      </c>
      <c r="I257" s="42">
        <f>IF('G MTTS'!W255=0," ",'G MTTS'!W255*$A$3)</f>
        <v>750</v>
      </c>
      <c r="J257" s="42" t="str">
        <f>IF('G MTTS'!Z255=0," ",'G MTTS'!Z255*$A$3)</f>
        <v> </v>
      </c>
      <c r="K257" s="43">
        <f>'G MTTS'!AF255</f>
        <v>50000</v>
      </c>
      <c r="L257" s="43">
        <f>'G MTTS'!X255</f>
        <v>60000</v>
      </c>
      <c r="M257" s="43" t="str">
        <f>'G MTTS'!AA255</f>
        <v>REENTRY</v>
      </c>
      <c r="N257" s="44">
        <f>'G MTTS'!AG255</f>
        <v>12</v>
      </c>
      <c r="O257" s="44">
        <f>'G MTTS'!AH255</f>
        <v>12</v>
      </c>
      <c r="P257" s="44">
        <f>'G MTTS'!AI255</f>
        <v>12</v>
      </c>
      <c r="Q257" s="45">
        <f>'G MTTS'!AJ255</f>
        <v>15</v>
      </c>
      <c r="R257" s="46">
        <f t="shared" si="22"/>
        <v>0.968761574074074</v>
      </c>
      <c r="S257" s="47" t="str">
        <f t="shared" si="23"/>
        <v>HIGH</v>
      </c>
    </row>
    <row r="258" ht="29.25" customHeight="1" outlineLevel="1" spans="1:19">
      <c r="B258" s="36">
        <f>'G MTTS'!B256</f>
        <v>0.875011574074074</v>
      </c>
      <c r="C258" s="37" t="str">
        <f>'G MTTS'!J256</f>
        <v>#AS 40K Bounty+SPS</v>
      </c>
      <c r="D258" s="38" t="str">
        <f>'G MTTS'!M256</f>
        <v>Main Event</v>
      </c>
      <c r="E258" s="39" t="str">
        <f>'G MTTS'!N256</f>
        <v>NLH</v>
      </c>
      <c r="F258" s="40" t="str">
        <f>'G MTTS'!O256</f>
        <v>Progressive KO 1/2</v>
      </c>
      <c r="G258" s="41">
        <f>IF('G MTTS'!Q256=0," ",'G MTTS'!Q256*$A$3)</f>
        <v>41000</v>
      </c>
      <c r="H258" s="42">
        <f>IF('G MTTS'!V256=0," ",'G MTTS'!V256*$A$3)</f>
        <v>150</v>
      </c>
      <c r="I258" s="42">
        <f>IF('G MTTS'!W256=0," ",'G MTTS'!W256*$A$3)</f>
        <v>150</v>
      </c>
      <c r="J258" s="42" t="str">
        <f>IF('G MTTS'!Z256=0," ",'G MTTS'!Z256*$A$3)</f>
        <v> </v>
      </c>
      <c r="K258" s="43">
        <f>'G MTTS'!AF256</f>
        <v>60000</v>
      </c>
      <c r="L258" s="43">
        <f>'G MTTS'!X256</f>
        <v>0</v>
      </c>
      <c r="M258" s="43" t="str">
        <f>'G MTTS'!AA256</f>
        <v>REENTRY</v>
      </c>
      <c r="N258" s="44">
        <f>'G MTTS'!AG256</f>
        <v>10</v>
      </c>
      <c r="O258" s="44">
        <f>'G MTTS'!AH256</f>
        <v>10</v>
      </c>
      <c r="P258" s="44">
        <f>'G MTTS'!AI256</f>
        <v>10</v>
      </c>
      <c r="Q258" s="45">
        <f>'G MTTS'!AJ256</f>
        <v>14</v>
      </c>
      <c r="R258" s="46">
        <f t="shared" si="22"/>
        <v>0.979178240740741</v>
      </c>
      <c r="S258" s="47" t="str">
        <f t="shared" si="23"/>
        <v>MEDIUM</v>
      </c>
    </row>
    <row r="259" ht="29.25" customHeight="1" outlineLevel="1" spans="1:19">
      <c r="B259" s="62">
        <f>'G MTTS'!B257</f>
        <v>0</v>
      </c>
      <c r="C259" s="63">
        <f>'G MTTS'!J257</f>
        <v>0</v>
      </c>
      <c r="D259" s="64">
        <f>'G MTTS'!M257</f>
        <v>0</v>
      </c>
      <c r="E259" s="65">
        <f>'G MTTS'!N257</f>
        <v>0</v>
      </c>
      <c r="F259" s="66">
        <f>'G MTTS'!O257</f>
        <v>0</v>
      </c>
      <c r="G259" s="67" t="str">
        <f>IF('G MTTS'!Q257=0," ",'G MTTS'!Q257*5)</f>
        <v> </v>
      </c>
      <c r="H259" s="68" t="str">
        <f>IF('G MTTS'!V257=0," ",'G MTTS'!V257*5)</f>
        <v> </v>
      </c>
      <c r="I259" s="68" t="str">
        <f>IF('G MTTS'!W257=0," ",'G MTTS'!W257*5)</f>
        <v> </v>
      </c>
      <c r="J259" s="68" t="str">
        <f>IF('G MTTS'!Z257=0," ",'G MTTS'!Z257*5)</f>
        <v> </v>
      </c>
      <c r="K259" s="69">
        <f>'G MTTS'!AF257</f>
        <v>0</v>
      </c>
      <c r="L259" s="69">
        <f>'G MTTS'!X257</f>
        <v>0</v>
      </c>
      <c r="M259" s="69">
        <f>'G MTTS'!AA257</f>
        <v>0</v>
      </c>
      <c r="N259" s="70">
        <f>'G MTTS'!AG257</f>
        <v>0</v>
      </c>
      <c r="O259" s="70">
        <f>'G MTTS'!AH257</f>
        <v>0</v>
      </c>
      <c r="P259" s="70">
        <f>'G MTTS'!AI257</f>
        <v>0</v>
      </c>
      <c r="Q259" s="71">
        <f>'G MTTS'!AJ257</f>
        <v>0</v>
      </c>
      <c r="R259" s="46" t="str">
        <f t="shared" si="22"/>
        <v> </v>
      </c>
      <c r="S259" s="47"/>
    </row>
    <row r="260" ht="29.25" customHeight="1" outlineLevel="1" spans="1:19">
      <c r="A260" s="60" t="s">
        <v>519</v>
      </c>
      <c r="B260" s="36">
        <f>'G MTTS'!B258</f>
        <v>1.15740740740741e-5</v>
      </c>
      <c r="C260" s="48" t="str">
        <f>'G MTTS'!J258</f>
        <v>#AS 8K Sonic+SPS</v>
      </c>
      <c r="D260" s="81" t="str">
        <f>'G MTTS'!M258</f>
        <v>Side Event</v>
      </c>
      <c r="E260" s="82" t="str">
        <f>'G MTTS'!N258</f>
        <v>NLH</v>
      </c>
      <c r="F260" s="83" t="str">
        <f>'G MTTS'!O258</f>
        <v>OFF</v>
      </c>
      <c r="G260" s="84">
        <f>IF('G MTTS'!Q258=0," ",'G MTTS'!Q258*$A$3)</f>
        <v>9000</v>
      </c>
      <c r="H260" s="85">
        <f>IF('G MTTS'!V258=0," ",'G MTTS'!V258*$A$3)</f>
        <v>35</v>
      </c>
      <c r="I260" s="85">
        <f>IF('G MTTS'!W258=0," ",'G MTTS'!W258*$A$3)</f>
        <v>35</v>
      </c>
      <c r="J260" s="85" t="str">
        <f>IF('G MTTS'!Z258=0," ",'G MTTS'!Z258*$A$3)</f>
        <v> </v>
      </c>
      <c r="K260" s="86">
        <f>'G MTTS'!AF258</f>
        <v>50000</v>
      </c>
      <c r="L260" s="86">
        <f>'G MTTS'!X258</f>
        <v>0</v>
      </c>
      <c r="M260" s="86" t="str">
        <f>'G MTTS'!AA258</f>
        <v>REENTRY</v>
      </c>
      <c r="N260" s="87">
        <f>'G MTTS'!AG258</f>
        <v>6</v>
      </c>
      <c r="O260" s="87">
        <f>'G MTTS'!AH258</f>
        <v>5</v>
      </c>
      <c r="P260" s="87">
        <f>'G MTTS'!AI258</f>
        <v>5</v>
      </c>
      <c r="Q260" s="88">
        <f>'G MTTS'!AJ258</f>
        <v>13</v>
      </c>
      <c r="R260" s="46">
        <f t="shared" si="22"/>
        <v>0.057650462962963</v>
      </c>
      <c r="S260" s="47" t="str">
        <f t="shared" ref="S260:S339" si="24">IFERROR(IF(H260=0," ",IF(H260&lt;=25,"MICRO",IF(H260&lt;=99,"LOW",IF(H260&lt;=499,"MEDIUM",IF(H260&lt;=2500,"HIGH",IF(H260&gt;2500,"SUPER HIGH",)))))),"")</f>
        <v>LOW</v>
      </c>
    </row>
    <row r="261" ht="29.25" customHeight="1" outlineLevel="1" spans="1:19">
      <c r="B261" s="36">
        <f>'G MTTS'!B259</f>
        <v>1.15740740740741e-5</v>
      </c>
      <c r="C261" s="37" t="str">
        <f>'G MTTS'!J259</f>
        <v>1.5K Omax K.O</v>
      </c>
      <c r="D261" s="38" t="str">
        <f>'G MTTS'!M259</f>
        <v>Side Event</v>
      </c>
      <c r="E261" s="39" t="str">
        <f>'G MTTS'!N259</f>
        <v>PLO5</v>
      </c>
      <c r="F261" s="40" t="str">
        <f>'G MTTS'!O259</f>
        <v>Regular KO 1/3</v>
      </c>
      <c r="G261" s="41">
        <f>IF('G MTTS'!Q259=0," ",'G MTTS'!Q259*$A$3)</f>
        <v>1500</v>
      </c>
      <c r="H261" s="42">
        <f>IF('G MTTS'!V259=0," ",'G MTTS'!V259*$A$3)</f>
        <v>10</v>
      </c>
      <c r="I261" s="42">
        <f>IF('G MTTS'!W259=0," ",'G MTTS'!W259*$A$3)</f>
        <v>10</v>
      </c>
      <c r="J261" s="42" t="str">
        <f>IF('G MTTS'!Z259=0," ",'G MTTS'!Z259*$A$3)</f>
        <v> </v>
      </c>
      <c r="K261" s="43">
        <f>'G MTTS'!AF259</f>
        <v>60000</v>
      </c>
      <c r="L261" s="43">
        <f>'G MTTS'!X259</f>
        <v>0</v>
      </c>
      <c r="M261" s="43" t="str">
        <f>'G MTTS'!AA259</f>
        <v>REENTRY</v>
      </c>
      <c r="N261" s="44">
        <f>'G MTTS'!AG259</f>
        <v>6</v>
      </c>
      <c r="O261" s="44">
        <f>'G MTTS'!AH259</f>
        <v>5</v>
      </c>
      <c r="P261" s="44">
        <f>'G MTTS'!AI259</f>
        <v>5</v>
      </c>
      <c r="Q261" s="45">
        <f>'G MTTS'!AJ259</f>
        <v>12</v>
      </c>
      <c r="R261" s="46">
        <f t="shared" si="22"/>
        <v>0.0534837962962963</v>
      </c>
      <c r="S261" s="47" t="str">
        <f t="shared" si="24"/>
        <v>MICRO</v>
      </c>
    </row>
    <row r="262" ht="29.25" customHeight="1" outlineLevel="1" spans="1:19">
      <c r="B262" s="36">
        <f>'G MTTS'!B260</f>
        <v>0.013900462962963</v>
      </c>
      <c r="C262" s="48" t="str">
        <f>'G MTTS'!J260</f>
        <v>600 Battle Turbo</v>
      </c>
      <c r="D262" s="49" t="str">
        <f>'G MTTS'!M260</f>
        <v>Side Event</v>
      </c>
      <c r="E262" s="50" t="str">
        <f>'G MTTS'!N260</f>
        <v>NLH</v>
      </c>
      <c r="F262" s="51" t="str">
        <f>'G MTTS'!O260</f>
        <v>Regular KO 1/3</v>
      </c>
      <c r="G262" s="52">
        <f>IF('G MTTS'!Q260=0," ",'G MTTS'!Q260*$A$3)</f>
        <v>600</v>
      </c>
      <c r="H262" s="53">
        <f>IF('G MTTS'!V260=0," ",'G MTTS'!V260*$A$3)</f>
        <v>5</v>
      </c>
      <c r="I262" s="53">
        <f>IF('G MTTS'!W260=0," ",'G MTTS'!W260*$A$3)</f>
        <v>5</v>
      </c>
      <c r="J262" s="53" t="str">
        <f>IF('G MTTS'!Z260=0," ",'G MTTS'!Z260*$A$3)</f>
        <v> </v>
      </c>
      <c r="K262" s="54">
        <f>'G MTTS'!AF260</f>
        <v>15000</v>
      </c>
      <c r="L262" s="54">
        <f>'G MTTS'!X260</f>
        <v>0</v>
      </c>
      <c r="M262" s="54" t="str">
        <f>'G MTTS'!AA260</f>
        <v>REENTRY</v>
      </c>
      <c r="N262" s="55">
        <f>'G MTTS'!AG260</f>
        <v>6</v>
      </c>
      <c r="O262" s="55">
        <f>'G MTTS'!AH260</f>
        <v>5</v>
      </c>
      <c r="P262" s="55">
        <f>'G MTTS'!AI260</f>
        <v>5</v>
      </c>
      <c r="Q262" s="56">
        <f>'G MTTS'!AJ260</f>
        <v>13</v>
      </c>
      <c r="R262" s="46">
        <f t="shared" si="22"/>
        <v>0.0715393518518519</v>
      </c>
      <c r="S262" s="47" t="str">
        <f t="shared" si="24"/>
        <v>MICRO</v>
      </c>
    </row>
    <row r="263" ht="29.25" customHeight="1" outlineLevel="1" spans="1:19">
      <c r="A263" s="60" t="s">
        <v>519</v>
      </c>
      <c r="B263" s="36">
        <f>'G MTTS'!B261</f>
        <v>0.0208449074074074</v>
      </c>
      <c r="C263" s="37" t="str">
        <f>'G MTTS'!J261</f>
        <v>#AS 3.5K Plus Turbo</v>
      </c>
      <c r="D263" s="38" t="str">
        <f>'G MTTS'!M261</f>
        <v>Side Event</v>
      </c>
      <c r="E263" s="39" t="str">
        <f>'G MTTS'!N261</f>
        <v>NLH</v>
      </c>
      <c r="F263" s="40" t="str">
        <f>'G MTTS'!O261</f>
        <v>OFF</v>
      </c>
      <c r="G263" s="41">
        <f>IF('G MTTS'!Q261=0," ",'G MTTS'!Q261*$A$3)</f>
        <v>3500</v>
      </c>
      <c r="H263" s="42">
        <f>IF('G MTTS'!V261=0," ",'G MTTS'!V261*$A$3)</f>
        <v>6</v>
      </c>
      <c r="I263" s="42">
        <f>IF('G MTTS'!W261=0," ",'G MTTS'!W261*$A$3)</f>
        <v>6</v>
      </c>
      <c r="J263" s="42">
        <f>IF('G MTTS'!Z261=0," ",'G MTTS'!Z261*$A$3)</f>
        <v>6</v>
      </c>
      <c r="K263" s="43">
        <f>'G MTTS'!AF261</f>
        <v>30000</v>
      </c>
      <c r="L263" s="43">
        <f>'G MTTS'!X261</f>
        <v>0</v>
      </c>
      <c r="M263" s="43">
        <f>'G MTTS'!AA261</f>
        <v>70000</v>
      </c>
      <c r="N263" s="44">
        <f>'G MTTS'!AG261</f>
        <v>5</v>
      </c>
      <c r="O263" s="44">
        <f>'G MTTS'!AH261</f>
        <v>5</v>
      </c>
      <c r="P263" s="44">
        <f>'G MTTS'!AI261</f>
        <v>5</v>
      </c>
      <c r="Q263" s="45">
        <f>'G MTTS'!AJ261</f>
        <v>13</v>
      </c>
      <c r="R263" s="46">
        <f t="shared" si="22"/>
        <v>0.0694560185185185</v>
      </c>
      <c r="S263" s="47" t="str">
        <f t="shared" si="24"/>
        <v>MICRO</v>
      </c>
    </row>
    <row r="264" ht="29.25" customHeight="1" outlineLevel="1" spans="1:19">
      <c r="B264" s="36">
        <f>'G MTTS'!B262</f>
        <v>0.0208449074074074</v>
      </c>
      <c r="C264" s="48" t="str">
        <f>'G MTTS'!J262</f>
        <v>#AS 1K Omax</v>
      </c>
      <c r="D264" s="49" t="str">
        <f>'G MTTS'!M262</f>
        <v>Side Event</v>
      </c>
      <c r="E264" s="50" t="str">
        <f>'G MTTS'!N262</f>
        <v>PLO5</v>
      </c>
      <c r="F264" s="51" t="str">
        <f>'G MTTS'!O262</f>
        <v>OFF</v>
      </c>
      <c r="G264" s="52">
        <f>IF('G MTTS'!Q262=0," ",'G MTTS'!Q262*$A$3)</f>
        <v>1000</v>
      </c>
      <c r="H264" s="53">
        <f>IF('G MTTS'!V262=0," ",'G MTTS'!V262*$A$3)</f>
        <v>5</v>
      </c>
      <c r="I264" s="53">
        <f>IF('G MTTS'!W262=0," ",'G MTTS'!W262*$A$3)</f>
        <v>5</v>
      </c>
      <c r="J264" s="53">
        <f>IF('G MTTS'!Z262=0," ",'G MTTS'!Z262*$A$3)</f>
        <v>5</v>
      </c>
      <c r="K264" s="54">
        <f>'G MTTS'!AF262</f>
        <v>30000</v>
      </c>
      <c r="L264" s="54">
        <f>'G MTTS'!X262</f>
        <v>0</v>
      </c>
      <c r="M264" s="54">
        <f>'G MTTS'!AA262</f>
        <v>80000</v>
      </c>
      <c r="N264" s="55">
        <f>'G MTTS'!AG262</f>
        <v>6</v>
      </c>
      <c r="O264" s="55">
        <f>'G MTTS'!AH262</f>
        <v>6</v>
      </c>
      <c r="P264" s="55">
        <f>'G MTTS'!AI262</f>
        <v>6</v>
      </c>
      <c r="Q264" s="56">
        <f>'G MTTS'!AJ262</f>
        <v>12</v>
      </c>
      <c r="R264" s="46">
        <f t="shared" si="22"/>
        <v>0.0743171296296296</v>
      </c>
      <c r="S264" s="47" t="str">
        <f t="shared" si="24"/>
        <v>MICRO</v>
      </c>
    </row>
    <row r="265" ht="29.25" customHeight="1" outlineLevel="1" spans="1:19">
      <c r="B265" s="133">
        <f>'G MTTS'!B263</f>
        <v>0.0416782407407407</v>
      </c>
      <c r="C265" s="37" t="str">
        <f>'G MTTS'!J263</f>
        <v>#AS 8.5K Plus</v>
      </c>
      <c r="D265" s="38" t="str">
        <f>'G MTTS'!M263</f>
        <v>Side Event</v>
      </c>
      <c r="E265" s="39" t="str">
        <f>'G MTTS'!N263</f>
        <v>NLH</v>
      </c>
      <c r="F265" s="40" t="str">
        <f>'G MTTS'!O263</f>
        <v>OFF</v>
      </c>
      <c r="G265" s="41">
        <f>IF('G MTTS'!Q263=0," ",'G MTTS'!Q263*$A$3)</f>
        <v>8500</v>
      </c>
      <c r="H265" s="42">
        <f>IF('G MTTS'!V263=0," ",'G MTTS'!V263*$A$3)</f>
        <v>15</v>
      </c>
      <c r="I265" s="42">
        <f>IF('G MTTS'!W263=0," ",'G MTTS'!W263*$A$3)</f>
        <v>15</v>
      </c>
      <c r="J265" s="42">
        <f>IF('G MTTS'!Z263=0," ",'G MTTS'!Z263*$A$3)</f>
        <v>15</v>
      </c>
      <c r="K265" s="43">
        <f>'G MTTS'!AF263</f>
        <v>40000</v>
      </c>
      <c r="L265" s="43">
        <f>'G MTTS'!X263</f>
        <v>0</v>
      </c>
      <c r="M265" s="43">
        <f>'G MTTS'!AA263</f>
        <v>120000</v>
      </c>
      <c r="N265" s="44">
        <f>'G MTTS'!AG263</f>
        <v>6</v>
      </c>
      <c r="O265" s="44">
        <f>'G MTTS'!AH263</f>
        <v>5</v>
      </c>
      <c r="P265" s="44">
        <f>'G MTTS'!AI263</f>
        <v>5</v>
      </c>
      <c r="Q265" s="45">
        <f>'G MTTS'!AJ263</f>
        <v>13</v>
      </c>
      <c r="R265" s="46">
        <f t="shared" si="22"/>
        <v>0.0993171296296296</v>
      </c>
      <c r="S265" s="47" t="str">
        <f t="shared" si="24"/>
        <v>MICRO</v>
      </c>
    </row>
    <row r="266" ht="29.25" customHeight="1" outlineLevel="1" spans="1:19">
      <c r="A266" s="60" t="s">
        <v>519</v>
      </c>
      <c r="B266" s="133">
        <f>'G MTTS'!B264</f>
        <v>0.0416782407407407</v>
      </c>
      <c r="C266" s="48" t="str">
        <f>'G MTTS'!J264</f>
        <v>#AS 2K Omax K.O</v>
      </c>
      <c r="D266" s="49" t="str">
        <f>'G MTTS'!M264</f>
        <v>Side Event</v>
      </c>
      <c r="E266" s="50" t="str">
        <f>'G MTTS'!N264</f>
        <v>PLO4</v>
      </c>
      <c r="F266" s="51" t="str">
        <f>'G MTTS'!O264</f>
        <v>Regular KO 1/3</v>
      </c>
      <c r="G266" s="52">
        <f>IF('G MTTS'!Q264=0," ",'G MTTS'!Q264*$A$3)</f>
        <v>2000</v>
      </c>
      <c r="H266" s="53">
        <f>IF('G MTTS'!V264=0," ",'G MTTS'!V264*$A$3)</f>
        <v>50</v>
      </c>
      <c r="I266" s="53">
        <f>IF('G MTTS'!W264=0," ",'G MTTS'!W264*$A$3)</f>
        <v>50</v>
      </c>
      <c r="J266" s="53" t="str">
        <f>IF('G MTTS'!Z264=0," ",'G MTTS'!Z264*$A$3)</f>
        <v> </v>
      </c>
      <c r="K266" s="54">
        <f>'G MTTS'!AF264</f>
        <v>50000</v>
      </c>
      <c r="L266" s="54">
        <f>'G MTTS'!X264</f>
        <v>0</v>
      </c>
      <c r="M266" s="54" t="str">
        <f>'G MTTS'!AA264</f>
        <v>REENTRY</v>
      </c>
      <c r="N266" s="55">
        <f>'G MTTS'!AG264</f>
        <v>6</v>
      </c>
      <c r="O266" s="55">
        <f>'G MTTS'!AH264</f>
        <v>6</v>
      </c>
      <c r="P266" s="55">
        <f>'G MTTS'!AI264</f>
        <v>6</v>
      </c>
      <c r="Q266" s="56">
        <f>'G MTTS'!AJ264</f>
        <v>15</v>
      </c>
      <c r="R266" s="46">
        <f t="shared" si="22"/>
        <v>0.107650462962963</v>
      </c>
      <c r="S266" s="47" t="str">
        <f t="shared" si="24"/>
        <v>LOW</v>
      </c>
    </row>
    <row r="267" ht="29.25" customHeight="1" outlineLevel="1" spans="1:19">
      <c r="B267" s="133">
        <f>'G MTTS'!B265</f>
        <v>0.0625115740740741</v>
      </c>
      <c r="C267" s="37" t="str">
        <f>'G MTTS'!J265</f>
        <v>500 Omax PKO</v>
      </c>
      <c r="D267" s="38" t="str">
        <f>'G MTTS'!M265</f>
        <v>Side Event</v>
      </c>
      <c r="E267" s="39" t="str">
        <f>'G MTTS'!N265</f>
        <v>PLO5</v>
      </c>
      <c r="F267" s="40" t="str">
        <f>'G MTTS'!O265</f>
        <v>Progressive KO 1/2</v>
      </c>
      <c r="G267" s="41">
        <f>IF('G MTTS'!Q265=0," ",'G MTTS'!Q265*$A$3)</f>
        <v>500</v>
      </c>
      <c r="H267" s="42">
        <f>IF('G MTTS'!V265=0," ",'G MTTS'!V265*$A$3)</f>
        <v>3</v>
      </c>
      <c r="I267" s="42">
        <f>IF('G MTTS'!W265=0," ",'G MTTS'!W265*$A$3)</f>
        <v>3</v>
      </c>
      <c r="J267" s="42" t="str">
        <f>IF('G MTTS'!Z265=0," ",'G MTTS'!Z265*$A$3)</f>
        <v> </v>
      </c>
      <c r="K267" s="43">
        <f>'G MTTS'!AF265</f>
        <v>30000</v>
      </c>
      <c r="L267" s="43">
        <f>'G MTTS'!X265</f>
        <v>0</v>
      </c>
      <c r="M267" s="43" t="str">
        <f>'G MTTS'!AA265</f>
        <v>REENTRY</v>
      </c>
      <c r="N267" s="44">
        <f>'G MTTS'!AG265</f>
        <v>5</v>
      </c>
      <c r="O267" s="44">
        <f>'G MTTS'!AH265</f>
        <v>5</v>
      </c>
      <c r="P267" s="44">
        <f>'G MTTS'!AI265</f>
        <v>5</v>
      </c>
      <c r="Q267" s="45">
        <f>'G MTTS'!AJ265</f>
        <v>13</v>
      </c>
      <c r="R267" s="46">
        <f t="shared" si="22"/>
        <v>0.111122685185185</v>
      </c>
      <c r="S267" s="47" t="str">
        <f t="shared" si="24"/>
        <v>MICRO</v>
      </c>
    </row>
    <row r="268" ht="29.25" customHeight="1" outlineLevel="1" spans="1:19">
      <c r="B268" s="36">
        <f>'G MTTS'!B266</f>
        <v>0.0833449074074074</v>
      </c>
      <c r="C268" s="48" t="str">
        <f>'G MTTS'!J266</f>
        <v>#AS 5K Battle</v>
      </c>
      <c r="D268" s="49" t="str">
        <f>'G MTTS'!M266</f>
        <v>Side Event</v>
      </c>
      <c r="E268" s="50" t="str">
        <f>'G MTTS'!N266</f>
        <v>NLH</v>
      </c>
      <c r="F268" s="51" t="str">
        <f>'G MTTS'!O266</f>
        <v>Progressive KO 1/2</v>
      </c>
      <c r="G268" s="52">
        <f>IF('G MTTS'!Q266=0," ",'G MTTS'!Q266*$A$3)</f>
        <v>5000</v>
      </c>
      <c r="H268" s="53">
        <f>IF('G MTTS'!V266=0," ",'G MTTS'!V266*$A$3)</f>
        <v>35</v>
      </c>
      <c r="I268" s="53">
        <f>IF('G MTTS'!W266=0," ",'G MTTS'!W266*$A$3)</f>
        <v>35</v>
      </c>
      <c r="J268" s="53" t="str">
        <f>IF('G MTTS'!Z266=0," ",'G MTTS'!Z266*$A$3)</f>
        <v> </v>
      </c>
      <c r="K268" s="54">
        <f>'G MTTS'!AF266</f>
        <v>40000</v>
      </c>
      <c r="L268" s="54">
        <f>'G MTTS'!X266</f>
        <v>0</v>
      </c>
      <c r="M268" s="54" t="str">
        <f>'G MTTS'!AA266</f>
        <v>REENTRY</v>
      </c>
      <c r="N268" s="55">
        <f>'G MTTS'!AG266</f>
        <v>6</v>
      </c>
      <c r="O268" s="55">
        <f>'G MTTS'!AH266</f>
        <v>5</v>
      </c>
      <c r="P268" s="55">
        <f>'G MTTS'!AI266</f>
        <v>5</v>
      </c>
      <c r="Q268" s="56">
        <f>'G MTTS'!AJ266</f>
        <v>13</v>
      </c>
      <c r="R268" s="46">
        <f t="shared" si="22"/>
        <v>0.140983796296296</v>
      </c>
      <c r="S268" s="47" t="str">
        <f t="shared" si="24"/>
        <v>LOW</v>
      </c>
    </row>
    <row r="269" ht="29.25" customHeight="1" outlineLevel="1" spans="1:19">
      <c r="A269" s="60" t="s">
        <v>519</v>
      </c>
      <c r="B269" s="36">
        <f>'G MTTS'!B267</f>
        <v>0.104178240740741</v>
      </c>
      <c r="C269" s="37" t="str">
        <f>'G MTTS'!J267</f>
        <v>1.5K Plus+SPS</v>
      </c>
      <c r="D269" s="38" t="str">
        <f>'G MTTS'!M267</f>
        <v>Side Event</v>
      </c>
      <c r="E269" s="39" t="str">
        <f>'G MTTS'!N267</f>
        <v>NLH</v>
      </c>
      <c r="F269" s="40" t="str">
        <f>'G MTTS'!O267</f>
        <v>OFF</v>
      </c>
      <c r="G269" s="41">
        <f>IF('G MTTS'!Q267=0," ",'G MTTS'!Q267*$A$3)</f>
        <v>1650</v>
      </c>
      <c r="H269" s="42">
        <f>IF('G MTTS'!V267=0," ",'G MTTS'!V267*$A$3)</f>
        <v>3</v>
      </c>
      <c r="I269" s="42">
        <f>IF('G MTTS'!W267=0," ",'G MTTS'!W267*$A$3)</f>
        <v>3</v>
      </c>
      <c r="J269" s="42">
        <f>IF('G MTTS'!Z267=0," ",'G MTTS'!Z267*$A$3)</f>
        <v>4</v>
      </c>
      <c r="K269" s="43">
        <f>'G MTTS'!AF267</f>
        <v>50000</v>
      </c>
      <c r="L269" s="43">
        <f>'G MTTS'!X267</f>
        <v>0</v>
      </c>
      <c r="M269" s="43">
        <f>'G MTTS'!AA267</f>
        <v>100000</v>
      </c>
      <c r="N269" s="44">
        <f>'G MTTS'!AG267</f>
        <v>5</v>
      </c>
      <c r="O269" s="44">
        <f>'G MTTS'!AH267</f>
        <v>5</v>
      </c>
      <c r="P269" s="44">
        <f>'G MTTS'!AI267</f>
        <v>5</v>
      </c>
      <c r="Q269" s="45">
        <f>'G MTTS'!AJ267</f>
        <v>13</v>
      </c>
      <c r="R269" s="46">
        <f t="shared" si="22"/>
        <v>0.152789351851852</v>
      </c>
      <c r="S269" s="47" t="str">
        <f t="shared" si="24"/>
        <v>MICRO</v>
      </c>
    </row>
    <row r="270" ht="29.25" customHeight="1" outlineLevel="1" spans="1:19">
      <c r="B270" s="36">
        <f>'G MTTS'!B268</f>
        <v>0.131956018518519</v>
      </c>
      <c r="C270" s="48" t="str">
        <f>'G MTTS'!J268</f>
        <v>800 Omax</v>
      </c>
      <c r="D270" s="49" t="str">
        <f>'G MTTS'!M268</f>
        <v>Side Event</v>
      </c>
      <c r="E270" s="50" t="str">
        <f>'G MTTS'!N268</f>
        <v>PLO5</v>
      </c>
      <c r="F270" s="51" t="str">
        <f>'G MTTS'!O268</f>
        <v>OFF</v>
      </c>
      <c r="G270" s="52">
        <f>IF('G MTTS'!Q268=0," ",'G MTTS'!Q268*$A$3)</f>
        <v>800</v>
      </c>
      <c r="H270" s="53">
        <f>IF('G MTTS'!V268=0," ",'G MTTS'!V268*$A$3)</f>
        <v>10</v>
      </c>
      <c r="I270" s="53">
        <f>IF('G MTTS'!W268=0," ",'G MTTS'!W268*$A$3)</f>
        <v>10</v>
      </c>
      <c r="J270" s="53">
        <f>IF('G MTTS'!Z268=0," ",'G MTTS'!Z268*$A$3)</f>
        <v>10</v>
      </c>
      <c r="K270" s="54">
        <f>'G MTTS'!AF268</f>
        <v>30000</v>
      </c>
      <c r="L270" s="54">
        <f>'G MTTS'!X268</f>
        <v>0</v>
      </c>
      <c r="M270" s="54">
        <f>'G MTTS'!AA268</f>
        <v>90000</v>
      </c>
      <c r="N270" s="55">
        <f>'G MTTS'!AG268</f>
        <v>5</v>
      </c>
      <c r="O270" s="55">
        <f>'G MTTS'!AH268</f>
        <v>5</v>
      </c>
      <c r="P270" s="55">
        <f>'G MTTS'!AI268</f>
        <v>5</v>
      </c>
      <c r="Q270" s="56">
        <f>'G MTTS'!AJ268</f>
        <v>12</v>
      </c>
      <c r="R270" s="46">
        <f t="shared" si="22"/>
        <v>0.177094907407407</v>
      </c>
      <c r="S270" s="47" t="str">
        <f t="shared" si="24"/>
        <v>MICRO</v>
      </c>
    </row>
    <row r="271" ht="29.25" customHeight="1" outlineLevel="1" spans="1:19">
      <c r="B271" s="36">
        <f>'G MTTS'!B269</f>
        <v>0.131956018518519</v>
      </c>
      <c r="C271" s="37" t="str">
        <f>'G MTTS'!J269</f>
        <v>#AS 1.5K Battle</v>
      </c>
      <c r="D271" s="38" t="str">
        <f>'G MTTS'!M269</f>
        <v>Side Event</v>
      </c>
      <c r="E271" s="39" t="str">
        <f>'G MTTS'!N269</f>
        <v>NLH</v>
      </c>
      <c r="F271" s="40" t="str">
        <f>'G MTTS'!O269</f>
        <v>Progressive KO 1/2</v>
      </c>
      <c r="G271" s="41">
        <f>IF('G MTTS'!Q269=0," ",'G MTTS'!Q269*$A$3)</f>
        <v>1500</v>
      </c>
      <c r="H271" s="42">
        <f>IF('G MTTS'!V269=0," ",'G MTTS'!V269*$A$3)</f>
        <v>25</v>
      </c>
      <c r="I271" s="42">
        <f>IF('G MTTS'!W269=0," ",'G MTTS'!W269*$A$3)</f>
        <v>25</v>
      </c>
      <c r="J271" s="42" t="str">
        <f>IF('G MTTS'!Z269=0," ",'G MTTS'!Z269*$A$3)</f>
        <v> </v>
      </c>
      <c r="K271" s="43">
        <f>'G MTTS'!AF269</f>
        <v>30000</v>
      </c>
      <c r="L271" s="43">
        <f>'G MTTS'!X269</f>
        <v>0</v>
      </c>
      <c r="M271" s="43" t="str">
        <f>'G MTTS'!AA269</f>
        <v>REENTRY</v>
      </c>
      <c r="N271" s="44">
        <f>'G MTTS'!AG269</f>
        <v>5</v>
      </c>
      <c r="O271" s="44">
        <f>'G MTTS'!AH269</f>
        <v>5</v>
      </c>
      <c r="P271" s="44">
        <f>'G MTTS'!AI269</f>
        <v>5</v>
      </c>
      <c r="Q271" s="45">
        <f>'G MTTS'!AJ269</f>
        <v>12</v>
      </c>
      <c r="R271" s="46">
        <f t="shared" si="22"/>
        <v>0.177094907407407</v>
      </c>
      <c r="S271" s="47" t="str">
        <f t="shared" si="24"/>
        <v>MICRO</v>
      </c>
    </row>
    <row r="272" ht="29.25" customHeight="1" outlineLevel="1" spans="1:19">
      <c r="A272" s="60" t="s">
        <v>519</v>
      </c>
      <c r="B272" s="36">
        <f>'G MTTS'!B270</f>
        <v>0.173622685185185</v>
      </c>
      <c r="C272" s="48" t="str">
        <f>'G MTTS'!J270</f>
        <v>#AS 1.5K Plus</v>
      </c>
      <c r="D272" s="49" t="str">
        <f>'G MTTS'!M270</f>
        <v>Side Event</v>
      </c>
      <c r="E272" s="50" t="str">
        <f>'G MTTS'!N270</f>
        <v>NLH</v>
      </c>
      <c r="F272" s="51" t="str">
        <f>'G MTTS'!O270</f>
        <v>OFF</v>
      </c>
      <c r="G272" s="52">
        <f>IF('G MTTS'!Q270=0," ",'G MTTS'!Q270*$A$3)</f>
        <v>1500</v>
      </c>
      <c r="H272" s="53">
        <f>IF('G MTTS'!V270=0," ",'G MTTS'!V270*$A$3)</f>
        <v>10</v>
      </c>
      <c r="I272" s="53">
        <f>IF('G MTTS'!W270=0," ",'G MTTS'!W270*$A$3)</f>
        <v>10</v>
      </c>
      <c r="J272" s="53">
        <f>IF('G MTTS'!Z270=0," ",'G MTTS'!Z270*$A$3)</f>
        <v>10</v>
      </c>
      <c r="K272" s="54">
        <f>'G MTTS'!AF270</f>
        <v>30000</v>
      </c>
      <c r="L272" s="54">
        <f>'G MTTS'!X270</f>
        <v>0</v>
      </c>
      <c r="M272" s="54">
        <f>'G MTTS'!AA270</f>
        <v>90000</v>
      </c>
      <c r="N272" s="55">
        <f>'G MTTS'!AG270</f>
        <v>5</v>
      </c>
      <c r="O272" s="55">
        <f>'G MTTS'!AH270</f>
        <v>5</v>
      </c>
      <c r="P272" s="55">
        <f>'G MTTS'!AI270</f>
        <v>5</v>
      </c>
      <c r="Q272" s="56">
        <f>'G MTTS'!AJ270</f>
        <v>12</v>
      </c>
      <c r="R272" s="46">
        <f t="shared" si="22"/>
        <v>0.218761574074074</v>
      </c>
      <c r="S272" s="47" t="str">
        <f t="shared" si="24"/>
        <v>MICRO</v>
      </c>
    </row>
    <row r="273" ht="29.25" customHeight="1" outlineLevel="1" spans="1:19">
      <c r="B273" s="36">
        <f>'G MTTS'!B271</f>
        <v>0.208344907407407</v>
      </c>
      <c r="C273" s="37" t="str">
        <f>'G MTTS'!J271</f>
        <v>500 Bounty</v>
      </c>
      <c r="D273" s="73" t="str">
        <f>'G MTTS'!M271</f>
        <v>Side Event</v>
      </c>
      <c r="E273" s="74" t="str">
        <f>'G MTTS'!N271</f>
        <v>NLH</v>
      </c>
      <c r="F273" s="75" t="str">
        <f>'G MTTS'!O271</f>
        <v>Progressive KO 1/3</v>
      </c>
      <c r="G273" s="76">
        <f>IF('G MTTS'!Q271=0," ",'G MTTS'!Q271*$A$3)</f>
        <v>500</v>
      </c>
      <c r="H273" s="77">
        <f>IF('G MTTS'!V271=0," ",'G MTTS'!V271*$A$3)</f>
        <v>8</v>
      </c>
      <c r="I273" s="77">
        <f>IF('G MTTS'!W271=0," ",'G MTTS'!W271*$A$3)</f>
        <v>8</v>
      </c>
      <c r="J273" s="77" t="str">
        <f>IF('G MTTS'!Z271=0," ",'G MTTS'!Z271*$A$3)</f>
        <v> </v>
      </c>
      <c r="K273" s="78">
        <f>'G MTTS'!AF271</f>
        <v>30000</v>
      </c>
      <c r="L273" s="78">
        <f>'G MTTS'!X271</f>
        <v>0</v>
      </c>
      <c r="M273" s="78" t="str">
        <f>'G MTTS'!AA271</f>
        <v>REENTRY</v>
      </c>
      <c r="N273" s="79">
        <f>'G MTTS'!AG271</f>
        <v>8</v>
      </c>
      <c r="O273" s="79">
        <f>'G MTTS'!AH271</f>
        <v>7</v>
      </c>
      <c r="P273" s="79">
        <f>'G MTTS'!AI271</f>
        <v>7</v>
      </c>
      <c r="Q273" s="80">
        <f>'G MTTS'!AJ271</f>
        <v>13</v>
      </c>
      <c r="R273" s="46">
        <f t="shared" si="22"/>
        <v>0.284039351851852</v>
      </c>
      <c r="S273" s="47" t="str">
        <f t="shared" si="24"/>
        <v>MICRO</v>
      </c>
    </row>
    <row r="274" ht="29.25" customHeight="1" outlineLevel="1" spans="1:19">
      <c r="B274" s="36">
        <f>'G MTTS'!B272</f>
        <v>0.215289351851852</v>
      </c>
      <c r="C274" s="48" t="str">
        <f>'G MTTS'!J272</f>
        <v>1K Plus</v>
      </c>
      <c r="D274" s="49" t="str">
        <f>'G MTTS'!M272</f>
        <v>Side Event</v>
      </c>
      <c r="E274" s="50" t="str">
        <f>'G MTTS'!N272</f>
        <v>NLH</v>
      </c>
      <c r="F274" s="51" t="str">
        <f>'G MTTS'!O272</f>
        <v>OFF</v>
      </c>
      <c r="G274" s="52">
        <f>IF('G MTTS'!Q272=0," ",'G MTTS'!Q272*$A$3)</f>
        <v>1000</v>
      </c>
      <c r="H274" s="53">
        <f>IF('G MTTS'!V272=0," ",'G MTTS'!V272*$A$3)</f>
        <v>10</v>
      </c>
      <c r="I274" s="53">
        <f>IF('G MTTS'!W272=0," ",'G MTTS'!W272*$A$3)</f>
        <v>10</v>
      </c>
      <c r="J274" s="53">
        <f>IF('G MTTS'!Z272=0," ",'G MTTS'!Z272*$A$3)</f>
        <v>10</v>
      </c>
      <c r="K274" s="54">
        <f>'G MTTS'!AF272</f>
        <v>40000</v>
      </c>
      <c r="L274" s="54">
        <f>'G MTTS'!X272</f>
        <v>0</v>
      </c>
      <c r="M274" s="54">
        <f>'G MTTS'!AA272</f>
        <v>100000</v>
      </c>
      <c r="N274" s="55">
        <f>'G MTTS'!AG272</f>
        <v>6</v>
      </c>
      <c r="O274" s="55">
        <f>'G MTTS'!AH272</f>
        <v>6</v>
      </c>
      <c r="P274" s="55">
        <f>'G MTTS'!AI272</f>
        <v>6</v>
      </c>
      <c r="Q274" s="56">
        <f>'G MTTS'!AJ272</f>
        <v>13</v>
      </c>
      <c r="R274" s="46">
        <f t="shared" si="22"/>
        <v>0.272928240740741</v>
      </c>
      <c r="S274" s="47" t="str">
        <f t="shared" si="24"/>
        <v>MICRO</v>
      </c>
    </row>
    <row r="275" ht="29.25" customHeight="1" outlineLevel="1" spans="1:19">
      <c r="B275" s="36">
        <f>'G MTTS'!B273</f>
        <v>0.229178240740741</v>
      </c>
      <c r="C275" s="72" t="str">
        <f>'G MTTS'!J273</f>
        <v>400 Omax PKO</v>
      </c>
      <c r="D275" s="73" t="str">
        <f>'G MTTS'!M273</f>
        <v>Side Event</v>
      </c>
      <c r="E275" s="74" t="str">
        <f>'G MTTS'!N273</f>
        <v>PLO4</v>
      </c>
      <c r="F275" s="75" t="str">
        <f>'G MTTS'!O273</f>
        <v>Progressive KO 1/2</v>
      </c>
      <c r="G275" s="76">
        <f>IF('G MTTS'!Q273=0," ",'G MTTS'!Q273*$A$3)</f>
        <v>400</v>
      </c>
      <c r="H275" s="77">
        <f>IF('G MTTS'!V273=0," ",'G MTTS'!V273*$A$3)</f>
        <v>5</v>
      </c>
      <c r="I275" s="77">
        <f>IF('G MTTS'!W273=0," ",'G MTTS'!W273*$A$3)</f>
        <v>5</v>
      </c>
      <c r="J275" s="77" t="str">
        <f>IF('G MTTS'!Z273=0," ",'G MTTS'!Z273*$A$3)</f>
        <v> </v>
      </c>
      <c r="K275" s="78">
        <f>'G MTTS'!AF273</f>
        <v>50000</v>
      </c>
      <c r="L275" s="78">
        <f>'G MTTS'!X273</f>
        <v>0</v>
      </c>
      <c r="M275" s="78" t="str">
        <f>'G MTTS'!AA273</f>
        <v>REENTRY</v>
      </c>
      <c r="N275" s="79">
        <f>'G MTTS'!AG273</f>
        <v>7</v>
      </c>
      <c r="O275" s="79">
        <f>'G MTTS'!AH273</f>
        <v>6</v>
      </c>
      <c r="P275" s="79">
        <f>'G MTTS'!AI273</f>
        <v>6</v>
      </c>
      <c r="Q275" s="80">
        <f>'G MTTS'!AJ273</f>
        <v>15</v>
      </c>
      <c r="R275" s="46">
        <f t="shared" si="22"/>
        <v>0.30556712962963</v>
      </c>
      <c r="S275" s="47" t="str">
        <f t="shared" si="24"/>
        <v>MICRO</v>
      </c>
    </row>
    <row r="276" ht="29.25" customHeight="1" outlineLevel="1" spans="1:19">
      <c r="A276" s="60" t="s">
        <v>519</v>
      </c>
      <c r="B276" s="36">
        <f>'G MTTS'!B274</f>
        <v>0.256956018518519</v>
      </c>
      <c r="C276" s="48" t="str">
        <f>'G MTTS'!J274</f>
        <v>600 Plus</v>
      </c>
      <c r="D276" s="49" t="str">
        <f>'G MTTS'!M274</f>
        <v>Side Event</v>
      </c>
      <c r="E276" s="50" t="str">
        <f>'G MTTS'!N274</f>
        <v>NLH</v>
      </c>
      <c r="F276" s="51" t="str">
        <f>'G MTTS'!O274</f>
        <v>OFF</v>
      </c>
      <c r="G276" s="52">
        <f>IF('G MTTS'!Q274=0," ",'G MTTS'!Q274*$A$3)</f>
        <v>600</v>
      </c>
      <c r="H276" s="53">
        <f>IF('G MTTS'!V274=0," ",'G MTTS'!V274*$A$3)</f>
        <v>5</v>
      </c>
      <c r="I276" s="53">
        <f>IF('G MTTS'!W274=0," ",'G MTTS'!W274*$A$3)</f>
        <v>5</v>
      </c>
      <c r="J276" s="53">
        <f>IF('G MTTS'!Z274=0," ",'G MTTS'!Z274*$A$3)</f>
        <v>5</v>
      </c>
      <c r="K276" s="54">
        <f>'G MTTS'!AF274</f>
        <v>40000</v>
      </c>
      <c r="L276" s="54">
        <f>'G MTTS'!X274</f>
        <v>0</v>
      </c>
      <c r="M276" s="54">
        <f>'G MTTS'!AA274</f>
        <v>100000</v>
      </c>
      <c r="N276" s="55">
        <f>'G MTTS'!AG274</f>
        <v>6</v>
      </c>
      <c r="O276" s="55">
        <f>'G MTTS'!AH274</f>
        <v>6</v>
      </c>
      <c r="P276" s="55">
        <f>'G MTTS'!AI274</f>
        <v>6</v>
      </c>
      <c r="Q276" s="56">
        <f>'G MTTS'!AJ274</f>
        <v>13</v>
      </c>
      <c r="R276" s="46">
        <f t="shared" si="22"/>
        <v>0.314594907407407</v>
      </c>
      <c r="S276" s="47" t="str">
        <f t="shared" si="24"/>
        <v>MICRO</v>
      </c>
    </row>
    <row r="277" ht="29.25" customHeight="1" outlineLevel="1" spans="1:19">
      <c r="B277" s="36">
        <f>'G MTTS'!B275</f>
        <v>0.298622685185185</v>
      </c>
      <c r="C277" s="37" t="str">
        <f>'G MTTS'!J275</f>
        <v>500 Omax</v>
      </c>
      <c r="D277" s="38" t="str">
        <f>'G MTTS'!M275</f>
        <v>Side Event</v>
      </c>
      <c r="E277" s="39" t="str">
        <f>'G MTTS'!N275</f>
        <v>PLO5</v>
      </c>
      <c r="F277" s="40" t="str">
        <f>'G MTTS'!O275</f>
        <v>OFF</v>
      </c>
      <c r="G277" s="41">
        <f>IF('G MTTS'!Q275=0," ",'G MTTS'!Q275*$A$3)</f>
        <v>500</v>
      </c>
      <c r="H277" s="42">
        <f>IF('G MTTS'!V275=0," ",'G MTTS'!V275*$A$3)</f>
        <v>5</v>
      </c>
      <c r="I277" s="42">
        <f>IF('G MTTS'!W275=0," ",'G MTTS'!W275*$A$3)</f>
        <v>5</v>
      </c>
      <c r="J277" s="42">
        <f>IF('G MTTS'!Z275=0," ",'G MTTS'!Z275*$A$3)</f>
        <v>5</v>
      </c>
      <c r="K277" s="43">
        <f>'G MTTS'!AF275</f>
        <v>30000</v>
      </c>
      <c r="L277" s="43">
        <f>'G MTTS'!X275</f>
        <v>0</v>
      </c>
      <c r="M277" s="43">
        <f>'G MTTS'!AA275</f>
        <v>90000</v>
      </c>
      <c r="N277" s="44">
        <f>'G MTTS'!AG275</f>
        <v>5</v>
      </c>
      <c r="O277" s="44">
        <f>'G MTTS'!AH275</f>
        <v>5</v>
      </c>
      <c r="P277" s="44">
        <f>'G MTTS'!AI275</f>
        <v>5</v>
      </c>
      <c r="Q277" s="45">
        <f>'G MTTS'!AJ275</f>
        <v>12</v>
      </c>
      <c r="R277" s="46">
        <f t="shared" si="22"/>
        <v>0.343761574074074</v>
      </c>
      <c r="S277" s="47" t="str">
        <f t="shared" si="24"/>
        <v>MICRO</v>
      </c>
    </row>
    <row r="278" ht="29.25" customHeight="1" outlineLevel="1" spans="1:19">
      <c r="B278" s="36">
        <f>'G MTTS'!B276</f>
        <v>0.312511574074074</v>
      </c>
      <c r="C278" s="48" t="str">
        <f>'G MTTS'!J276</f>
        <v>400 Battle</v>
      </c>
      <c r="D278" s="49" t="str">
        <f>'G MTTS'!M276</f>
        <v>Side Event</v>
      </c>
      <c r="E278" s="50" t="str">
        <f>'G MTTS'!N276</f>
        <v>NLH</v>
      </c>
      <c r="F278" s="51" t="str">
        <f>'G MTTS'!O276</f>
        <v>Regular KO 1/3</v>
      </c>
      <c r="G278" s="52">
        <f>IF('G MTTS'!Q276=0," ",'G MTTS'!Q276*$A$3)</f>
        <v>400</v>
      </c>
      <c r="H278" s="53">
        <f>IF('G MTTS'!V276=0," ",'G MTTS'!V276*$A$3)</f>
        <v>5</v>
      </c>
      <c r="I278" s="53">
        <f>IF('G MTTS'!W276=0," ",'G MTTS'!W276*$A$3)</f>
        <v>5</v>
      </c>
      <c r="J278" s="53" t="str">
        <f>IF('G MTTS'!Z276=0," ",'G MTTS'!Z276*$A$3)</f>
        <v> </v>
      </c>
      <c r="K278" s="54">
        <f>'G MTTS'!AF276</f>
        <v>50000</v>
      </c>
      <c r="L278" s="54">
        <f>'G MTTS'!X276</f>
        <v>0</v>
      </c>
      <c r="M278" s="54" t="str">
        <f>'G MTTS'!AA276</f>
        <v>REENTRY</v>
      </c>
      <c r="N278" s="55">
        <f>'G MTTS'!AG276</f>
        <v>8</v>
      </c>
      <c r="O278" s="55">
        <f>'G MTTS'!AH276</f>
        <v>7</v>
      </c>
      <c r="P278" s="55">
        <f>'G MTTS'!AI276</f>
        <v>7</v>
      </c>
      <c r="Q278" s="56">
        <f>'G MTTS'!AJ276</f>
        <v>15</v>
      </c>
      <c r="R278" s="46">
        <f t="shared" si="22"/>
        <v>0.402789351851852</v>
      </c>
      <c r="S278" s="47" t="str">
        <f t="shared" si="24"/>
        <v>MICRO</v>
      </c>
    </row>
    <row r="279" ht="29.25" customHeight="1" outlineLevel="1" spans="1:19">
      <c r="A279" s="60" t="s">
        <v>519</v>
      </c>
      <c r="B279" s="36">
        <f>'G MTTS'!B277</f>
        <v>0.322928240740741</v>
      </c>
      <c r="C279" s="72" t="str">
        <f>'G MTTS'!J277</f>
        <v>#AS 1.5K Omax PKO</v>
      </c>
      <c r="D279" s="73" t="str">
        <f>'G MTTS'!M277</f>
        <v>Side Event</v>
      </c>
      <c r="E279" s="74" t="str">
        <f>'G MTTS'!N277</f>
        <v>PLO4</v>
      </c>
      <c r="F279" s="75" t="str">
        <f>'G MTTS'!O277</f>
        <v>Progressive KO 1/2</v>
      </c>
      <c r="G279" s="76">
        <f>IF('G MTTS'!Q277=0," ",'G MTTS'!Q277*$A$3)</f>
        <v>1500</v>
      </c>
      <c r="H279" s="77">
        <f>IF('G MTTS'!V277=0," ",'G MTTS'!V277*$A$3)</f>
        <v>15</v>
      </c>
      <c r="I279" s="77">
        <f>IF('G MTTS'!W277=0," ",'G MTTS'!W277*$A$3)</f>
        <v>15</v>
      </c>
      <c r="J279" s="77" t="str">
        <f>IF('G MTTS'!Z277=0," ",'G MTTS'!Z277*$A$3)</f>
        <v> </v>
      </c>
      <c r="K279" s="78">
        <f>'G MTTS'!AF277</f>
        <v>40000</v>
      </c>
      <c r="L279" s="78">
        <f>'G MTTS'!X277</f>
        <v>0</v>
      </c>
      <c r="M279" s="78" t="str">
        <f>'G MTTS'!AA277</f>
        <v>REENTRY</v>
      </c>
      <c r="N279" s="79">
        <f>'G MTTS'!AG277</f>
        <v>10</v>
      </c>
      <c r="O279" s="79">
        <f>'G MTTS'!AH277</f>
        <v>8</v>
      </c>
      <c r="P279" s="79">
        <f>'G MTTS'!AI277</f>
        <v>8</v>
      </c>
      <c r="Q279" s="80">
        <f>'G MTTS'!AJ277</f>
        <v>14</v>
      </c>
      <c r="R279" s="46">
        <f t="shared" si="22"/>
        <v>0.427094907407407</v>
      </c>
      <c r="S279" s="47" t="str">
        <f t="shared" si="24"/>
        <v>MICRO</v>
      </c>
    </row>
    <row r="280" ht="29.25" customHeight="1" outlineLevel="1" spans="1:19">
      <c r="B280" s="36">
        <f>'G MTTS'!B278</f>
        <v>0.333344907407407</v>
      </c>
      <c r="C280" s="48" t="str">
        <f>'G MTTS'!J278</f>
        <v>#AS 2.5K Plus</v>
      </c>
      <c r="D280" s="49" t="str">
        <f>'G MTTS'!M278</f>
        <v>Side Event</v>
      </c>
      <c r="E280" s="50" t="str">
        <f>'G MTTS'!N278</f>
        <v>NLH</v>
      </c>
      <c r="F280" s="51" t="str">
        <f>'G MTTS'!O278</f>
        <v>OFF</v>
      </c>
      <c r="G280" s="52">
        <f>IF('G MTTS'!Q278=0," ",'G MTTS'!Q278*$A$3)</f>
        <v>2500</v>
      </c>
      <c r="H280" s="53">
        <f>IF('G MTTS'!V278=0," ",'G MTTS'!V278*$A$3)</f>
        <v>5</v>
      </c>
      <c r="I280" s="53">
        <f>IF('G MTTS'!W278=0," ",'G MTTS'!W278*$A$3)</f>
        <v>5</v>
      </c>
      <c r="J280" s="53">
        <f>IF('G MTTS'!Z278=0," ",'G MTTS'!Z278*$A$3)</f>
        <v>5</v>
      </c>
      <c r="K280" s="54">
        <f>'G MTTS'!AF278</f>
        <v>40000</v>
      </c>
      <c r="L280" s="54">
        <f>'G MTTS'!X278</f>
        <v>0</v>
      </c>
      <c r="M280" s="54">
        <f>'G MTTS'!AA278</f>
        <v>120000</v>
      </c>
      <c r="N280" s="55">
        <f>'G MTTS'!AG278</f>
        <v>8</v>
      </c>
      <c r="O280" s="55">
        <f>'G MTTS'!AH278</f>
        <v>7</v>
      </c>
      <c r="P280" s="55">
        <f>'G MTTS'!AI278</f>
        <v>7</v>
      </c>
      <c r="Q280" s="56">
        <f>'G MTTS'!AJ278</f>
        <v>15</v>
      </c>
      <c r="R280" s="46">
        <f t="shared" si="22"/>
        <v>0.423622685185185</v>
      </c>
      <c r="S280" s="47" t="str">
        <f t="shared" si="24"/>
        <v>MICRO</v>
      </c>
    </row>
    <row r="281" ht="29.25" customHeight="1" outlineLevel="1" spans="1:19">
      <c r="A281" s="60" t="s">
        <v>519</v>
      </c>
      <c r="B281" s="36">
        <f>'G MTTS'!B279</f>
        <v>0.375011574074074</v>
      </c>
      <c r="C281" s="37" t="str">
        <f>'G MTTS'!J279</f>
        <v>750 Bounty</v>
      </c>
      <c r="D281" s="38" t="str">
        <f>'G MTTS'!M279</f>
        <v>Side Event</v>
      </c>
      <c r="E281" s="39" t="str">
        <f>'G MTTS'!N279</f>
        <v>NLH</v>
      </c>
      <c r="F281" s="40" t="str">
        <f>'G MTTS'!O279</f>
        <v>Progressive KO 1/3</v>
      </c>
      <c r="G281" s="41">
        <f>IF('G MTTS'!Q279=0," ",'G MTTS'!Q279*$A$3)</f>
        <v>750</v>
      </c>
      <c r="H281" s="42">
        <f>IF('G MTTS'!V279=0," ",'G MTTS'!V279*$A$3)</f>
        <v>7.5</v>
      </c>
      <c r="I281" s="42">
        <f>IF('G MTTS'!W279=0," ",'G MTTS'!W279*$A$3)</f>
        <v>7.5</v>
      </c>
      <c r="J281" s="42" t="str">
        <f>IF('G MTTS'!Z279=0," ",'G MTTS'!Z279*$A$3)</f>
        <v> </v>
      </c>
      <c r="K281" s="43">
        <f>'G MTTS'!AF279</f>
        <v>50000</v>
      </c>
      <c r="L281" s="43">
        <f>'G MTTS'!X279</f>
        <v>60000</v>
      </c>
      <c r="M281" s="43" t="str">
        <f>'G MTTS'!AA279</f>
        <v>REENTRY</v>
      </c>
      <c r="N281" s="44">
        <f>'G MTTS'!AG279</f>
        <v>8</v>
      </c>
      <c r="O281" s="44">
        <f>'G MTTS'!AH279</f>
        <v>8</v>
      </c>
      <c r="P281" s="44">
        <f>'G MTTS'!AI279</f>
        <v>8</v>
      </c>
      <c r="Q281" s="45">
        <f>'G MTTS'!AJ279</f>
        <v>15</v>
      </c>
      <c r="R281" s="46">
        <f t="shared" si="22"/>
        <v>0.465289351851852</v>
      </c>
      <c r="S281" s="47" t="str">
        <f t="shared" si="24"/>
        <v>MICRO</v>
      </c>
    </row>
    <row r="282" ht="29.25" customHeight="1" outlineLevel="1" spans="1:19">
      <c r="B282" s="36">
        <f>'G MTTS'!B280</f>
        <v>0.375011574074074</v>
      </c>
      <c r="C282" s="48" t="str">
        <f>'G MTTS'!J280</f>
        <v>500 Omax</v>
      </c>
      <c r="D282" s="49" t="str">
        <f>'G MTTS'!M280</f>
        <v>Side Event</v>
      </c>
      <c r="E282" s="50" t="str">
        <f>'G MTTS'!N280</f>
        <v>PLO4</v>
      </c>
      <c r="F282" s="51" t="str">
        <f>'G MTTS'!O280</f>
        <v>OFF</v>
      </c>
      <c r="G282" s="52">
        <f>IF('G MTTS'!Q280=0," ",'G MTTS'!Q280*$A$3)</f>
        <v>500</v>
      </c>
      <c r="H282" s="53">
        <f>IF('G MTTS'!V280=0," ",'G MTTS'!V280*$A$3)</f>
        <v>5</v>
      </c>
      <c r="I282" s="53">
        <f>IF('G MTTS'!W280=0," ",'G MTTS'!W280*$A$3)</f>
        <v>5</v>
      </c>
      <c r="J282" s="53">
        <f>IF('G MTTS'!Z280=0," ",'G MTTS'!Z280*$A$3)</f>
        <v>5</v>
      </c>
      <c r="K282" s="54">
        <f>'G MTTS'!AF280</f>
        <v>40000</v>
      </c>
      <c r="L282" s="54">
        <f>'G MTTS'!X280</f>
        <v>0</v>
      </c>
      <c r="M282" s="54">
        <f>'G MTTS'!AA280</f>
        <v>100000</v>
      </c>
      <c r="N282" s="55">
        <f>'G MTTS'!AG280</f>
        <v>7</v>
      </c>
      <c r="O282" s="55">
        <f>'G MTTS'!AH280</f>
        <v>6</v>
      </c>
      <c r="P282" s="55">
        <f>'G MTTS'!AI280</f>
        <v>6</v>
      </c>
      <c r="Q282" s="56">
        <f>'G MTTS'!AJ280</f>
        <v>13</v>
      </c>
      <c r="R282" s="46">
        <f t="shared" si="22"/>
        <v>0.441678240740741</v>
      </c>
      <c r="S282" s="47" t="str">
        <f t="shared" si="24"/>
        <v>MICRO</v>
      </c>
    </row>
    <row r="283" ht="29.25" customHeight="1" outlineLevel="1" spans="1:19">
      <c r="B283" s="36">
        <f>'G MTTS'!B281</f>
        <v>0.416678240740741</v>
      </c>
      <c r="C283" s="37" t="str">
        <f>'G MTTS'!J281</f>
        <v>#AS 4K Battle</v>
      </c>
      <c r="D283" s="38" t="str">
        <f>'G MTTS'!M281</f>
        <v>Side Event</v>
      </c>
      <c r="E283" s="39" t="str">
        <f>'G MTTS'!N281</f>
        <v>NLH</v>
      </c>
      <c r="F283" s="40" t="str">
        <f>'G MTTS'!O281</f>
        <v>Regular KO 1/2</v>
      </c>
      <c r="G283" s="41">
        <f>IF('G MTTS'!Q281=0," ",'G MTTS'!Q281*$A$3)</f>
        <v>4000</v>
      </c>
      <c r="H283" s="42">
        <f>IF('G MTTS'!V281=0," ",'G MTTS'!V281*$A$3)</f>
        <v>30</v>
      </c>
      <c r="I283" s="42">
        <f>IF('G MTTS'!W281=0," ",'G MTTS'!W281*$A$3)</f>
        <v>30</v>
      </c>
      <c r="J283" s="42" t="str">
        <f>IF('G MTTS'!Z281=0," ",'G MTTS'!Z281*$A$3)</f>
        <v> </v>
      </c>
      <c r="K283" s="43">
        <f>'G MTTS'!AF281</f>
        <v>40000</v>
      </c>
      <c r="L283" s="43">
        <f>'G MTTS'!X281</f>
        <v>0</v>
      </c>
      <c r="M283" s="43" t="str">
        <f>'G MTTS'!AA281</f>
        <v>REENTRY</v>
      </c>
      <c r="N283" s="44">
        <f>'G MTTS'!AG281</f>
        <v>10</v>
      </c>
      <c r="O283" s="44">
        <f>'G MTTS'!AH281</f>
        <v>8</v>
      </c>
      <c r="P283" s="44">
        <f>'G MTTS'!AI281</f>
        <v>8</v>
      </c>
      <c r="Q283" s="45">
        <f>'G MTTS'!AJ281</f>
        <v>14</v>
      </c>
      <c r="R283" s="46">
        <f t="shared" si="22"/>
        <v>0.520844907407407</v>
      </c>
      <c r="S283" s="47" t="str">
        <f t="shared" si="24"/>
        <v>LOW</v>
      </c>
    </row>
    <row r="284" ht="29.25" customHeight="1" outlineLevel="1" spans="1:19">
      <c r="A284" s="60" t="s">
        <v>519</v>
      </c>
      <c r="B284" s="36">
        <f>'G MTTS'!B282</f>
        <v>0.416678240740741</v>
      </c>
      <c r="C284" s="48" t="str">
        <f>'G MTTS'!J282</f>
        <v>1K Plus</v>
      </c>
      <c r="D284" s="49" t="str">
        <f>'G MTTS'!M282</f>
        <v>Side Event</v>
      </c>
      <c r="E284" s="50" t="str">
        <f>'G MTTS'!N282</f>
        <v>NLH</v>
      </c>
      <c r="F284" s="51" t="str">
        <f>'G MTTS'!O282</f>
        <v>OFF</v>
      </c>
      <c r="G284" s="52">
        <f>IF('G MTTS'!Q282=0," ",'G MTTS'!Q282*$A$3)</f>
        <v>1000</v>
      </c>
      <c r="H284" s="53">
        <f>IF('G MTTS'!V282=0," ",'G MTTS'!V282*$A$3)</f>
        <v>2</v>
      </c>
      <c r="I284" s="53">
        <f>IF('G MTTS'!W282=0," ",'G MTTS'!W282*$A$3)</f>
        <v>2</v>
      </c>
      <c r="J284" s="53">
        <f>IF('G MTTS'!Z282=0," ",'G MTTS'!Z282*$A$3)</f>
        <v>3</v>
      </c>
      <c r="K284" s="54">
        <f>'G MTTS'!AF282</f>
        <v>40000</v>
      </c>
      <c r="L284" s="54">
        <f>'G MTTS'!X282</f>
        <v>0</v>
      </c>
      <c r="M284" s="54">
        <f>'G MTTS'!AA282</f>
        <v>100000</v>
      </c>
      <c r="N284" s="55">
        <f>'G MTTS'!AG282</f>
        <v>7</v>
      </c>
      <c r="O284" s="55">
        <f>'G MTTS'!AH282</f>
        <v>6</v>
      </c>
      <c r="P284" s="55">
        <f>'G MTTS'!AI282</f>
        <v>6</v>
      </c>
      <c r="Q284" s="56">
        <f>'G MTTS'!AJ282</f>
        <v>15</v>
      </c>
      <c r="R284" s="46">
        <f t="shared" si="22"/>
        <v>0.49306712962963</v>
      </c>
      <c r="S284" s="47" t="str">
        <f t="shared" si="24"/>
        <v>MICRO</v>
      </c>
    </row>
    <row r="285" ht="29.25" customHeight="1" outlineLevel="1" spans="1:19">
      <c r="B285" s="36">
        <f>'G MTTS'!B283</f>
        <v>0.416678240740741</v>
      </c>
      <c r="C285" s="37" t="str">
        <f>'G MTTS'!J283</f>
        <v>#AS 3K Plus</v>
      </c>
      <c r="D285" s="38" t="str">
        <f>'G MTTS'!M283</f>
        <v>Side Event</v>
      </c>
      <c r="E285" s="39" t="str">
        <f>'G MTTS'!N283</f>
        <v>NLH</v>
      </c>
      <c r="F285" s="40" t="str">
        <f>'G MTTS'!O283</f>
        <v>OFF</v>
      </c>
      <c r="G285" s="41">
        <f>IF('G MTTS'!Q283=0," ",'G MTTS'!Q283*$A$3)</f>
        <v>3000</v>
      </c>
      <c r="H285" s="42">
        <f>IF('G MTTS'!V283=0," ",'G MTTS'!V283*$A$3)</f>
        <v>8</v>
      </c>
      <c r="I285" s="42">
        <f>IF('G MTTS'!W283=0," ",'G MTTS'!W283*$A$3)</f>
        <v>8</v>
      </c>
      <c r="J285" s="42">
        <f>IF('G MTTS'!Z283=0," ",'G MTTS'!Z283*$A$3)</f>
        <v>8</v>
      </c>
      <c r="K285" s="43">
        <f>'G MTTS'!AF283</f>
        <v>40000</v>
      </c>
      <c r="L285" s="43">
        <f>'G MTTS'!X283</f>
        <v>0</v>
      </c>
      <c r="M285" s="43">
        <f>'G MTTS'!AA283</f>
        <v>160000</v>
      </c>
      <c r="N285" s="44">
        <f>'G MTTS'!AG283</f>
        <v>8</v>
      </c>
      <c r="O285" s="44">
        <f>'G MTTS'!AH283</f>
        <v>7</v>
      </c>
      <c r="P285" s="44">
        <f>'G MTTS'!AI283</f>
        <v>7</v>
      </c>
      <c r="Q285" s="45">
        <f>'G MTTS'!AJ283</f>
        <v>15</v>
      </c>
      <c r="R285" s="46">
        <f t="shared" si="22"/>
        <v>0.506956018518518</v>
      </c>
      <c r="S285" s="47" t="str">
        <f t="shared" si="24"/>
        <v>MICRO</v>
      </c>
    </row>
    <row r="286" ht="29.25" customHeight="1" outlineLevel="1" spans="1:19">
      <c r="A286" s="60" t="s">
        <v>519</v>
      </c>
      <c r="B286" s="36">
        <f>'G MTTS'!B284</f>
        <v>0.437511574074074</v>
      </c>
      <c r="C286" s="48" t="str">
        <f>'G MTTS'!J284</f>
        <v>#AS 2K Omax</v>
      </c>
      <c r="D286" s="49" t="str">
        <f>'G MTTS'!M284</f>
        <v>Side Event</v>
      </c>
      <c r="E286" s="50" t="str">
        <f>'G MTTS'!N284</f>
        <v>PLO5</v>
      </c>
      <c r="F286" s="51" t="str">
        <f>'G MTTS'!O284</f>
        <v>OFF</v>
      </c>
      <c r="G286" s="52">
        <f>IF('G MTTS'!Q284=0," ",'G MTTS'!Q284*$A$3)</f>
        <v>2000</v>
      </c>
      <c r="H286" s="53">
        <f>IF('G MTTS'!V284=0," ",'G MTTS'!V284*$A$3)</f>
        <v>15</v>
      </c>
      <c r="I286" s="53">
        <f>IF('G MTTS'!W284=0," ",'G MTTS'!W284*$A$3)</f>
        <v>15</v>
      </c>
      <c r="J286" s="53">
        <f>IF('G MTTS'!Z284=0," ",'G MTTS'!Z284*$A$3)</f>
        <v>15</v>
      </c>
      <c r="K286" s="54">
        <f>'G MTTS'!AF284</f>
        <v>40000</v>
      </c>
      <c r="L286" s="54">
        <f>'G MTTS'!X284</f>
        <v>0</v>
      </c>
      <c r="M286" s="54">
        <f>'G MTTS'!AA284</f>
        <v>100000</v>
      </c>
      <c r="N286" s="55">
        <f>'G MTTS'!AG284</f>
        <v>8</v>
      </c>
      <c r="O286" s="55">
        <f>'G MTTS'!AH284</f>
        <v>7</v>
      </c>
      <c r="P286" s="55">
        <f>'G MTTS'!AI284</f>
        <v>7</v>
      </c>
      <c r="Q286" s="56">
        <f>'G MTTS'!AJ284</f>
        <v>13</v>
      </c>
      <c r="R286" s="46">
        <f t="shared" si="22"/>
        <v>0.513206018518519</v>
      </c>
      <c r="S286" s="47" t="str">
        <f t="shared" si="24"/>
        <v>MICRO</v>
      </c>
    </row>
    <row r="287" ht="29.25" customHeight="1" outlineLevel="1" spans="1:19">
      <c r="B287" s="36">
        <f>'G MTTS'!B285</f>
        <v>0.458344907407407</v>
      </c>
      <c r="C287" s="37" t="str">
        <f>'G MTTS'!J285</f>
        <v>#AS 15K Plus+SPS</v>
      </c>
      <c r="D287" s="38" t="str">
        <f>'G MTTS'!M285</f>
        <v>Side Event</v>
      </c>
      <c r="E287" s="39" t="str">
        <f>'G MTTS'!N285</f>
        <v>NLH</v>
      </c>
      <c r="F287" s="40" t="str">
        <f>'G MTTS'!O285</f>
        <v>OFF</v>
      </c>
      <c r="G287" s="41">
        <f>IF('G MTTS'!Q285=0," ",'G MTTS'!Q285*$A$3)</f>
        <v>16000</v>
      </c>
      <c r="H287" s="42">
        <f>IF('G MTTS'!V285=0," ",'G MTTS'!V285*$A$3)</f>
        <v>15</v>
      </c>
      <c r="I287" s="42">
        <f>IF('G MTTS'!W285=0," ",'G MTTS'!W285*$A$3)</f>
        <v>15</v>
      </c>
      <c r="J287" s="42">
        <f>IF('G MTTS'!Z285=0," ",'G MTTS'!Z285*$A$3)</f>
        <v>15</v>
      </c>
      <c r="K287" s="43">
        <f>'G MTTS'!AF285</f>
        <v>40000</v>
      </c>
      <c r="L287" s="43">
        <f>'G MTTS'!X285</f>
        <v>0</v>
      </c>
      <c r="M287" s="43">
        <f>'G MTTS'!AA285</f>
        <v>120000</v>
      </c>
      <c r="N287" s="44">
        <f>'G MTTS'!AG285</f>
        <v>10</v>
      </c>
      <c r="O287" s="44">
        <f>'G MTTS'!AH285</f>
        <v>8</v>
      </c>
      <c r="P287" s="44">
        <f>'G MTTS'!AI285</f>
        <v>8</v>
      </c>
      <c r="Q287" s="45">
        <f>'G MTTS'!AJ285</f>
        <v>14</v>
      </c>
      <c r="R287" s="46">
        <f t="shared" si="22"/>
        <v>0.562511574074074</v>
      </c>
      <c r="S287" s="47" t="str">
        <f t="shared" si="24"/>
        <v>MICRO</v>
      </c>
    </row>
    <row r="288" ht="29.25" customHeight="1" outlineLevel="1" spans="1:19">
      <c r="A288" s="60" t="s">
        <v>519</v>
      </c>
      <c r="B288" s="36">
        <f>'G MTTS'!B286</f>
        <v>0.458344907407407</v>
      </c>
      <c r="C288" s="48" t="str">
        <f>'G MTTS'!J286</f>
        <v>750 Omax</v>
      </c>
      <c r="D288" s="49" t="str">
        <f>'G MTTS'!M286</f>
        <v>Side Event</v>
      </c>
      <c r="E288" s="50" t="str">
        <f>'G MTTS'!N286</f>
        <v>PLO4</v>
      </c>
      <c r="F288" s="51" t="str">
        <f>'G MTTS'!O286</f>
        <v>OFF</v>
      </c>
      <c r="G288" s="52">
        <f>IF('G MTTS'!Q286=0," ",'G MTTS'!Q286*$A$3)</f>
        <v>750</v>
      </c>
      <c r="H288" s="53">
        <f>IF('G MTTS'!V286=0," ",'G MTTS'!V286*$A$3)</f>
        <v>4</v>
      </c>
      <c r="I288" s="53">
        <f>IF('G MTTS'!W286=0," ",'G MTTS'!W286*$A$3)</f>
        <v>4</v>
      </c>
      <c r="J288" s="53">
        <f>IF('G MTTS'!Z286=0," ",'G MTTS'!Z286*$A$3)</f>
        <v>5</v>
      </c>
      <c r="K288" s="54">
        <f>'G MTTS'!AF286</f>
        <v>40000</v>
      </c>
      <c r="L288" s="54">
        <f>'G MTTS'!X286</f>
        <v>0</v>
      </c>
      <c r="M288" s="54">
        <f>'G MTTS'!AA286</f>
        <v>100000</v>
      </c>
      <c r="N288" s="55">
        <f>'G MTTS'!AG286</f>
        <v>8</v>
      </c>
      <c r="O288" s="55">
        <f>'G MTTS'!AH286</f>
        <v>7</v>
      </c>
      <c r="P288" s="55">
        <f>'G MTTS'!AI286</f>
        <v>7</v>
      </c>
      <c r="Q288" s="56">
        <f>'G MTTS'!AJ286</f>
        <v>15</v>
      </c>
      <c r="R288" s="46">
        <f t="shared" si="22"/>
        <v>0.548622685185185</v>
      </c>
      <c r="S288" s="47" t="str">
        <f t="shared" si="24"/>
        <v>MICRO</v>
      </c>
    </row>
    <row r="289" ht="29.25" customHeight="1" outlineLevel="1" spans="1:19">
      <c r="B289" s="36">
        <f>'G MTTS'!B287</f>
        <v>0.458344907407407</v>
      </c>
      <c r="C289" s="37" t="str">
        <f>'G MTTS'!J287</f>
        <v>Sit&amp;go 200p max.</v>
      </c>
      <c r="D289" s="38" t="str">
        <f>'G MTTS'!M287</f>
        <v>Side Event</v>
      </c>
      <c r="E289" s="39" t="str">
        <f>'G MTTS'!N287</f>
        <v>NLH</v>
      </c>
      <c r="F289" s="40" t="str">
        <f>'G MTTS'!O287</f>
        <v>OFF</v>
      </c>
      <c r="G289" s="41">
        <f>IF('G MTTS'!Q287=0," ",'G MTTS'!Q287*$A$3)</f>
        <v>200</v>
      </c>
      <c r="H289" s="42">
        <f>IF('G MTTS'!V287=0," ",'G MTTS'!V287*$A$3)</f>
        <v>3</v>
      </c>
      <c r="I289" s="42">
        <f>IF('G MTTS'!W287=0," ",'G MTTS'!W287*$A$3)</f>
        <v>3</v>
      </c>
      <c r="J289" s="42">
        <f>IF('G MTTS'!Z287=0," ",'G MTTS'!Z287*$A$3)</f>
        <v>3</v>
      </c>
      <c r="K289" s="43">
        <f>'G MTTS'!AF287</f>
        <v>20000</v>
      </c>
      <c r="L289" s="43">
        <f>'G MTTS'!X287</f>
        <v>0</v>
      </c>
      <c r="M289" s="43">
        <f>'G MTTS'!AA287</f>
        <v>30000</v>
      </c>
      <c r="N289" s="44">
        <f>'G MTTS'!AG287</f>
        <v>5</v>
      </c>
      <c r="O289" s="44">
        <f>'G MTTS'!AH287</f>
        <v>5</v>
      </c>
      <c r="P289" s="44">
        <f>'G MTTS'!AI287</f>
        <v>5</v>
      </c>
      <c r="Q289" s="45">
        <f>'G MTTS'!AJ287</f>
        <v>15</v>
      </c>
      <c r="R289" s="46">
        <f t="shared" si="22"/>
        <v>0.513900462962963</v>
      </c>
      <c r="S289" s="47" t="str">
        <f t="shared" si="24"/>
        <v>MICRO</v>
      </c>
    </row>
    <row r="290" ht="29.25" customHeight="1" outlineLevel="1" spans="1:19">
      <c r="B290" s="36">
        <f>'G MTTS'!B288</f>
        <v>0.500011574074074</v>
      </c>
      <c r="C290" s="48" t="str">
        <f>'G MTTS'!J288</f>
        <v>#AS 3.5K Big Mystery</v>
      </c>
      <c r="D290" s="49" t="str">
        <f>'G MTTS'!M288</f>
        <v>Side Event</v>
      </c>
      <c r="E290" s="50" t="str">
        <f>'G MTTS'!N288</f>
        <v>NLH</v>
      </c>
      <c r="F290" s="51" t="str">
        <f>'G MTTS'!O288</f>
        <v>Mystery Bounty 1/2</v>
      </c>
      <c r="G290" s="52">
        <f>IF('G MTTS'!Q288=0," ",'G MTTS'!Q288*$A$3)</f>
        <v>3500</v>
      </c>
      <c r="H290" s="53">
        <f>IF('G MTTS'!V288=0," ",'G MTTS'!V288*$A$3)</f>
        <v>10</v>
      </c>
      <c r="I290" s="53">
        <f>IF('G MTTS'!W288=0," ",'G MTTS'!W288*$A$3)</f>
        <v>10</v>
      </c>
      <c r="J290" s="53" t="str">
        <f>IF('G MTTS'!Z288=0," ",'G MTTS'!Z288*$A$3)</f>
        <v> </v>
      </c>
      <c r="K290" s="54">
        <f>'G MTTS'!AF288</f>
        <v>50000</v>
      </c>
      <c r="L290" s="54">
        <f>'G MTTS'!X288</f>
        <v>0</v>
      </c>
      <c r="M290" s="54" t="str">
        <f>'G MTTS'!AA288</f>
        <v>REENTRY</v>
      </c>
      <c r="N290" s="55">
        <f>'G MTTS'!AG288</f>
        <v>10</v>
      </c>
      <c r="O290" s="55">
        <f>'G MTTS'!AH288</f>
        <v>8</v>
      </c>
      <c r="P290" s="55">
        <f>'G MTTS'!AI288</f>
        <v>8</v>
      </c>
      <c r="Q290" s="56">
        <f>'G MTTS'!AJ288</f>
        <v>13</v>
      </c>
      <c r="R290" s="46">
        <f t="shared" si="22"/>
        <v>0.597233796296296</v>
      </c>
      <c r="S290" s="47" t="str">
        <f t="shared" si="24"/>
        <v>MICRO</v>
      </c>
    </row>
    <row r="291" ht="29.25" customHeight="1" outlineLevel="1" spans="1:19">
      <c r="A291" s="60" t="s">
        <v>519</v>
      </c>
      <c r="B291" s="36">
        <f>'G MTTS'!B289</f>
        <v>0.500011574074074</v>
      </c>
      <c r="C291" s="37" t="str">
        <f>'G MTTS'!J289</f>
        <v>1.5K Plus+SPS</v>
      </c>
      <c r="D291" s="38" t="str">
        <f>'G MTTS'!M289</f>
        <v>Side Event</v>
      </c>
      <c r="E291" s="39" t="str">
        <f>'G MTTS'!N289</f>
        <v>NLH</v>
      </c>
      <c r="F291" s="40" t="str">
        <f>'G MTTS'!O289</f>
        <v>OFF</v>
      </c>
      <c r="G291" s="41">
        <f>IF('G MTTS'!Q289=0," ",'G MTTS'!Q289*$A$3)</f>
        <v>1650</v>
      </c>
      <c r="H291" s="42">
        <f>IF('G MTTS'!V289=0," ",'G MTTS'!V289*$A$3)</f>
        <v>3</v>
      </c>
      <c r="I291" s="42">
        <f>IF('G MTTS'!W289=0," ",'G MTTS'!W289*$A$3)</f>
        <v>3</v>
      </c>
      <c r="J291" s="42">
        <f>IF('G MTTS'!Z289=0," ",'G MTTS'!Z289*$A$3)</f>
        <v>4</v>
      </c>
      <c r="K291" s="43">
        <f>'G MTTS'!AF289</f>
        <v>40000</v>
      </c>
      <c r="L291" s="43">
        <f>'G MTTS'!X289</f>
        <v>0</v>
      </c>
      <c r="M291" s="43">
        <f>'G MTTS'!AA289</f>
        <v>100000</v>
      </c>
      <c r="N291" s="44">
        <f>'G MTTS'!AG289</f>
        <v>7</v>
      </c>
      <c r="O291" s="44">
        <f>'G MTTS'!AH289</f>
        <v>6</v>
      </c>
      <c r="P291" s="44">
        <f>'G MTTS'!AI289</f>
        <v>6</v>
      </c>
      <c r="Q291" s="45">
        <f>'G MTTS'!AJ289</f>
        <v>15</v>
      </c>
      <c r="R291" s="46">
        <f t="shared" si="22"/>
        <v>0.576400462962963</v>
      </c>
      <c r="S291" s="47" t="str">
        <f t="shared" si="24"/>
        <v>MICRO</v>
      </c>
    </row>
    <row r="292" ht="29.25" customHeight="1" outlineLevel="1" spans="1:19">
      <c r="B292" s="36">
        <f>'G MTTS'!B290</f>
        <v>0.500011574074074</v>
      </c>
      <c r="C292" s="48" t="str">
        <f>'G MTTS'!J290</f>
        <v>#AS 8K Reentry</v>
      </c>
      <c r="D292" s="49" t="str">
        <f>'G MTTS'!M290</f>
        <v>Side Event</v>
      </c>
      <c r="E292" s="50" t="str">
        <f>'G MTTS'!N290</f>
        <v>NLH</v>
      </c>
      <c r="F292" s="51" t="str">
        <f>'G MTTS'!O290</f>
        <v>OFF</v>
      </c>
      <c r="G292" s="52">
        <f>IF('G MTTS'!Q290=0," ",'G MTTS'!Q290*$A$3)</f>
        <v>8000</v>
      </c>
      <c r="H292" s="53">
        <f>IF('G MTTS'!V290=0," ",'G MTTS'!V290*$A$3)</f>
        <v>75</v>
      </c>
      <c r="I292" s="53">
        <f>IF('G MTTS'!W290=0," ",'G MTTS'!W290*$A$3)</f>
        <v>75</v>
      </c>
      <c r="J292" s="53" t="str">
        <f>IF('G MTTS'!Z290=0," ",'G MTTS'!Z290*$A$3)</f>
        <v> </v>
      </c>
      <c r="K292" s="54">
        <f>'G MTTS'!AF290</f>
        <v>80000</v>
      </c>
      <c r="L292" s="54">
        <f>'G MTTS'!X290</f>
        <v>0</v>
      </c>
      <c r="M292" s="54" t="str">
        <f>'G MTTS'!AA290</f>
        <v>REENTRY</v>
      </c>
      <c r="N292" s="55">
        <f>'G MTTS'!AG290</f>
        <v>10</v>
      </c>
      <c r="O292" s="55">
        <f>'G MTTS'!AH290</f>
        <v>10</v>
      </c>
      <c r="P292" s="55">
        <f>'G MTTS'!AI290</f>
        <v>10</v>
      </c>
      <c r="Q292" s="56">
        <f>'G MTTS'!AJ290</f>
        <v>15</v>
      </c>
      <c r="R292" s="46">
        <f t="shared" si="22"/>
        <v>0.611122685185185</v>
      </c>
      <c r="S292" s="47" t="str">
        <f t="shared" si="24"/>
        <v>LOW</v>
      </c>
    </row>
    <row r="293" ht="29.25" customHeight="1" outlineLevel="1" spans="1:19">
      <c r="A293" s="60" t="s">
        <v>519</v>
      </c>
      <c r="B293" s="36">
        <f>'G MTTS'!B291</f>
        <v>0.520844907407407</v>
      </c>
      <c r="C293" s="37" t="str">
        <f>'G MTTS'!J291</f>
        <v>#AS 10K OmaX PKO</v>
      </c>
      <c r="D293" s="38" t="str">
        <f>'G MTTS'!M291</f>
        <v>Side Event</v>
      </c>
      <c r="E293" s="39" t="str">
        <f>'G MTTS'!N291</f>
        <v>PLO5</v>
      </c>
      <c r="F293" s="40" t="str">
        <f>'G MTTS'!O291</f>
        <v>Progressive KO 1/2</v>
      </c>
      <c r="G293" s="41">
        <f>IF('G MTTS'!Q291=0," ",'G MTTS'!Q291*$A$3)</f>
        <v>10000</v>
      </c>
      <c r="H293" s="42">
        <f>IF('G MTTS'!V291=0," ",'G MTTS'!V291*$A$3)</f>
        <v>60</v>
      </c>
      <c r="I293" s="42">
        <f>IF('G MTTS'!W291=0," ",'G MTTS'!W291*$A$3)</f>
        <v>60</v>
      </c>
      <c r="J293" s="42" t="str">
        <f>IF('G MTTS'!Z291=0," ",'G MTTS'!Z291*$A$3)</f>
        <v> </v>
      </c>
      <c r="K293" s="43">
        <f>'G MTTS'!AF291</f>
        <v>40000</v>
      </c>
      <c r="L293" s="43">
        <f>'G MTTS'!X291</f>
        <v>0</v>
      </c>
      <c r="M293" s="43" t="str">
        <f>'G MTTS'!AA291</f>
        <v>REENTRY</v>
      </c>
      <c r="N293" s="44">
        <f>'G MTTS'!AG291</f>
        <v>12</v>
      </c>
      <c r="O293" s="44">
        <f>'G MTTS'!AH291</f>
        <v>10</v>
      </c>
      <c r="P293" s="44">
        <f>'G MTTS'!AI291</f>
        <v>10</v>
      </c>
      <c r="Q293" s="45">
        <f>'G MTTS'!AJ291</f>
        <v>14</v>
      </c>
      <c r="R293" s="46">
        <f t="shared" si="22"/>
        <v>0.644456018518519</v>
      </c>
      <c r="S293" s="47" t="str">
        <f t="shared" si="24"/>
        <v>LOW</v>
      </c>
    </row>
    <row r="294" ht="29.25" customHeight="1" outlineLevel="1" spans="1:19">
      <c r="B294" s="36">
        <f>'G MTTS'!B292</f>
        <v>0.541678240740741</v>
      </c>
      <c r="C294" s="48" t="str">
        <f>'G MTTS'!J292</f>
        <v>#AS 8K Battle</v>
      </c>
      <c r="D294" s="49" t="str">
        <f>'G MTTS'!M292</f>
        <v>Side Event</v>
      </c>
      <c r="E294" s="50" t="str">
        <f>'G MTTS'!N292</f>
        <v>NLH</v>
      </c>
      <c r="F294" s="51" t="str">
        <f>'G MTTS'!O292</f>
        <v>Regular KO 1/2</v>
      </c>
      <c r="G294" s="52">
        <f>IF('G MTTS'!Q292=0," ",'G MTTS'!Q292*$A$3)</f>
        <v>8000</v>
      </c>
      <c r="H294" s="53">
        <f>IF('G MTTS'!V292=0," ",'G MTTS'!V292*$A$3)</f>
        <v>25</v>
      </c>
      <c r="I294" s="53">
        <f>IF('G MTTS'!W292=0," ",'G MTTS'!W292*$A$3)</f>
        <v>25</v>
      </c>
      <c r="J294" s="53" t="str">
        <f>IF('G MTTS'!Z292=0," ",'G MTTS'!Z292*$A$3)</f>
        <v> </v>
      </c>
      <c r="K294" s="54">
        <f>'G MTTS'!AF292</f>
        <v>60000</v>
      </c>
      <c r="L294" s="54">
        <f>'G MTTS'!X292</f>
        <v>0</v>
      </c>
      <c r="M294" s="54" t="str">
        <f>'G MTTS'!AA292</f>
        <v>REENTRY</v>
      </c>
      <c r="N294" s="55">
        <f>'G MTTS'!AG292</f>
        <v>10</v>
      </c>
      <c r="O294" s="55">
        <f>'G MTTS'!AH292</f>
        <v>10</v>
      </c>
      <c r="P294" s="55">
        <f>'G MTTS'!AI292</f>
        <v>10</v>
      </c>
      <c r="Q294" s="56">
        <f>'G MTTS'!AJ292</f>
        <v>14</v>
      </c>
      <c r="R294" s="46">
        <f t="shared" si="22"/>
        <v>0.645844907407407</v>
      </c>
      <c r="S294" s="47" t="str">
        <f t="shared" si="24"/>
        <v>MICRO</v>
      </c>
    </row>
    <row r="295" ht="29.25" customHeight="1" outlineLevel="1" spans="1:19">
      <c r="B295" s="36">
        <f>'G MTTS'!B293</f>
        <v>0.552094907407407</v>
      </c>
      <c r="C295" s="37" t="str">
        <f>'G MTTS'!J293</f>
        <v>#AS 4K Freeze</v>
      </c>
      <c r="D295" s="38" t="str">
        <f>'G MTTS'!M293</f>
        <v>Side Event</v>
      </c>
      <c r="E295" s="39" t="str">
        <f>'G MTTS'!N293</f>
        <v>NLH</v>
      </c>
      <c r="F295" s="40" t="str">
        <f>'G MTTS'!O293</f>
        <v>OFF</v>
      </c>
      <c r="G295" s="41">
        <f>IF('G MTTS'!Q293=0," ",'G MTTS'!Q293*$A$3)</f>
        <v>4000</v>
      </c>
      <c r="H295" s="42">
        <f>IF('G MTTS'!V293=0," ",'G MTTS'!V293*$A$3)</f>
        <v>35</v>
      </c>
      <c r="I295" s="42" t="str">
        <f>IF('G MTTS'!W293=0," ",'G MTTS'!W293*$A$3)</f>
        <v> </v>
      </c>
      <c r="J295" s="42" t="str">
        <f>IF('G MTTS'!Z293=0," ",'G MTTS'!Z293*$A$3)</f>
        <v> </v>
      </c>
      <c r="K295" s="43">
        <f>'G MTTS'!AF293</f>
        <v>40000</v>
      </c>
      <c r="L295" s="43">
        <f>'G MTTS'!X293</f>
        <v>0</v>
      </c>
      <c r="M295" s="43" t="str">
        <f>'G MTTS'!AA293</f>
        <v>FREEZE</v>
      </c>
      <c r="N295" s="44">
        <f>'G MTTS'!AG293</f>
        <v>10</v>
      </c>
      <c r="O295" s="44">
        <f>'G MTTS'!AH293</f>
        <v>10</v>
      </c>
      <c r="P295" s="44">
        <f>'G MTTS'!AI293</f>
        <v>10</v>
      </c>
      <c r="Q295" s="45">
        <f>'G MTTS'!AJ293</f>
        <v>14</v>
      </c>
      <c r="R295" s="46">
        <f t="shared" si="22"/>
        <v>0.656261574074074</v>
      </c>
      <c r="S295" s="47" t="str">
        <f t="shared" si="24"/>
        <v>LOW</v>
      </c>
    </row>
    <row r="296" ht="29.25" customHeight="1" outlineLevel="1" spans="1:19">
      <c r="A296" s="60"/>
      <c r="B296" s="36">
        <f>'G MTTS'!B294</f>
        <v>0.562511574074074</v>
      </c>
      <c r="C296" s="37" t="str">
        <f>'G MTTS'!J294</f>
        <v>#AS 5K Plus</v>
      </c>
      <c r="D296" s="38" t="str">
        <f>'G MTTS'!M294</f>
        <v>Side Event</v>
      </c>
      <c r="E296" s="39" t="str">
        <f>'G MTTS'!N294</f>
        <v>NLH</v>
      </c>
      <c r="F296" s="40" t="str">
        <f>'G MTTS'!O294</f>
        <v>OFF</v>
      </c>
      <c r="G296" s="41">
        <f>IF('G MTTS'!Q294=0," ",'G MTTS'!Q294*$A$3)</f>
        <v>5000</v>
      </c>
      <c r="H296" s="42">
        <f>IF('G MTTS'!V294=0," ",'G MTTS'!V294*$A$3)</f>
        <v>10</v>
      </c>
      <c r="I296" s="42">
        <f>IF('G MTTS'!W294=0," ",'G MTTS'!W294*$A$3)</f>
        <v>10</v>
      </c>
      <c r="J296" s="42">
        <f>IF('G MTTS'!Z294=0," ",'G MTTS'!Z294*$A$3)</f>
        <v>15</v>
      </c>
      <c r="K296" s="43">
        <f>'G MTTS'!AF294</f>
        <v>40000</v>
      </c>
      <c r="L296" s="43">
        <f>'G MTTS'!X294</f>
        <v>0</v>
      </c>
      <c r="M296" s="43">
        <f>'G MTTS'!AA294</f>
        <v>120000</v>
      </c>
      <c r="N296" s="44">
        <f>'G MTTS'!AG294</f>
        <v>8</v>
      </c>
      <c r="O296" s="44">
        <f>'G MTTS'!AH294</f>
        <v>8</v>
      </c>
      <c r="P296" s="44">
        <f>'G MTTS'!AI294</f>
        <v>8</v>
      </c>
      <c r="Q296" s="45">
        <f>'G MTTS'!AJ294</f>
        <v>15</v>
      </c>
      <c r="R296" s="46">
        <f t="shared" si="22"/>
        <v>0.652789351851852</v>
      </c>
      <c r="S296" s="47" t="str">
        <f t="shared" si="24"/>
        <v>MICRO</v>
      </c>
    </row>
    <row r="297" ht="29.25" customHeight="1" outlineLevel="1" spans="1:19">
      <c r="B297" s="36">
        <f>'G MTTS'!B295</f>
        <v>0.583344907407407</v>
      </c>
      <c r="C297" s="48" t="str">
        <f>'G MTTS'!J295</f>
        <v>1K Omax</v>
      </c>
      <c r="D297" s="49" t="str">
        <f>'G MTTS'!M295</f>
        <v>Side Event</v>
      </c>
      <c r="E297" s="50" t="str">
        <f>'G MTTS'!N295</f>
        <v>PLO6</v>
      </c>
      <c r="F297" s="51" t="str">
        <f>'G MTTS'!O295</f>
        <v>OFF</v>
      </c>
      <c r="G297" s="52">
        <f>IF('G MTTS'!Q295=0," ",'G MTTS'!Q295*$A$3)</f>
        <v>1000</v>
      </c>
      <c r="H297" s="53">
        <f>IF('G MTTS'!V295=0," ",'G MTTS'!V295*$A$3)</f>
        <v>10</v>
      </c>
      <c r="I297" s="53">
        <f>IF('G MTTS'!W295=0," ",'G MTTS'!W295*$A$3)</f>
        <v>10</v>
      </c>
      <c r="J297" s="53">
        <f>IF('G MTTS'!Z295=0," ",'G MTTS'!Z295*$A$3)</f>
        <v>10</v>
      </c>
      <c r="K297" s="54">
        <f>'G MTTS'!AF295</f>
        <v>30000</v>
      </c>
      <c r="L297" s="54">
        <f>'G MTTS'!X295</f>
        <v>0</v>
      </c>
      <c r="M297" s="54">
        <f>'G MTTS'!AA295</f>
        <v>90000</v>
      </c>
      <c r="N297" s="55">
        <f>'G MTTS'!AG295</f>
        <v>8</v>
      </c>
      <c r="O297" s="55">
        <f>'G MTTS'!AH295</f>
        <v>8</v>
      </c>
      <c r="P297" s="55">
        <f>'G MTTS'!AI295</f>
        <v>8</v>
      </c>
      <c r="Q297" s="56">
        <f>'G MTTS'!AJ295</f>
        <v>11</v>
      </c>
      <c r="R297" s="46">
        <f t="shared" si="22"/>
        <v>0.647928240740741</v>
      </c>
      <c r="S297" s="47" t="str">
        <f t="shared" si="24"/>
        <v>MICRO</v>
      </c>
    </row>
    <row r="298" ht="29.25" customHeight="1" outlineLevel="1" spans="1:19">
      <c r="A298" s="60" t="s">
        <v>519</v>
      </c>
      <c r="B298" s="36">
        <f>'G MTTS'!B296</f>
        <v>0.583344907407407</v>
      </c>
      <c r="C298" s="37" t="str">
        <f>'G MTTS'!J296</f>
        <v>#AS 5K Mini Plus+SPS</v>
      </c>
      <c r="D298" s="73" t="str">
        <f>'G MTTS'!M296</f>
        <v>Side Event</v>
      </c>
      <c r="E298" s="74" t="str">
        <f>'G MTTS'!N296</f>
        <v>NLH</v>
      </c>
      <c r="F298" s="75" t="str">
        <f>'G MTTS'!O296</f>
        <v>OFF</v>
      </c>
      <c r="G298" s="76">
        <f>IF('G MTTS'!Q296=0," ",'G MTTS'!Q296*$A$3)</f>
        <v>5150</v>
      </c>
      <c r="H298" s="77">
        <f>IF('G MTTS'!V296=0," ",'G MTTS'!V296*$A$3)</f>
        <v>3</v>
      </c>
      <c r="I298" s="77">
        <f>IF('G MTTS'!W296=0," ",'G MTTS'!W296*$A$3)</f>
        <v>3</v>
      </c>
      <c r="J298" s="77">
        <f>IF('G MTTS'!Z296=0," ",'G MTTS'!Z296*$A$3)</f>
        <v>3</v>
      </c>
      <c r="K298" s="78">
        <f>'G MTTS'!AF296</f>
        <v>40000</v>
      </c>
      <c r="L298" s="78">
        <f>'G MTTS'!X296</f>
        <v>0</v>
      </c>
      <c r="M298" s="78">
        <f>'G MTTS'!AA296</f>
        <v>100000</v>
      </c>
      <c r="N298" s="79">
        <f>'G MTTS'!AG296</f>
        <v>8</v>
      </c>
      <c r="O298" s="79">
        <f>'G MTTS'!AH296</f>
        <v>7</v>
      </c>
      <c r="P298" s="79">
        <f>'G MTTS'!AI296</f>
        <v>7</v>
      </c>
      <c r="Q298" s="80">
        <f>'G MTTS'!AJ296</f>
        <v>15</v>
      </c>
      <c r="R298" s="46">
        <f t="shared" si="22"/>
        <v>0.673622685185185</v>
      </c>
      <c r="S298" s="47" t="str">
        <f t="shared" si="24"/>
        <v>MICRO</v>
      </c>
    </row>
    <row r="299" ht="29.25" customHeight="1" outlineLevel="1" spans="1:19">
      <c r="B299" s="36">
        <f>'G MTTS'!B297</f>
        <v>0.583344907407407</v>
      </c>
      <c r="C299" s="48" t="str">
        <f>'G MTTS'!J297</f>
        <v>Sit&amp;go 200p max.</v>
      </c>
      <c r="D299" s="49" t="str">
        <f>'G MTTS'!M297</f>
        <v>Side Event</v>
      </c>
      <c r="E299" s="50" t="str">
        <f>'G MTTS'!N297</f>
        <v>NLH</v>
      </c>
      <c r="F299" s="51" t="str">
        <f>'G MTTS'!O297</f>
        <v>OFF</v>
      </c>
      <c r="G299" s="52">
        <f>IF('G MTTS'!Q297=0," ",'G MTTS'!Q297*$A$3)</f>
        <v>200</v>
      </c>
      <c r="H299" s="53">
        <f>IF('G MTTS'!V297=0," ",'G MTTS'!V297*$A$3)</f>
        <v>3</v>
      </c>
      <c r="I299" s="53">
        <f>IF('G MTTS'!W297=0," ",'G MTTS'!W297*$A$3)</f>
        <v>3</v>
      </c>
      <c r="J299" s="53">
        <f>IF('G MTTS'!Z297=0," ",'G MTTS'!Z297*$A$3)</f>
        <v>3</v>
      </c>
      <c r="K299" s="54">
        <f>'G MTTS'!AF297</f>
        <v>20000</v>
      </c>
      <c r="L299" s="54">
        <f>'G MTTS'!X297</f>
        <v>0</v>
      </c>
      <c r="M299" s="54">
        <f>'G MTTS'!AA297</f>
        <v>30000</v>
      </c>
      <c r="N299" s="55">
        <f>'G MTTS'!AG297</f>
        <v>5</v>
      </c>
      <c r="O299" s="55">
        <f>'G MTTS'!AH297</f>
        <v>5</v>
      </c>
      <c r="P299" s="55">
        <f>'G MTTS'!AI297</f>
        <v>5</v>
      </c>
      <c r="Q299" s="56">
        <f>'G MTTS'!AJ297</f>
        <v>15</v>
      </c>
      <c r="R299" s="46">
        <f t="shared" si="22"/>
        <v>0.638900462962963</v>
      </c>
      <c r="S299" s="47" t="str">
        <f t="shared" si="24"/>
        <v>MICRO</v>
      </c>
    </row>
    <row r="300" ht="29.25" customHeight="1" outlineLevel="1" spans="1:19">
      <c r="B300" s="36">
        <f>'G MTTS'!B298</f>
        <v>0.604178240740741</v>
      </c>
      <c r="C300" s="37" t="str">
        <f>'G MTTS'!J298</f>
        <v>#AS 2K Omax PKO</v>
      </c>
      <c r="D300" s="38" t="str">
        <f>'G MTTS'!M298</f>
        <v>Side Event</v>
      </c>
      <c r="E300" s="39" t="str">
        <f>'G MTTS'!N298</f>
        <v>PLO5</v>
      </c>
      <c r="F300" s="40" t="str">
        <f>'G MTTS'!O298</f>
        <v>Progressive KO 1/2</v>
      </c>
      <c r="G300" s="41">
        <f>IF('G MTTS'!Q298=0," ",'G MTTS'!Q298*$A$3)</f>
        <v>2000</v>
      </c>
      <c r="H300" s="42">
        <f>IF('G MTTS'!V298=0," ",'G MTTS'!V298*$A$3)</f>
        <v>10</v>
      </c>
      <c r="I300" s="42">
        <f>IF('G MTTS'!W298=0," ",'G MTTS'!W298*$A$3)</f>
        <v>10</v>
      </c>
      <c r="J300" s="42" t="str">
        <f>IF('G MTTS'!Z298=0," ",'G MTTS'!Z298*$A$3)</f>
        <v> </v>
      </c>
      <c r="K300" s="43">
        <f>'G MTTS'!AF298</f>
        <v>50000</v>
      </c>
      <c r="L300" s="43">
        <f>'G MTTS'!X298</f>
        <v>0</v>
      </c>
      <c r="M300" s="43" t="str">
        <f>'G MTTS'!AA298</f>
        <v>REENTRY</v>
      </c>
      <c r="N300" s="44">
        <f>'G MTTS'!AG298</f>
        <v>8</v>
      </c>
      <c r="O300" s="44">
        <f>'G MTTS'!AH298</f>
        <v>8</v>
      </c>
      <c r="P300" s="44">
        <f>'G MTTS'!AI298</f>
        <v>8</v>
      </c>
      <c r="Q300" s="45">
        <f>'G MTTS'!AJ298</f>
        <v>15</v>
      </c>
      <c r="R300" s="46">
        <f t="shared" si="22"/>
        <v>0.694456018518519</v>
      </c>
      <c r="S300" s="47" t="str">
        <f t="shared" si="24"/>
        <v>MICRO</v>
      </c>
    </row>
    <row r="301" ht="29.25" customHeight="1" outlineLevel="1" spans="1:19">
      <c r="A301" s="60" t="s">
        <v>519</v>
      </c>
      <c r="B301" s="36">
        <f>'G MTTS'!B299</f>
        <v>0.625011574074074</v>
      </c>
      <c r="C301" s="48" t="str">
        <f>'G MTTS'!J299</f>
        <v>#AS 25K Plus+SPS</v>
      </c>
      <c r="D301" s="49" t="str">
        <f>'G MTTS'!M299</f>
        <v>Side Event</v>
      </c>
      <c r="E301" s="50" t="str">
        <f>'G MTTS'!N299</f>
        <v>NLH</v>
      </c>
      <c r="F301" s="51" t="str">
        <f>'G MTTS'!O299</f>
        <v>OFF</v>
      </c>
      <c r="G301" s="52">
        <f>IF('G MTTS'!Q299=0," ",'G MTTS'!Q299*$A$3)</f>
        <v>26000</v>
      </c>
      <c r="H301" s="53">
        <f>IF('G MTTS'!V299=0," ",'G MTTS'!V299*$A$3)</f>
        <v>15</v>
      </c>
      <c r="I301" s="53">
        <f>IF('G MTTS'!W299=0," ",'G MTTS'!W299*$A$3)</f>
        <v>15</v>
      </c>
      <c r="J301" s="53">
        <f>IF('G MTTS'!Z299=0," ",'G MTTS'!Z299*$A$3)</f>
        <v>15</v>
      </c>
      <c r="K301" s="54">
        <f>'G MTTS'!AF299</f>
        <v>40000</v>
      </c>
      <c r="L301" s="54">
        <f>'G MTTS'!X299</f>
        <v>0</v>
      </c>
      <c r="M301" s="54">
        <f>'G MTTS'!AA299</f>
        <v>160000</v>
      </c>
      <c r="N301" s="55">
        <f>'G MTTS'!AG299</f>
        <v>10</v>
      </c>
      <c r="O301" s="55">
        <f>'G MTTS'!AH299</f>
        <v>8</v>
      </c>
      <c r="P301" s="55">
        <f>'G MTTS'!AI299</f>
        <v>8</v>
      </c>
      <c r="Q301" s="56">
        <f>'G MTTS'!AJ299</f>
        <v>13</v>
      </c>
      <c r="R301" s="46">
        <f t="shared" si="22"/>
        <v>0.722233796296296</v>
      </c>
      <c r="S301" s="47" t="str">
        <f t="shared" si="24"/>
        <v>MICRO</v>
      </c>
    </row>
    <row r="302" ht="29.25" customHeight="1" outlineLevel="1" spans="1:19">
      <c r="B302" s="36">
        <f>'G MTTS'!B300</f>
        <v>0.645844907407407</v>
      </c>
      <c r="C302" s="37" t="str">
        <f>'G MTTS'!J300</f>
        <v>#AS 15K OmaX PKO</v>
      </c>
      <c r="D302" s="38" t="str">
        <f>'G MTTS'!M300</f>
        <v>Side Event</v>
      </c>
      <c r="E302" s="39" t="str">
        <f>'G MTTS'!N300</f>
        <v>PLO5</v>
      </c>
      <c r="F302" s="40" t="str">
        <f>'G MTTS'!O300</f>
        <v>Progressive KO 1/2</v>
      </c>
      <c r="G302" s="41">
        <f>IF('G MTTS'!Q300=0," ",'G MTTS'!Q300*$A$3)</f>
        <v>15000</v>
      </c>
      <c r="H302" s="42">
        <f>IF('G MTTS'!V300=0," ",'G MTTS'!V300*$A$3)</f>
        <v>150</v>
      </c>
      <c r="I302" s="42">
        <f>IF('G MTTS'!W300=0," ",'G MTTS'!W300*$A$3)</f>
        <v>150</v>
      </c>
      <c r="J302" s="42" t="str">
        <f>IF('G MTTS'!Z300=0," ",'G MTTS'!Z300*$A$3)</f>
        <v> </v>
      </c>
      <c r="K302" s="43">
        <f>'G MTTS'!AF300</f>
        <v>40000</v>
      </c>
      <c r="L302" s="43">
        <f>'G MTTS'!X300</f>
        <v>0</v>
      </c>
      <c r="M302" s="43" t="str">
        <f>'G MTTS'!AA300</f>
        <v>REENTRY</v>
      </c>
      <c r="N302" s="44">
        <f>'G MTTS'!AG300</f>
        <v>10</v>
      </c>
      <c r="O302" s="44">
        <f>'G MTTS'!AH300</f>
        <v>10</v>
      </c>
      <c r="P302" s="44">
        <f>'G MTTS'!AI300</f>
        <v>10</v>
      </c>
      <c r="Q302" s="45">
        <f>'G MTTS'!AJ300</f>
        <v>14</v>
      </c>
      <c r="R302" s="46">
        <f t="shared" si="22"/>
        <v>0.750011574074074</v>
      </c>
      <c r="S302" s="47" t="str">
        <f t="shared" si="24"/>
        <v>MEDIUM</v>
      </c>
    </row>
    <row r="303" ht="29.25" customHeight="1" outlineLevel="1" spans="1:19">
      <c r="A303" s="60" t="s">
        <v>519</v>
      </c>
      <c r="B303" s="36">
        <f>'G MTTS'!B301</f>
        <v>0.666678240740741</v>
      </c>
      <c r="C303" s="48" t="str">
        <f>'G MTTS'!J301</f>
        <v>500 Omax</v>
      </c>
      <c r="D303" s="49" t="str">
        <f>'G MTTS'!M301</f>
        <v>Side Event</v>
      </c>
      <c r="E303" s="50" t="str">
        <f>'G MTTS'!N301</f>
        <v>PLO4</v>
      </c>
      <c r="F303" s="51" t="str">
        <f>'G MTTS'!O301</f>
        <v>OFF</v>
      </c>
      <c r="G303" s="52">
        <f>IF('G MTTS'!Q301=0," ",'G MTTS'!Q301*$A$3)</f>
        <v>500</v>
      </c>
      <c r="H303" s="53">
        <f>IF('G MTTS'!V301=0," ",'G MTTS'!V301*$A$3)</f>
        <v>4</v>
      </c>
      <c r="I303" s="53">
        <f>IF('G MTTS'!W301=0," ",'G MTTS'!W301*$A$3)</f>
        <v>4</v>
      </c>
      <c r="J303" s="53">
        <f>IF('G MTTS'!Z301=0," ",'G MTTS'!Z301*$A$3)</f>
        <v>4</v>
      </c>
      <c r="K303" s="54">
        <f>'G MTTS'!AF301</f>
        <v>40000</v>
      </c>
      <c r="L303" s="54">
        <f>'G MTTS'!X301</f>
        <v>0</v>
      </c>
      <c r="M303" s="54">
        <f>'G MTTS'!AA301</f>
        <v>100000</v>
      </c>
      <c r="N303" s="55">
        <f>'G MTTS'!AG301</f>
        <v>8</v>
      </c>
      <c r="O303" s="55">
        <f>'G MTTS'!AH301</f>
        <v>7</v>
      </c>
      <c r="P303" s="55">
        <f>'G MTTS'!AI301</f>
        <v>7</v>
      </c>
      <c r="Q303" s="56">
        <f>'G MTTS'!AJ301</f>
        <v>12</v>
      </c>
      <c r="R303" s="46">
        <f t="shared" si="22"/>
        <v>0.73681712962963</v>
      </c>
      <c r="S303" s="47" t="str">
        <f t="shared" si="24"/>
        <v>MICRO</v>
      </c>
    </row>
    <row r="304" ht="29.25" customHeight="1" outlineLevel="1" spans="1:19">
      <c r="B304" s="36">
        <f>'G MTTS'!B302</f>
        <v>0.666678240740741</v>
      </c>
      <c r="C304" s="37" t="str">
        <f>'G MTTS'!J302</f>
        <v>1.5K Plus+SPS</v>
      </c>
      <c r="D304" s="38" t="str">
        <f>'G MTTS'!M302</f>
        <v>Side Event</v>
      </c>
      <c r="E304" s="39" t="str">
        <f>'G MTTS'!N302</f>
        <v>NLH</v>
      </c>
      <c r="F304" s="40" t="str">
        <f>'G MTTS'!O302</f>
        <v>OFF</v>
      </c>
      <c r="G304" s="41">
        <f>IF('G MTTS'!Q302=0," ",'G MTTS'!Q302*$A$3)</f>
        <v>1650</v>
      </c>
      <c r="H304" s="42">
        <f>IF('G MTTS'!V302=0," ",'G MTTS'!V302*$A$3)</f>
        <v>3</v>
      </c>
      <c r="I304" s="42">
        <f>IF('G MTTS'!W302=0," ",'G MTTS'!W302*$A$3)</f>
        <v>3</v>
      </c>
      <c r="J304" s="42">
        <f>IF('G MTTS'!Z302=0," ",'G MTTS'!Z302*$A$3)</f>
        <v>5</v>
      </c>
      <c r="K304" s="43">
        <f>'G MTTS'!AF302</f>
        <v>40000</v>
      </c>
      <c r="L304" s="43">
        <f>'G MTTS'!X302</f>
        <v>0</v>
      </c>
      <c r="M304" s="43">
        <f>'G MTTS'!AA302</f>
        <v>120000</v>
      </c>
      <c r="N304" s="44">
        <f>'G MTTS'!AG302</f>
        <v>6</v>
      </c>
      <c r="O304" s="44">
        <f>'G MTTS'!AH302</f>
        <v>5</v>
      </c>
      <c r="P304" s="44">
        <f>'G MTTS'!AI302</f>
        <v>5</v>
      </c>
      <c r="Q304" s="45">
        <f>'G MTTS'!AJ302</f>
        <v>15</v>
      </c>
      <c r="R304" s="46">
        <f t="shared" si="22"/>
        <v>0.732650462962963</v>
      </c>
      <c r="S304" s="47" t="str">
        <f t="shared" si="24"/>
        <v>MICRO</v>
      </c>
    </row>
    <row r="305" ht="29.25" customHeight="1" outlineLevel="1" spans="1:19">
      <c r="A305" s="60"/>
      <c r="B305" s="36">
        <f>'G MTTS'!B303</f>
        <v>0.666678240740741</v>
      </c>
      <c r="C305" s="37" t="str">
        <f>'G MTTS'!J303</f>
        <v>#AS 35K Plus HR+SPS</v>
      </c>
      <c r="D305" s="38" t="str">
        <f>'G MTTS'!M303</f>
        <v>Side Event</v>
      </c>
      <c r="E305" s="39" t="str">
        <f>'G MTTS'!N303</f>
        <v>NLH</v>
      </c>
      <c r="F305" s="40" t="str">
        <f>'G MTTS'!O303</f>
        <v>OFF</v>
      </c>
      <c r="G305" s="41">
        <f>IF('G MTTS'!Q303=0," ",'G MTTS'!Q303*$A$3)</f>
        <v>36000</v>
      </c>
      <c r="H305" s="42">
        <f>IF('G MTTS'!V303=0," ",'G MTTS'!V303*$A$3)</f>
        <v>75</v>
      </c>
      <c r="I305" s="42">
        <f>IF('G MTTS'!W303=0," ",'G MTTS'!W303*$A$3)</f>
        <v>75</v>
      </c>
      <c r="J305" s="42">
        <f>IF('G MTTS'!Z303=0," ",'G MTTS'!Z303*$A$3)</f>
        <v>75</v>
      </c>
      <c r="K305" s="43">
        <f>'G MTTS'!AF303</f>
        <v>20000</v>
      </c>
      <c r="L305" s="43">
        <f>'G MTTS'!X303</f>
        <v>0</v>
      </c>
      <c r="M305" s="43">
        <f>'G MTTS'!AA303</f>
        <v>60000</v>
      </c>
      <c r="N305" s="44">
        <f>'G MTTS'!AG303</f>
        <v>12</v>
      </c>
      <c r="O305" s="44">
        <f>'G MTTS'!AH303</f>
        <v>10</v>
      </c>
      <c r="P305" s="44">
        <f>'G MTTS'!AI303</f>
        <v>10</v>
      </c>
      <c r="Q305" s="45">
        <f>'G MTTS'!AJ303</f>
        <v>12</v>
      </c>
      <c r="R305" s="46">
        <f t="shared" si="22"/>
        <v>0.773622685185185</v>
      </c>
      <c r="S305" s="47" t="str">
        <f t="shared" si="24"/>
        <v>LOW</v>
      </c>
    </row>
    <row r="306" ht="29.25" customHeight="1" outlineLevel="1" spans="1:19">
      <c r="A306" s="60" t="s">
        <v>519</v>
      </c>
      <c r="B306" s="36">
        <f>'G MTTS'!B304</f>
        <v>0.687511574074074</v>
      </c>
      <c r="C306" s="48" t="str">
        <f>'G MTTS'!J304</f>
        <v>#AS 7.5K Freeze</v>
      </c>
      <c r="D306" s="49" t="str">
        <f>'G MTTS'!M304</f>
        <v>Side Event</v>
      </c>
      <c r="E306" s="50" t="str">
        <f>'G MTTS'!N304</f>
        <v>NLH</v>
      </c>
      <c r="F306" s="51" t="str">
        <f>'G MTTS'!O304</f>
        <v>OFF</v>
      </c>
      <c r="G306" s="52">
        <f>IF('G MTTS'!Q304=0," ",'G MTTS'!Q304*$A$3)</f>
        <v>7500</v>
      </c>
      <c r="H306" s="53">
        <f>IF('G MTTS'!V304=0," ",'G MTTS'!V304*$A$3)</f>
        <v>50</v>
      </c>
      <c r="I306" s="53" t="str">
        <f>IF('G MTTS'!W304=0," ",'G MTTS'!W304*$A$3)</f>
        <v> </v>
      </c>
      <c r="J306" s="53" t="str">
        <f>IF('G MTTS'!Z304=0," ",'G MTTS'!Z304*$A$3)</f>
        <v> </v>
      </c>
      <c r="K306" s="54">
        <f>'G MTTS'!AF304</f>
        <v>50000</v>
      </c>
      <c r="L306" s="54">
        <f>'G MTTS'!X304</f>
        <v>0</v>
      </c>
      <c r="M306" s="54" t="str">
        <f>'G MTTS'!AA304</f>
        <v>FREEZE</v>
      </c>
      <c r="N306" s="55">
        <f>'G MTTS'!AG304</f>
        <v>12</v>
      </c>
      <c r="O306" s="55">
        <f>'G MTTS'!AH304</f>
        <v>10</v>
      </c>
      <c r="P306" s="55">
        <f>'G MTTS'!AI304</f>
        <v>10</v>
      </c>
      <c r="Q306" s="56">
        <f>'G MTTS'!AJ304</f>
        <v>15</v>
      </c>
      <c r="R306" s="46">
        <f t="shared" si="22"/>
        <v>0.822928240740741</v>
      </c>
      <c r="S306" s="47" t="str">
        <f t="shared" si="24"/>
        <v>LOW</v>
      </c>
    </row>
    <row r="307" ht="29.25" customHeight="1" outlineLevel="1" spans="1:19">
      <c r="B307" s="36">
        <f>'G MTTS'!B305</f>
        <v>0.708344907407407</v>
      </c>
      <c r="C307" s="37" t="str">
        <f>'G MTTS'!J305</f>
        <v>#AS 5.5K Little Battle</v>
      </c>
      <c r="D307" s="38" t="str">
        <f>'G MTTS'!M305</f>
        <v>Side Event</v>
      </c>
      <c r="E307" s="39" t="str">
        <f>'G MTTS'!N305</f>
        <v>NLH</v>
      </c>
      <c r="F307" s="40" t="str">
        <f>'G MTTS'!O305</f>
        <v>Progressive KO 1/2</v>
      </c>
      <c r="G307" s="41">
        <f>IF('G MTTS'!Q305=0," ",'G MTTS'!Q305*$A$3)</f>
        <v>5500</v>
      </c>
      <c r="H307" s="42">
        <f>IF('G MTTS'!V305=0," ",'G MTTS'!V305*$A$3)</f>
        <v>11</v>
      </c>
      <c r="I307" s="42">
        <f>IF('G MTTS'!W305=0," ",'G MTTS'!W305*$A$3)</f>
        <v>11</v>
      </c>
      <c r="J307" s="42" t="str">
        <f>IF('G MTTS'!Z305=0," ",'G MTTS'!Z305*$A$3)</f>
        <v> </v>
      </c>
      <c r="K307" s="43">
        <f>'G MTTS'!AF305</f>
        <v>50000</v>
      </c>
      <c r="L307" s="43">
        <f>'G MTTS'!X305</f>
        <v>0</v>
      </c>
      <c r="M307" s="43" t="str">
        <f>'G MTTS'!AA305</f>
        <v>REENTRY</v>
      </c>
      <c r="N307" s="44">
        <f>'G MTTS'!AG305</f>
        <v>10</v>
      </c>
      <c r="O307" s="44">
        <f>'G MTTS'!AH305</f>
        <v>8</v>
      </c>
      <c r="P307" s="44">
        <f>'G MTTS'!AI305</f>
        <v>8</v>
      </c>
      <c r="Q307" s="45">
        <f>'G MTTS'!AJ305</f>
        <v>15</v>
      </c>
      <c r="R307" s="46">
        <f t="shared" si="22"/>
        <v>0.819456018518518</v>
      </c>
      <c r="S307" s="47" t="str">
        <f t="shared" si="24"/>
        <v>MICRO</v>
      </c>
    </row>
    <row r="308" ht="29.25" customHeight="1" outlineLevel="1" spans="1:19">
      <c r="B308" s="36">
        <f>'G MTTS'!B306</f>
        <v>0.708344907407407</v>
      </c>
      <c r="C308" s="48" t="str">
        <f>'G MTTS'!J306</f>
        <v>Sit&amp;go 200p max.</v>
      </c>
      <c r="D308" s="49" t="str">
        <f>'G MTTS'!M306</f>
        <v>Side Event</v>
      </c>
      <c r="E308" s="50" t="str">
        <f>'G MTTS'!N306</f>
        <v>NLH</v>
      </c>
      <c r="F308" s="51" t="str">
        <f>'G MTTS'!O306</f>
        <v>OFF</v>
      </c>
      <c r="G308" s="52">
        <f>IF('G MTTS'!Q306=0," ",'G MTTS'!Q306*$A$3)</f>
        <v>200</v>
      </c>
      <c r="H308" s="53">
        <f>IF('G MTTS'!V306=0," ",'G MTTS'!V306*$A$3)</f>
        <v>3</v>
      </c>
      <c r="I308" s="53">
        <f>IF('G MTTS'!W306=0," ",'G MTTS'!W306*$A$3)</f>
        <v>3</v>
      </c>
      <c r="J308" s="53">
        <f>IF('G MTTS'!Z306=0," ",'G MTTS'!Z306*$A$3)</f>
        <v>3</v>
      </c>
      <c r="K308" s="54">
        <f>'G MTTS'!AF306</f>
        <v>20000</v>
      </c>
      <c r="L308" s="54">
        <f>'G MTTS'!X306</f>
        <v>0</v>
      </c>
      <c r="M308" s="54">
        <f>'G MTTS'!AA306</f>
        <v>30000</v>
      </c>
      <c r="N308" s="55">
        <f>'G MTTS'!AG306</f>
        <v>5</v>
      </c>
      <c r="O308" s="55">
        <f>'G MTTS'!AH306</f>
        <v>5</v>
      </c>
      <c r="P308" s="55">
        <f>'G MTTS'!AI306</f>
        <v>5</v>
      </c>
      <c r="Q308" s="56">
        <f>'G MTTS'!AJ306</f>
        <v>15</v>
      </c>
      <c r="R308" s="46">
        <f t="shared" si="22"/>
        <v>0.763900462962963</v>
      </c>
      <c r="S308" s="47" t="str">
        <f t="shared" si="24"/>
        <v>MICRO</v>
      </c>
    </row>
    <row r="309" ht="29.25" customHeight="1" outlineLevel="1" spans="1:19">
      <c r="A309" s="60" t="s">
        <v>519</v>
      </c>
      <c r="B309" s="36">
        <f>'G MTTS'!B307</f>
        <v>0.729178240740741</v>
      </c>
      <c r="C309" s="37" t="str">
        <f>'G MTTS'!J307</f>
        <v>1K Omax PKO</v>
      </c>
      <c r="D309" s="38" t="str">
        <f>'G MTTS'!M307</f>
        <v>Side Event</v>
      </c>
      <c r="E309" s="39" t="str">
        <f>'G MTTS'!N307</f>
        <v>PLO6</v>
      </c>
      <c r="F309" s="40" t="str">
        <f>'G MTTS'!O307</f>
        <v>Progressive KO 1/2</v>
      </c>
      <c r="G309" s="41">
        <f>IF('G MTTS'!Q307=0," ",'G MTTS'!Q307*$A$3)</f>
        <v>1000</v>
      </c>
      <c r="H309" s="42">
        <f>IF('G MTTS'!V307=0," ",'G MTTS'!V307*$A$3)</f>
        <v>5</v>
      </c>
      <c r="I309" s="42">
        <f>IF('G MTTS'!W307=0," ",'G MTTS'!W307*$A$3)</f>
        <v>5</v>
      </c>
      <c r="J309" s="42" t="str">
        <f>IF('G MTTS'!Z307=0," ",'G MTTS'!Z307*$A$3)</f>
        <v> </v>
      </c>
      <c r="K309" s="43">
        <f>'G MTTS'!AF307</f>
        <v>50000</v>
      </c>
      <c r="L309" s="43">
        <f>'G MTTS'!X307</f>
        <v>0</v>
      </c>
      <c r="M309" s="43" t="str">
        <f>'G MTTS'!AA307</f>
        <v>REENTRY</v>
      </c>
      <c r="N309" s="44">
        <f>'G MTTS'!AG307</f>
        <v>8</v>
      </c>
      <c r="O309" s="44">
        <f>'G MTTS'!AH307</f>
        <v>7</v>
      </c>
      <c r="P309" s="44">
        <f>'G MTTS'!AI307</f>
        <v>7</v>
      </c>
      <c r="Q309" s="45">
        <f>'G MTTS'!AJ307</f>
        <v>15</v>
      </c>
      <c r="R309" s="46">
        <f t="shared" si="22"/>
        <v>0.819456018518519</v>
      </c>
      <c r="S309" s="47" t="str">
        <f t="shared" si="24"/>
        <v>MICRO</v>
      </c>
    </row>
    <row r="310" ht="29.25" customHeight="1" outlineLevel="1" spans="1:19">
      <c r="B310" s="36">
        <f>'G MTTS'!B308</f>
        <v>0.750011574074074</v>
      </c>
      <c r="C310" s="48" t="str">
        <f>'G MTTS'!J308</f>
        <v>1K Omax</v>
      </c>
      <c r="D310" s="49" t="str">
        <f>'G MTTS'!M308</f>
        <v>Side Event</v>
      </c>
      <c r="E310" s="50" t="str">
        <f>'G MTTS'!N308</f>
        <v>PLO4</v>
      </c>
      <c r="F310" s="51" t="str">
        <f>'G MTTS'!O308</f>
        <v>OFF</v>
      </c>
      <c r="G310" s="52">
        <f>IF('G MTTS'!Q308=0," ",'G MTTS'!Q308*$A$3)</f>
        <v>1000</v>
      </c>
      <c r="H310" s="53">
        <f>IF('G MTTS'!V308=0," ",'G MTTS'!V308*$A$3)</f>
        <v>10</v>
      </c>
      <c r="I310" s="53">
        <f>IF('G MTTS'!W308=0," ",'G MTTS'!W308*$A$3)</f>
        <v>10</v>
      </c>
      <c r="J310" s="53">
        <f>IF('G MTTS'!Z308=0," ",'G MTTS'!Z308*$A$3)</f>
        <v>10</v>
      </c>
      <c r="K310" s="54">
        <f>'G MTTS'!AF308</f>
        <v>50000</v>
      </c>
      <c r="L310" s="54">
        <f>'G MTTS'!X308</f>
        <v>0</v>
      </c>
      <c r="M310" s="54">
        <f>'G MTTS'!AA308</f>
        <v>100000</v>
      </c>
      <c r="N310" s="55">
        <f>'G MTTS'!AG308</f>
        <v>8</v>
      </c>
      <c r="O310" s="55">
        <f>'G MTTS'!AH308</f>
        <v>8</v>
      </c>
      <c r="P310" s="55">
        <f>'G MTTS'!AI308</f>
        <v>8</v>
      </c>
      <c r="Q310" s="56">
        <f>'G MTTS'!AJ308</f>
        <v>14</v>
      </c>
      <c r="R310" s="46">
        <f t="shared" si="22"/>
        <v>0.831261574074074</v>
      </c>
      <c r="S310" s="47" t="str">
        <f t="shared" si="24"/>
        <v>MICRO</v>
      </c>
    </row>
    <row r="311" ht="29.25" customHeight="1" outlineLevel="1" spans="1:19">
      <c r="B311" s="36">
        <f>'G MTTS'!B309</f>
        <v>0.770844907407407</v>
      </c>
      <c r="C311" s="37" t="str">
        <f>'G MTTS'!J309</f>
        <v>#AS 25K Mini Plus+SPS</v>
      </c>
      <c r="D311" s="38" t="str">
        <f>'G MTTS'!M309</f>
        <v>Side Event</v>
      </c>
      <c r="E311" s="39" t="str">
        <f>'G MTTS'!N309</f>
        <v>NLH</v>
      </c>
      <c r="F311" s="40" t="str">
        <f>'G MTTS'!O309</f>
        <v>OFF</v>
      </c>
      <c r="G311" s="41">
        <f>IF('G MTTS'!Q309=0," ",'G MTTS'!Q309*$A$3)</f>
        <v>26000</v>
      </c>
      <c r="H311" s="42">
        <f>IF('G MTTS'!V309=0," ",'G MTTS'!V309*$A$3)</f>
        <v>10</v>
      </c>
      <c r="I311" s="42">
        <f>IF('G MTTS'!W309=0," ",'G MTTS'!W309*$A$3)</f>
        <v>10</v>
      </c>
      <c r="J311" s="42">
        <f>IF('G MTTS'!Z309=0," ",'G MTTS'!Z309*$A$3)</f>
        <v>15</v>
      </c>
      <c r="K311" s="43">
        <f>'G MTTS'!AF309</f>
        <v>40000</v>
      </c>
      <c r="L311" s="43">
        <f>'G MTTS'!X309</f>
        <v>0</v>
      </c>
      <c r="M311" s="43">
        <f>'G MTTS'!AA309</f>
        <v>160000</v>
      </c>
      <c r="N311" s="44">
        <f>'G MTTS'!AG309</f>
        <v>8</v>
      </c>
      <c r="O311" s="44">
        <f>'G MTTS'!AH309</f>
        <v>7</v>
      </c>
      <c r="P311" s="44">
        <f>'G MTTS'!AI309</f>
        <v>7</v>
      </c>
      <c r="Q311" s="45">
        <f>'G MTTS'!AJ309</f>
        <v>15</v>
      </c>
      <c r="R311" s="46">
        <f t="shared" si="22"/>
        <v>0.861122685185185</v>
      </c>
      <c r="S311" s="47" t="str">
        <f t="shared" si="24"/>
        <v>MICRO</v>
      </c>
    </row>
    <row r="312" ht="29.25" customHeight="1" outlineLevel="1" spans="1:19">
      <c r="A312" s="60" t="s">
        <v>519</v>
      </c>
      <c r="B312" s="36">
        <f>'G MTTS'!B310</f>
        <v>0.791678240740741</v>
      </c>
      <c r="C312" s="48" t="str">
        <f>'G MTTS'!J310</f>
        <v>#AS 2.5K Omax K.O</v>
      </c>
      <c r="D312" s="136" t="str">
        <f>'G MTTS'!M310</f>
        <v>Side Event</v>
      </c>
      <c r="E312" s="137" t="str">
        <f>'G MTTS'!N310</f>
        <v>PLO5</v>
      </c>
      <c r="F312" s="138" t="str">
        <f>'G MTTS'!O310</f>
        <v>Regular KO 1/3</v>
      </c>
      <c r="G312" s="139">
        <f>IF('G MTTS'!Q310=0," ",'G MTTS'!Q310*$A$3)</f>
        <v>2500</v>
      </c>
      <c r="H312" s="140">
        <f>IF('G MTTS'!V310=0," ",'G MTTS'!V310*$A$3)</f>
        <v>10</v>
      </c>
      <c r="I312" s="140">
        <f>IF('G MTTS'!W310=0," ",'G MTTS'!W310*$A$3)</f>
        <v>10</v>
      </c>
      <c r="J312" s="140" t="str">
        <f>IF('G MTTS'!Z310=0," ",'G MTTS'!Z310*$A$3)</f>
        <v> </v>
      </c>
      <c r="K312" s="141">
        <f>'G MTTS'!AF310</f>
        <v>40000</v>
      </c>
      <c r="L312" s="141">
        <f>'G MTTS'!X310</f>
        <v>0</v>
      </c>
      <c r="M312" s="141" t="str">
        <f>'G MTTS'!AA310</f>
        <v>REENTRY</v>
      </c>
      <c r="N312" s="142">
        <f>'G MTTS'!AG310</f>
        <v>10</v>
      </c>
      <c r="O312" s="142">
        <f>'G MTTS'!AH310</f>
        <v>8</v>
      </c>
      <c r="P312" s="142">
        <f>'G MTTS'!AI310</f>
        <v>8</v>
      </c>
      <c r="Q312" s="143">
        <f>'G MTTS'!AJ310</f>
        <v>14</v>
      </c>
      <c r="R312" s="46">
        <f t="shared" si="22"/>
        <v>0.895844907407407</v>
      </c>
      <c r="S312" s="47" t="str">
        <f t="shared" si="24"/>
        <v>MICRO</v>
      </c>
    </row>
    <row r="313" ht="29.25" customHeight="1" outlineLevel="1" spans="1:19">
      <c r="B313" s="36">
        <f>'G MTTS'!B311</f>
        <v>0.791678240740741</v>
      </c>
      <c r="C313" s="37" t="str">
        <f>'G MTTS'!J311</f>
        <v>#AS 5K Little Mystery</v>
      </c>
      <c r="D313" s="144" t="str">
        <f>'G MTTS'!M311</f>
        <v>Side Event</v>
      </c>
      <c r="E313" s="145" t="str">
        <f>'G MTTS'!N311</f>
        <v>NLH</v>
      </c>
      <c r="F313" s="146" t="str">
        <f>'G MTTS'!O311</f>
        <v>Mystery Bounty 1/2</v>
      </c>
      <c r="G313" s="147">
        <f>IF('G MTTS'!Q311=0," ",'G MTTS'!Q311*$A$3)</f>
        <v>5000</v>
      </c>
      <c r="H313" s="148">
        <f>IF('G MTTS'!V311=0," ",'G MTTS'!V311*$A$3)</f>
        <v>5</v>
      </c>
      <c r="I313" s="148">
        <f>IF('G MTTS'!W311=0," ",'G MTTS'!W311*$A$3)</f>
        <v>5</v>
      </c>
      <c r="J313" s="148" t="str">
        <f>IF('G MTTS'!Z311=0," ",'G MTTS'!Z311*$A$3)</f>
        <v> </v>
      </c>
      <c r="K313" s="149">
        <f>'G MTTS'!AF311</f>
        <v>30000</v>
      </c>
      <c r="L313" s="149">
        <f>'G MTTS'!X311</f>
        <v>0</v>
      </c>
      <c r="M313" s="149" t="str">
        <f>'G MTTS'!AA311</f>
        <v>REENTRY</v>
      </c>
      <c r="N313" s="150">
        <f>'G MTTS'!AG311</f>
        <v>10</v>
      </c>
      <c r="O313" s="150">
        <f>'G MTTS'!AH311</f>
        <v>8</v>
      </c>
      <c r="P313" s="150">
        <f>'G MTTS'!AI311</f>
        <v>8</v>
      </c>
      <c r="Q313" s="151">
        <f>'G MTTS'!AJ311</f>
        <v>13</v>
      </c>
      <c r="R313" s="46">
        <f t="shared" si="22"/>
        <v>0.888900462962963</v>
      </c>
      <c r="S313" s="47" t="str">
        <f t="shared" si="24"/>
        <v>MICRO</v>
      </c>
    </row>
    <row r="314" ht="29.25" customHeight="1" outlineLevel="1" spans="1:19">
      <c r="B314" s="36">
        <f>'G MTTS'!B312</f>
        <v>0.791678240740741</v>
      </c>
      <c r="C314" s="152" t="str">
        <f>'G MTTS'!J312</f>
        <v>#AS 25K OmaX PKO</v>
      </c>
      <c r="D314" s="136" t="str">
        <f>'G MTTS'!M312</f>
        <v>Side Event</v>
      </c>
      <c r="E314" s="137" t="str">
        <f>'G MTTS'!N312</f>
        <v>PLO5</v>
      </c>
      <c r="F314" s="138" t="str">
        <f>'G MTTS'!O312</f>
        <v>Progressive KO 1/2</v>
      </c>
      <c r="G314" s="139">
        <f>IF('G MTTS'!Q312=0," ",'G MTTS'!Q312*$A$3)</f>
        <v>25000</v>
      </c>
      <c r="H314" s="140">
        <f>IF('G MTTS'!V312=0," ",'G MTTS'!V312*$A$3)</f>
        <v>75</v>
      </c>
      <c r="I314" s="140">
        <f>IF('G MTTS'!W312=0," ",'G MTTS'!W312*$A$3)</f>
        <v>75</v>
      </c>
      <c r="J314" s="140" t="str">
        <f>IF('G MTTS'!Z312=0," ",'G MTTS'!Z312*$A$3)</f>
        <v> </v>
      </c>
      <c r="K314" s="141">
        <f>'G MTTS'!AF312</f>
        <v>50000</v>
      </c>
      <c r="L314" s="141">
        <f>'G MTTS'!X312</f>
        <v>0</v>
      </c>
      <c r="M314" s="141" t="str">
        <f>'G MTTS'!AA312</f>
        <v>REENTRY</v>
      </c>
      <c r="N314" s="142">
        <f>'G MTTS'!AG312</f>
        <v>12</v>
      </c>
      <c r="O314" s="142">
        <f>'G MTTS'!AH312</f>
        <v>10</v>
      </c>
      <c r="P314" s="142">
        <f>'G MTTS'!AI312</f>
        <v>10</v>
      </c>
      <c r="Q314" s="143">
        <f>'G MTTS'!AJ312</f>
        <v>15</v>
      </c>
      <c r="R314" s="46">
        <f t="shared" si="22"/>
        <v>0.927094907407407</v>
      </c>
      <c r="S314" s="47" t="str">
        <f t="shared" si="24"/>
        <v>LOW</v>
      </c>
    </row>
    <row r="315" ht="29.25" customHeight="1" outlineLevel="1" spans="1:19">
      <c r="A315" s="60" t="s">
        <v>519</v>
      </c>
      <c r="B315" s="36">
        <f>'G MTTS'!B313</f>
        <v>0.791678240740741</v>
      </c>
      <c r="C315" s="37" t="str">
        <f>'G MTTS'!J313</f>
        <v>Start Free+SPS</v>
      </c>
      <c r="D315" s="38" t="str">
        <f>'G MTTS'!M313</f>
        <v>Side Event</v>
      </c>
      <c r="E315" s="39" t="str">
        <f>'G MTTS'!N313</f>
        <v>NLH</v>
      </c>
      <c r="F315" s="40" t="str">
        <f>'G MTTS'!O313</f>
        <v>OFF</v>
      </c>
      <c r="G315" s="41">
        <f>IF('G MTTS'!Q313=0," ",'G MTTS'!Q313*$A$3)</f>
        <v>500</v>
      </c>
      <c r="H315" s="42" t="str">
        <f>IF('G MTTS'!V313=0," ",'G MTTS'!V313*$A$3)</f>
        <v> </v>
      </c>
      <c r="I315" s="42">
        <f>IF('G MTTS'!W313=0," ",'G MTTS'!W313*$A$3)</f>
        <v>3</v>
      </c>
      <c r="J315" s="42">
        <f>IF('G MTTS'!Z313=0," ",'G MTTS'!Z313*$A$3)</f>
        <v>5</v>
      </c>
      <c r="K315" s="43">
        <f>'G MTTS'!AF313</f>
        <v>15000</v>
      </c>
      <c r="L315" s="43">
        <f>'G MTTS'!X313</f>
        <v>30000</v>
      </c>
      <c r="M315" s="43">
        <f>'G MTTS'!AA313</f>
        <v>60000</v>
      </c>
      <c r="N315" s="44">
        <f>'G MTTS'!AG313</f>
        <v>6</v>
      </c>
      <c r="O315" s="44">
        <f>'G MTTS'!AH313</f>
        <v>5</v>
      </c>
      <c r="P315" s="44">
        <f>'G MTTS'!AI313</f>
        <v>5</v>
      </c>
      <c r="Q315" s="45">
        <f>'G MTTS'!AJ313</f>
        <v>15</v>
      </c>
      <c r="R315" s="46">
        <f t="shared" si="22"/>
        <v>0.857650462962963</v>
      </c>
      <c r="S315" s="47" t="str">
        <f t="shared" si="24"/>
        <v>SUPER HIGH</v>
      </c>
    </row>
    <row r="316" ht="29.25" customHeight="1" outlineLevel="1" spans="1:19">
      <c r="B316" s="36">
        <f>'G MTTS'!B314</f>
        <v>0.833344907407407</v>
      </c>
      <c r="C316" s="152" t="str">
        <f>'G MTTS'!J314</f>
        <v>1K Omax</v>
      </c>
      <c r="D316" s="136" t="str">
        <f>'G MTTS'!M314</f>
        <v>Side Event</v>
      </c>
      <c r="E316" s="137" t="str">
        <f>'G MTTS'!N314</f>
        <v>PLO6</v>
      </c>
      <c r="F316" s="138" t="str">
        <f>'G MTTS'!O314</f>
        <v>OFF</v>
      </c>
      <c r="G316" s="139">
        <f>IF('G MTTS'!Q314=0," ",'G MTTS'!Q314*$A$3)</f>
        <v>1000</v>
      </c>
      <c r="H316" s="140">
        <f>IF('G MTTS'!V314=0," ",'G MTTS'!V314*$A$3)</f>
        <v>10</v>
      </c>
      <c r="I316" s="140">
        <f>IF('G MTTS'!W314=0," ",'G MTTS'!W314*$A$3)</f>
        <v>10</v>
      </c>
      <c r="J316" s="140">
        <f>IF('G MTTS'!Z314=0," ",'G MTTS'!Z314*$A$3)</f>
        <v>10</v>
      </c>
      <c r="K316" s="141">
        <f>'G MTTS'!AF314</f>
        <v>40000</v>
      </c>
      <c r="L316" s="141">
        <f>'G MTTS'!X314</f>
        <v>0</v>
      </c>
      <c r="M316" s="141">
        <f>'G MTTS'!AA314</f>
        <v>100000</v>
      </c>
      <c r="N316" s="142">
        <f>'G MTTS'!AG314</f>
        <v>10</v>
      </c>
      <c r="O316" s="142">
        <f>'G MTTS'!AH314</f>
        <v>10</v>
      </c>
      <c r="P316" s="142">
        <f>'G MTTS'!AI314</f>
        <v>10</v>
      </c>
      <c r="Q316" s="143">
        <f>'G MTTS'!AJ314</f>
        <v>12</v>
      </c>
      <c r="R316" s="46">
        <f t="shared" si="22"/>
        <v>0.923622685185185</v>
      </c>
      <c r="S316" s="47" t="str">
        <f t="shared" si="24"/>
        <v>MICRO</v>
      </c>
    </row>
    <row r="317" ht="29.25" customHeight="1" outlineLevel="1" spans="1:19">
      <c r="B317" s="36">
        <f>'G MTTS'!B315</f>
        <v>0.833344907407407</v>
      </c>
      <c r="C317" s="37" t="str">
        <f>'G MTTS'!J315</f>
        <v>#AS 100K Plus+SPT</v>
      </c>
      <c r="D317" s="38" t="str">
        <f>'G MTTS'!M315</f>
        <v>Side Event</v>
      </c>
      <c r="E317" s="39" t="str">
        <f>'G MTTS'!N315</f>
        <v>NLH</v>
      </c>
      <c r="F317" s="40" t="str">
        <f>'G MTTS'!O315</f>
        <v>OFF</v>
      </c>
      <c r="G317" s="41">
        <f>IF('G MTTS'!Q315=0," ",'G MTTS'!Q315*$A$3)</f>
        <v>108500</v>
      </c>
      <c r="H317" s="42">
        <f>IF('G MTTS'!V315=0," ",'G MTTS'!V315*$A$3)</f>
        <v>25</v>
      </c>
      <c r="I317" s="42">
        <f>IF('G MTTS'!W315=0," ",'G MTTS'!W315*$A$3)</f>
        <v>25</v>
      </c>
      <c r="J317" s="42">
        <f>IF('G MTTS'!Z315=0," ",'G MTTS'!Z315*$A$3)</f>
        <v>30</v>
      </c>
      <c r="K317" s="43">
        <f>'G MTTS'!AF315</f>
        <v>50000</v>
      </c>
      <c r="L317" s="43">
        <f>'G MTTS'!X315</f>
        <v>0</v>
      </c>
      <c r="M317" s="43">
        <f>'G MTTS'!AA315</f>
        <v>250000</v>
      </c>
      <c r="N317" s="44">
        <f>'G MTTS'!AG315</f>
        <v>10</v>
      </c>
      <c r="O317" s="44">
        <f>'G MTTS'!AH315</f>
        <v>8</v>
      </c>
      <c r="P317" s="44">
        <f>'G MTTS'!AI315</f>
        <v>8</v>
      </c>
      <c r="Q317" s="45">
        <f>'G MTTS'!AJ315</f>
        <v>15</v>
      </c>
      <c r="R317" s="46">
        <f t="shared" si="22"/>
        <v>0.944456018518518</v>
      </c>
      <c r="S317" s="47" t="str">
        <f t="shared" si="24"/>
        <v>MICRO</v>
      </c>
    </row>
    <row r="318" ht="29.25" customHeight="1" outlineLevel="1" spans="1:19">
      <c r="A318" s="60" t="s">
        <v>519</v>
      </c>
      <c r="B318" s="36">
        <f>'G MTTS'!B316</f>
        <v>0.833344907407407</v>
      </c>
      <c r="C318" s="152" t="str">
        <f>'G MTTS'!J316</f>
        <v>#AS 10K Bounty</v>
      </c>
      <c r="D318" s="136" t="str">
        <f>'G MTTS'!M316</f>
        <v>Side Event</v>
      </c>
      <c r="E318" s="137" t="str">
        <f>'G MTTS'!N316</f>
        <v>NLH</v>
      </c>
      <c r="F318" s="138" t="str">
        <f>'G MTTS'!O316</f>
        <v>Progressive KO 1/2</v>
      </c>
      <c r="G318" s="139">
        <f>IF('G MTTS'!Q316=0," ",'G MTTS'!Q316*$A$3)</f>
        <v>10000</v>
      </c>
      <c r="H318" s="140">
        <f>IF('G MTTS'!V316=0," ",'G MTTS'!V316*$A$3)</f>
        <v>35</v>
      </c>
      <c r="I318" s="140">
        <f>IF('G MTTS'!W316=0," ",'G MTTS'!W316*$A$3)</f>
        <v>35</v>
      </c>
      <c r="J318" s="140" t="str">
        <f>IF('G MTTS'!Z316=0," ",'G MTTS'!Z316*$A$3)</f>
        <v> </v>
      </c>
      <c r="K318" s="141">
        <f>'G MTTS'!AF316</f>
        <v>60000</v>
      </c>
      <c r="L318" s="141">
        <f>'G MTTS'!X316</f>
        <v>0</v>
      </c>
      <c r="M318" s="141" t="str">
        <f>'G MTTS'!AA316</f>
        <v>REENTRY</v>
      </c>
      <c r="N318" s="142">
        <f>'G MTTS'!AG316</f>
        <v>10</v>
      </c>
      <c r="O318" s="142">
        <f>'G MTTS'!AH316</f>
        <v>8</v>
      </c>
      <c r="P318" s="142">
        <f>'G MTTS'!AI316</f>
        <v>8</v>
      </c>
      <c r="Q318" s="143">
        <f>'G MTTS'!AJ316</f>
        <v>15</v>
      </c>
      <c r="R318" s="46">
        <f t="shared" si="22"/>
        <v>0.944456018518518</v>
      </c>
      <c r="S318" s="47" t="str">
        <f t="shared" si="24"/>
        <v>LOW</v>
      </c>
    </row>
    <row r="319" ht="29.25" customHeight="1" outlineLevel="1" spans="1:19">
      <c r="B319" s="36">
        <f>'G MTTS'!B317</f>
        <v>0.833344907407407</v>
      </c>
      <c r="C319" s="37" t="str">
        <f>'G MTTS'!J317</f>
        <v>500 Mini Bounty</v>
      </c>
      <c r="D319" s="38" t="str">
        <f>'G MTTS'!M317</f>
        <v>Side Event</v>
      </c>
      <c r="E319" s="39" t="str">
        <f>'G MTTS'!N317</f>
        <v>NLH</v>
      </c>
      <c r="F319" s="40" t="str">
        <f>'G MTTS'!O317</f>
        <v>Progressive KO 1/3</v>
      </c>
      <c r="G319" s="41">
        <f>IF('G MTTS'!Q317=0," ",'G MTTS'!Q317*$A$3)</f>
        <v>500</v>
      </c>
      <c r="H319" s="42">
        <f>IF('G MTTS'!V317=0," ",'G MTTS'!V317*$A$3)</f>
        <v>3</v>
      </c>
      <c r="I319" s="42">
        <f>IF('G MTTS'!W317=0," ",'G MTTS'!W317*$A$3)</f>
        <v>3</v>
      </c>
      <c r="J319" s="42" t="str">
        <f>IF('G MTTS'!Z317=0," ",'G MTTS'!Z317*$A$3)</f>
        <v> </v>
      </c>
      <c r="K319" s="43">
        <f>'G MTTS'!AF317</f>
        <v>40000</v>
      </c>
      <c r="L319" s="43">
        <f>'G MTTS'!X317</f>
        <v>0</v>
      </c>
      <c r="M319" s="43" t="str">
        <f>'G MTTS'!AA317</f>
        <v>REENTRY</v>
      </c>
      <c r="N319" s="44">
        <f>'G MTTS'!AG317</f>
        <v>7</v>
      </c>
      <c r="O319" s="44">
        <f>'G MTTS'!AH317</f>
        <v>7</v>
      </c>
      <c r="P319" s="44">
        <f>'G MTTS'!AI317</f>
        <v>7</v>
      </c>
      <c r="Q319" s="45">
        <f>'G MTTS'!AJ317</f>
        <v>14</v>
      </c>
      <c r="R319" s="46">
        <f t="shared" si="22"/>
        <v>0.904872685185185</v>
      </c>
      <c r="S319" s="47" t="str">
        <f t="shared" si="24"/>
        <v>MICRO</v>
      </c>
    </row>
    <row r="320" ht="29.25" customHeight="1" outlineLevel="1" spans="1:19">
      <c r="B320" s="36">
        <f>'G MTTS'!B318</f>
        <v>0.875011574074074</v>
      </c>
      <c r="C320" s="48" t="str">
        <f>'G MTTS'!J318</f>
        <v>#AS 15K Big Mystery</v>
      </c>
      <c r="D320" s="49" t="str">
        <f>'G MTTS'!M318</f>
        <v>Side Event</v>
      </c>
      <c r="E320" s="50" t="str">
        <f>'G MTTS'!N318</f>
        <v>NLH</v>
      </c>
      <c r="F320" s="51" t="str">
        <f>'G MTTS'!O318</f>
        <v>Mystery Bounty 1/2</v>
      </c>
      <c r="G320" s="52">
        <f>IF('G MTTS'!Q318=0," ",'G MTTS'!Q318*$A$3)</f>
        <v>15000</v>
      </c>
      <c r="H320" s="53">
        <f>IF('G MTTS'!V318=0," ",'G MTTS'!V318*$A$3)</f>
        <v>40</v>
      </c>
      <c r="I320" s="53">
        <f>IF('G MTTS'!W318=0," ",'G MTTS'!W318*$A$3)</f>
        <v>40</v>
      </c>
      <c r="J320" s="53" t="str">
        <f>IF('G MTTS'!Z318=0," ",'G MTTS'!Z318*$A$3)</f>
        <v> </v>
      </c>
      <c r="K320" s="54">
        <f>'G MTTS'!AF318</f>
        <v>80000</v>
      </c>
      <c r="L320" s="54">
        <f>'G MTTS'!X318</f>
        <v>0</v>
      </c>
      <c r="M320" s="54" t="str">
        <f>'G MTTS'!AA318</f>
        <v>REENTRY</v>
      </c>
      <c r="N320" s="55">
        <f>'G MTTS'!AG318</f>
        <v>10</v>
      </c>
      <c r="O320" s="55">
        <f>'G MTTS'!AH318</f>
        <v>8</v>
      </c>
      <c r="P320" s="55">
        <f>'G MTTS'!AI318</f>
        <v>8</v>
      </c>
      <c r="Q320" s="56">
        <f>'G MTTS'!AJ318</f>
        <v>15</v>
      </c>
      <c r="R320" s="46">
        <f t="shared" si="22"/>
        <v>0.986122685185185</v>
      </c>
      <c r="S320" s="47" t="str">
        <f t="shared" si="24"/>
        <v>LOW</v>
      </c>
    </row>
    <row r="321" ht="29.25" customHeight="1" outlineLevel="1" spans="1:19">
      <c r="A321" s="60" t="s">
        <v>519</v>
      </c>
      <c r="B321" s="36">
        <f>'G MTTS'!B319</f>
        <v>0.875011574074074</v>
      </c>
      <c r="C321" s="37" t="str">
        <f>'G MTTS'!J319</f>
        <v>#AS 1.2K Omax</v>
      </c>
      <c r="D321" s="38" t="str">
        <f>'G MTTS'!M319</f>
        <v>Side Event</v>
      </c>
      <c r="E321" s="39" t="str">
        <f>'G MTTS'!N319</f>
        <v>PLO5</v>
      </c>
      <c r="F321" s="40" t="str">
        <f>'G MTTS'!O319</f>
        <v>OFF</v>
      </c>
      <c r="G321" s="41">
        <f>IF('G MTTS'!Q319=0," ",'G MTTS'!Q319*$A$3)</f>
        <v>1200</v>
      </c>
      <c r="H321" s="42">
        <f>IF('G MTTS'!V319=0," ",'G MTTS'!V319*$A$3)</f>
        <v>5</v>
      </c>
      <c r="I321" s="42">
        <f>IF('G MTTS'!W319=0," ",'G MTTS'!W319*$A$3)</f>
        <v>5</v>
      </c>
      <c r="J321" s="42">
        <f>IF('G MTTS'!Z319=0," ",'G MTTS'!Z319*$A$3)</f>
        <v>5</v>
      </c>
      <c r="K321" s="43">
        <f>'G MTTS'!AF319</f>
        <v>40000</v>
      </c>
      <c r="L321" s="43">
        <f>'G MTTS'!X319</f>
        <v>0</v>
      </c>
      <c r="M321" s="43">
        <f>'G MTTS'!AA319</f>
        <v>100000</v>
      </c>
      <c r="N321" s="44">
        <f>'G MTTS'!AG319</f>
        <v>8</v>
      </c>
      <c r="O321" s="44">
        <f>'G MTTS'!AH319</f>
        <v>7</v>
      </c>
      <c r="P321" s="44">
        <f>'G MTTS'!AI319</f>
        <v>7</v>
      </c>
      <c r="Q321" s="45">
        <f>'G MTTS'!AJ319</f>
        <v>12</v>
      </c>
      <c r="R321" s="46">
        <f t="shared" si="22"/>
        <v>0.945150462962963</v>
      </c>
      <c r="S321" s="47" t="str">
        <f t="shared" si="24"/>
        <v>MICRO</v>
      </c>
    </row>
    <row r="322" ht="29.25" customHeight="1" outlineLevel="1" spans="1:19">
      <c r="B322" s="36">
        <f>'G MTTS'!B320</f>
        <v>0.875011574074074</v>
      </c>
      <c r="C322" s="48" t="str">
        <f>'G MTTS'!J320</f>
        <v>800 Omax PKO</v>
      </c>
      <c r="D322" s="49" t="str">
        <f>'G MTTS'!M320</f>
        <v>Side Event</v>
      </c>
      <c r="E322" s="50" t="str">
        <f>'G MTTS'!N320</f>
        <v>PLO4</v>
      </c>
      <c r="F322" s="51" t="str">
        <f>'G MTTS'!O320</f>
        <v>Progressive KO 1/2</v>
      </c>
      <c r="G322" s="52">
        <f>IF('G MTTS'!Q320=0," ",'G MTTS'!Q320*$A$3)</f>
        <v>800</v>
      </c>
      <c r="H322" s="53">
        <f>IF('G MTTS'!V320=0," ",'G MTTS'!V320*$A$3)</f>
        <v>3</v>
      </c>
      <c r="I322" s="53">
        <f>IF('G MTTS'!W320=0," ",'G MTTS'!W320*$A$3)</f>
        <v>3</v>
      </c>
      <c r="J322" s="53" t="str">
        <f>IF('G MTTS'!Z320=0," ",'G MTTS'!Z320*$A$3)</f>
        <v> </v>
      </c>
      <c r="K322" s="54">
        <f>'G MTTS'!AF320</f>
        <v>50000</v>
      </c>
      <c r="L322" s="54">
        <f>'G MTTS'!X320</f>
        <v>0</v>
      </c>
      <c r="M322" s="54" t="str">
        <f>'G MTTS'!AA320</f>
        <v>REENTRY</v>
      </c>
      <c r="N322" s="55">
        <f>'G MTTS'!AG320</f>
        <v>8</v>
      </c>
      <c r="O322" s="55">
        <f>'G MTTS'!AH320</f>
        <v>7</v>
      </c>
      <c r="P322" s="55">
        <f>'G MTTS'!AI320</f>
        <v>7</v>
      </c>
      <c r="Q322" s="56">
        <f>'G MTTS'!AJ320</f>
        <v>15</v>
      </c>
      <c r="R322" s="46">
        <f t="shared" si="22"/>
        <v>0.965289351851852</v>
      </c>
      <c r="S322" s="47" t="str">
        <f t="shared" si="24"/>
        <v>MICRO</v>
      </c>
    </row>
    <row r="323" ht="29.25" customHeight="1" outlineLevel="1" spans="1:19">
      <c r="B323" s="36">
        <f>'G MTTS'!B321</f>
        <v>0.875011574074074</v>
      </c>
      <c r="C323" s="37" t="str">
        <f>'G MTTS'!J321</f>
        <v>#AS 7.5K Plus</v>
      </c>
      <c r="D323" s="38" t="str">
        <f>'G MTTS'!M321</f>
        <v>Side Event</v>
      </c>
      <c r="E323" s="39" t="str">
        <f>'G MTTS'!N321</f>
        <v>NLH</v>
      </c>
      <c r="F323" s="40" t="str">
        <f>'G MTTS'!O321</f>
        <v>OFF</v>
      </c>
      <c r="G323" s="41">
        <f>IF('G MTTS'!Q321=0," ",'G MTTS'!Q321*$A$3)</f>
        <v>7500</v>
      </c>
      <c r="H323" s="42">
        <f>IF('G MTTS'!V321=0," ",'G MTTS'!V321*$A$3)</f>
        <v>5</v>
      </c>
      <c r="I323" s="42">
        <f>IF('G MTTS'!W321=0," ",'G MTTS'!W321*$A$3)</f>
        <v>5</v>
      </c>
      <c r="J323" s="42">
        <f>IF('G MTTS'!Z321=0," ",'G MTTS'!Z321*$A$3)</f>
        <v>5</v>
      </c>
      <c r="K323" s="43">
        <f>'G MTTS'!AF321</f>
        <v>30000</v>
      </c>
      <c r="L323" s="43">
        <f>'G MTTS'!X321</f>
        <v>0</v>
      </c>
      <c r="M323" s="43">
        <f>'G MTTS'!AA321</f>
        <v>120000</v>
      </c>
      <c r="N323" s="44">
        <f>'G MTTS'!AG321</f>
        <v>7</v>
      </c>
      <c r="O323" s="44">
        <f>'G MTTS'!AH321</f>
        <v>6</v>
      </c>
      <c r="P323" s="44">
        <f>'G MTTS'!AI321</f>
        <v>6</v>
      </c>
      <c r="Q323" s="45">
        <f>'G MTTS'!AJ321</f>
        <v>13</v>
      </c>
      <c r="R323" s="46">
        <f t="shared" si="22"/>
        <v>0.941678240740741</v>
      </c>
      <c r="S323" s="47" t="str">
        <f t="shared" si="24"/>
        <v>MICRO</v>
      </c>
    </row>
    <row r="324" ht="29.25" customHeight="1" outlineLevel="1" spans="1:19">
      <c r="A324" s="60" t="s">
        <v>519</v>
      </c>
      <c r="B324" s="36">
        <f>'G MTTS'!B322</f>
        <v>0.888900462962963</v>
      </c>
      <c r="C324" s="48" t="str">
        <f>'G MTTS'!J322</f>
        <v>750 Hyper Plus</v>
      </c>
      <c r="D324" s="49" t="str">
        <f>'G MTTS'!M322</f>
        <v>Side Event</v>
      </c>
      <c r="E324" s="50" t="str">
        <f>'G MTTS'!N322</f>
        <v>NLH</v>
      </c>
      <c r="F324" s="51" t="str">
        <f>'G MTTS'!O322</f>
        <v>OFF</v>
      </c>
      <c r="G324" s="52">
        <f>IF('G MTTS'!Q322=0," ",'G MTTS'!Q322*$A$3)</f>
        <v>750</v>
      </c>
      <c r="H324" s="53">
        <f>IF('G MTTS'!V322=0," ",'G MTTS'!V322*$A$3)</f>
        <v>1</v>
      </c>
      <c r="I324" s="53">
        <f>IF('G MTTS'!W322=0," ",'G MTTS'!W322*$A$3)</f>
        <v>1</v>
      </c>
      <c r="J324" s="53">
        <f>IF('G MTTS'!Z322=0," ",'G MTTS'!Z322*$A$3)</f>
        <v>2</v>
      </c>
      <c r="K324" s="54">
        <f>'G MTTS'!AF322</f>
        <v>50000</v>
      </c>
      <c r="L324" s="54">
        <f>'G MTTS'!X322</f>
        <v>0</v>
      </c>
      <c r="M324" s="54">
        <f>'G MTTS'!AA322</f>
        <v>150000</v>
      </c>
      <c r="N324" s="55">
        <f>'G MTTS'!AG322</f>
        <v>5</v>
      </c>
      <c r="O324" s="55">
        <f>'G MTTS'!AH322</f>
        <v>5</v>
      </c>
      <c r="P324" s="55">
        <f>'G MTTS'!AI322</f>
        <v>5</v>
      </c>
      <c r="Q324" s="56">
        <f>'G MTTS'!AJ322</f>
        <v>15</v>
      </c>
      <c r="R324" s="46">
        <f t="shared" si="22"/>
        <v>0.944456018518519</v>
      </c>
      <c r="S324" s="47" t="str">
        <f t="shared" si="24"/>
        <v>MICRO</v>
      </c>
    </row>
    <row r="325" ht="29.25" customHeight="1" outlineLevel="1" spans="1:19">
      <c r="B325" s="36">
        <f>'G MTTS'!B323</f>
        <v>0.916678240740741</v>
      </c>
      <c r="C325" s="37" t="str">
        <f>'G MTTS'!J323</f>
        <v>#AS 10K Battle PKO</v>
      </c>
      <c r="D325" s="38" t="str">
        <f>'G MTTS'!M323</f>
        <v>Side Event</v>
      </c>
      <c r="E325" s="39" t="str">
        <f>'G MTTS'!N323</f>
        <v>NLH</v>
      </c>
      <c r="F325" s="40" t="str">
        <f>'G MTTS'!O323</f>
        <v>Progressive KO 1/2</v>
      </c>
      <c r="G325" s="41">
        <f>IF('G MTTS'!Q323=0," ",'G MTTS'!Q323*$A$3)</f>
        <v>10000</v>
      </c>
      <c r="H325" s="42">
        <f>IF('G MTTS'!V323=0," ",'G MTTS'!V323*$A$3)</f>
        <v>110</v>
      </c>
      <c r="I325" s="42">
        <f>IF('G MTTS'!W323=0," ",'G MTTS'!W323*$A$3)</f>
        <v>110</v>
      </c>
      <c r="J325" s="42" t="str">
        <f>IF('G MTTS'!Z323=0," ",'G MTTS'!Z323*$A$3)</f>
        <v> </v>
      </c>
      <c r="K325" s="43">
        <f>'G MTTS'!AF323</f>
        <v>50000</v>
      </c>
      <c r="L325" s="43">
        <f>'G MTTS'!X323</f>
        <v>0</v>
      </c>
      <c r="M325" s="43" t="str">
        <f>'G MTTS'!AA323</f>
        <v>REENTRY</v>
      </c>
      <c r="N325" s="44">
        <f>'G MTTS'!AG323</f>
        <v>8</v>
      </c>
      <c r="O325" s="44">
        <f>'G MTTS'!AH323</f>
        <v>8</v>
      </c>
      <c r="P325" s="44">
        <f>'G MTTS'!AI323</f>
        <v>8</v>
      </c>
      <c r="Q325" s="45">
        <f>'G MTTS'!AJ323</f>
        <v>15</v>
      </c>
      <c r="R325" s="46">
        <f t="shared" si="22"/>
        <v>1.00695601851852</v>
      </c>
      <c r="S325" s="47" t="str">
        <f t="shared" si="24"/>
        <v>MEDIUM</v>
      </c>
    </row>
    <row r="326" ht="29.25" customHeight="1" outlineLevel="1" spans="1:19">
      <c r="B326" s="36">
        <f>'G MTTS'!B324</f>
        <v>0.916678240740741</v>
      </c>
      <c r="C326" s="48" t="str">
        <f>'G MTTS'!J324</f>
        <v>#AS 15K Plus+SPS</v>
      </c>
      <c r="D326" s="136" t="str">
        <f>'G MTTS'!M324</f>
        <v>Side Event</v>
      </c>
      <c r="E326" s="137" t="str">
        <f>'G MTTS'!N324</f>
        <v>NLH</v>
      </c>
      <c r="F326" s="138" t="str">
        <f>'G MTTS'!O324</f>
        <v>OFF</v>
      </c>
      <c r="G326" s="139">
        <f>IF('G MTTS'!Q324=0," ",'G MTTS'!Q324*$A$3)</f>
        <v>16000</v>
      </c>
      <c r="H326" s="140">
        <f>IF('G MTTS'!V324=0," ",'G MTTS'!V324*$A$3)</f>
        <v>15</v>
      </c>
      <c r="I326" s="140">
        <f>IF('G MTTS'!W324=0," ",'G MTTS'!W324*$A$3)</f>
        <v>15</v>
      </c>
      <c r="J326" s="140">
        <f>IF('G MTTS'!Z324=0," ",'G MTTS'!Z324*$A$3)</f>
        <v>15</v>
      </c>
      <c r="K326" s="141">
        <f>'G MTTS'!AF324</f>
        <v>40000</v>
      </c>
      <c r="L326" s="141">
        <f>'G MTTS'!X324</f>
        <v>0</v>
      </c>
      <c r="M326" s="141">
        <f>'G MTTS'!AA324</f>
        <v>160000</v>
      </c>
      <c r="N326" s="142">
        <f>'G MTTS'!AG324</f>
        <v>7</v>
      </c>
      <c r="O326" s="142">
        <f>'G MTTS'!AH324</f>
        <v>6</v>
      </c>
      <c r="P326" s="142">
        <f>'G MTTS'!AI324</f>
        <v>6</v>
      </c>
      <c r="Q326" s="143">
        <f>'G MTTS'!AJ324</f>
        <v>13</v>
      </c>
      <c r="R326" s="46">
        <f t="shared" si="22"/>
        <v>0.983344907407407</v>
      </c>
      <c r="S326" s="47" t="str">
        <f t="shared" si="24"/>
        <v>MICRO</v>
      </c>
    </row>
    <row r="327" ht="29.25" customHeight="1" outlineLevel="1" spans="1:19">
      <c r="A327" s="60" t="s">
        <v>519</v>
      </c>
      <c r="B327" s="36">
        <f>'G MTTS'!B325</f>
        <v>0.916678240740741</v>
      </c>
      <c r="C327" s="37" t="str">
        <f>'G MTTS'!J325</f>
        <v>#AS 12K OmaX Turbo</v>
      </c>
      <c r="D327" s="38" t="str">
        <f>'G MTTS'!M325</f>
        <v>Side Event</v>
      </c>
      <c r="E327" s="39" t="str">
        <f>'G MTTS'!N325</f>
        <v>PLO5</v>
      </c>
      <c r="F327" s="40" t="str">
        <f>'G MTTS'!O325</f>
        <v>Progressive KO 1/2</v>
      </c>
      <c r="G327" s="41">
        <f>IF('G MTTS'!Q325=0," ",'G MTTS'!Q325*$A$3)</f>
        <v>12000</v>
      </c>
      <c r="H327" s="42">
        <f>IF('G MTTS'!V325=0," ",'G MTTS'!V325*$A$3)</f>
        <v>55</v>
      </c>
      <c r="I327" s="42">
        <f>IF('G MTTS'!W325=0," ",'G MTTS'!W325*$A$3)</f>
        <v>55</v>
      </c>
      <c r="J327" s="42" t="str">
        <f>IF('G MTTS'!Z325=0," ",'G MTTS'!Z325*$A$3)</f>
        <v> </v>
      </c>
      <c r="K327" s="43">
        <f>'G MTTS'!AF325</f>
        <v>50000</v>
      </c>
      <c r="L327" s="43">
        <f>'G MTTS'!X325</f>
        <v>0</v>
      </c>
      <c r="M327" s="43" t="str">
        <f>'G MTTS'!AA325</f>
        <v>REENTRY</v>
      </c>
      <c r="N327" s="44">
        <f>'G MTTS'!AG325</f>
        <v>7</v>
      </c>
      <c r="O327" s="44">
        <f>'G MTTS'!AH325</f>
        <v>7</v>
      </c>
      <c r="P327" s="44">
        <f>'G MTTS'!AI325</f>
        <v>7</v>
      </c>
      <c r="Q327" s="45">
        <f>'G MTTS'!AJ325</f>
        <v>13</v>
      </c>
      <c r="R327" s="46">
        <f t="shared" si="22"/>
        <v>0.983344907407407</v>
      </c>
      <c r="S327" s="47" t="str">
        <f t="shared" si="24"/>
        <v>LOW</v>
      </c>
    </row>
    <row r="328" ht="29.25" customHeight="1" outlineLevel="1" spans="1:19">
      <c r="B328" s="36">
        <f>'G MTTS'!B326</f>
        <v>0.927094907407407</v>
      </c>
      <c r="C328" s="48" t="str">
        <f>'G MTTS'!J326</f>
        <v>Sit&amp;go 200p max.</v>
      </c>
      <c r="D328" s="136" t="str">
        <f>'G MTTS'!M326</f>
        <v>Side Event</v>
      </c>
      <c r="E328" s="137" t="str">
        <f>'G MTTS'!N326</f>
        <v>NLH</v>
      </c>
      <c r="F328" s="138" t="str">
        <f>'G MTTS'!O326</f>
        <v>OFF</v>
      </c>
      <c r="G328" s="139">
        <f>IF('G MTTS'!Q326=0," ",'G MTTS'!Q326*$A$3)</f>
        <v>300</v>
      </c>
      <c r="H328" s="140">
        <f>IF('G MTTS'!V326=0," ",'G MTTS'!V326*$A$3)</f>
        <v>3</v>
      </c>
      <c r="I328" s="140">
        <f>IF('G MTTS'!W326=0," ",'G MTTS'!W326*$A$3)</f>
        <v>3</v>
      </c>
      <c r="J328" s="140">
        <f>IF('G MTTS'!Z326=0," ",'G MTTS'!Z326*$A$3)</f>
        <v>3</v>
      </c>
      <c r="K328" s="141">
        <f>'G MTTS'!AF326</f>
        <v>20000</v>
      </c>
      <c r="L328" s="141">
        <f>'G MTTS'!X326</f>
        <v>0</v>
      </c>
      <c r="M328" s="141">
        <f>'G MTTS'!AA326</f>
        <v>30000</v>
      </c>
      <c r="N328" s="142">
        <f>'G MTTS'!AG326</f>
        <v>5</v>
      </c>
      <c r="O328" s="142">
        <f>'G MTTS'!AH326</f>
        <v>5</v>
      </c>
      <c r="P328" s="142">
        <f>'G MTTS'!AI326</f>
        <v>5</v>
      </c>
      <c r="Q328" s="143">
        <f>'G MTTS'!AJ326</f>
        <v>15</v>
      </c>
      <c r="R328" s="46">
        <f t="shared" si="22"/>
        <v>0.982650462962963</v>
      </c>
      <c r="S328" s="47" t="str">
        <f t="shared" si="24"/>
        <v>MICRO</v>
      </c>
    </row>
    <row r="329" ht="29.25" customHeight="1" outlineLevel="1" spans="1:19">
      <c r="B329" s="36">
        <f>'G MTTS'!B327</f>
        <v>0.937511574074074</v>
      </c>
      <c r="C329" s="37" t="str">
        <f>'G MTTS'!J327</f>
        <v>#AS 25K OmaX Night</v>
      </c>
      <c r="D329" s="38" t="str">
        <f>'G MTTS'!M327</f>
        <v>Side Event</v>
      </c>
      <c r="E329" s="39" t="str">
        <f>'G MTTS'!N327</f>
        <v>PLO5</v>
      </c>
      <c r="F329" s="40" t="str">
        <f>'G MTTS'!O327</f>
        <v>Progressive KO 1/2</v>
      </c>
      <c r="G329" s="41">
        <f>IF('G MTTS'!Q327=0," ",'G MTTS'!Q327*$A$3)</f>
        <v>25000</v>
      </c>
      <c r="H329" s="42">
        <f>IF('G MTTS'!V327=0," ",'G MTTS'!V327*$A$3)</f>
        <v>250</v>
      </c>
      <c r="I329" s="42">
        <f>IF('G MTTS'!W327=0," ",'G MTTS'!W327*$A$3)</f>
        <v>250</v>
      </c>
      <c r="J329" s="42" t="str">
        <f>IF('G MTTS'!Z327=0," ",'G MTTS'!Z327*$A$3)</f>
        <v> </v>
      </c>
      <c r="K329" s="43">
        <f>'G MTTS'!AF327</f>
        <v>60000</v>
      </c>
      <c r="L329" s="43">
        <f>'G MTTS'!X327</f>
        <v>0</v>
      </c>
      <c r="M329" s="43" t="str">
        <f>'G MTTS'!AA327</f>
        <v>REENTRY</v>
      </c>
      <c r="N329" s="44">
        <f>'G MTTS'!AG327</f>
        <v>8</v>
      </c>
      <c r="O329" s="44">
        <f>'G MTTS'!AH327</f>
        <v>7</v>
      </c>
      <c r="P329" s="44">
        <f>'G MTTS'!AI327</f>
        <v>7</v>
      </c>
      <c r="Q329" s="45">
        <f>'G MTTS'!AJ327</f>
        <v>14</v>
      </c>
      <c r="R329" s="46">
        <f t="shared" si="22"/>
        <v>1.01876157407407</v>
      </c>
      <c r="S329" s="47" t="str">
        <f t="shared" si="24"/>
        <v>MEDIUM</v>
      </c>
    </row>
    <row r="330" ht="29.25" customHeight="1" outlineLevel="1" spans="1:19">
      <c r="A330" s="60" t="s">
        <v>519</v>
      </c>
      <c r="B330" s="36">
        <f>'G MTTS'!B328</f>
        <v>0.958344907407407</v>
      </c>
      <c r="C330" s="152" t="str">
        <f>'G MTTS'!J328</f>
        <v>#AS 1.5K Battle</v>
      </c>
      <c r="D330" s="136" t="str">
        <f>'G MTTS'!M328</f>
        <v>Side Event</v>
      </c>
      <c r="E330" s="137" t="str">
        <f>'G MTTS'!N328</f>
        <v>NLH</v>
      </c>
      <c r="F330" s="138" t="str">
        <f>'G MTTS'!O328</f>
        <v>Regular KO 1/2</v>
      </c>
      <c r="G330" s="139">
        <f>IF('G MTTS'!Q328=0," ",'G MTTS'!Q328*$A$3)</f>
        <v>1500</v>
      </c>
      <c r="H330" s="140">
        <f>IF('G MTTS'!V328=0," ",'G MTTS'!V328*$A$3)</f>
        <v>20</v>
      </c>
      <c r="I330" s="140">
        <f>IF('G MTTS'!W328=0," ",'G MTTS'!W328*$A$3)</f>
        <v>20</v>
      </c>
      <c r="J330" s="140" t="str">
        <f>IF('G MTTS'!Z328=0," ",'G MTTS'!Z328*$A$3)</f>
        <v> </v>
      </c>
      <c r="K330" s="141">
        <f>'G MTTS'!AF328</f>
        <v>30000</v>
      </c>
      <c r="L330" s="141">
        <f>'G MTTS'!X328</f>
        <v>0</v>
      </c>
      <c r="M330" s="141" t="str">
        <f>'G MTTS'!AA328</f>
        <v>REENTRY</v>
      </c>
      <c r="N330" s="142">
        <f>'G MTTS'!AG328</f>
        <v>7</v>
      </c>
      <c r="O330" s="142">
        <f>'G MTTS'!AH328</f>
        <v>6</v>
      </c>
      <c r="P330" s="142">
        <f>'G MTTS'!AI328</f>
        <v>6</v>
      </c>
      <c r="Q330" s="143">
        <f>'G MTTS'!AJ328</f>
        <v>13</v>
      </c>
      <c r="R330" s="46">
        <f t="shared" si="22"/>
        <v>1.02501157407407</v>
      </c>
      <c r="S330" s="47" t="str">
        <f t="shared" si="24"/>
        <v>MICRO</v>
      </c>
    </row>
    <row r="331" ht="29.25" customHeight="1" outlineLevel="1" spans="1:19">
      <c r="B331" s="36">
        <f>'G MTTS'!B329</f>
        <v>0.958344907407407</v>
      </c>
      <c r="C331" s="37" t="str">
        <f>'G MTTS'!J329</f>
        <v>#AS 5K Plus+SPS</v>
      </c>
      <c r="D331" s="38" t="str">
        <f>'G MTTS'!M329</f>
        <v>Side Event</v>
      </c>
      <c r="E331" s="39" t="str">
        <f>'G MTTS'!N329</f>
        <v>NLH</v>
      </c>
      <c r="F331" s="40" t="str">
        <f>'G MTTS'!O329</f>
        <v>OFF</v>
      </c>
      <c r="G331" s="41">
        <f>IF('G MTTS'!Q329=0," ",'G MTTS'!Q329*$A$3)</f>
        <v>5150</v>
      </c>
      <c r="H331" s="42">
        <f>IF('G MTTS'!V329=0," ",'G MTTS'!V329*$A$3)</f>
        <v>4</v>
      </c>
      <c r="I331" s="42">
        <f>IF('G MTTS'!W329=0," ",'G MTTS'!W329*$A$3)</f>
        <v>4</v>
      </c>
      <c r="J331" s="42">
        <f>IF('G MTTS'!Z329=0," ",'G MTTS'!Z329*$A$3)</f>
        <v>4</v>
      </c>
      <c r="K331" s="43">
        <f>'G MTTS'!AF329</f>
        <v>20000</v>
      </c>
      <c r="L331" s="43">
        <f>'G MTTS'!X329</f>
        <v>0</v>
      </c>
      <c r="M331" s="43">
        <f>'G MTTS'!AA329</f>
        <v>60000</v>
      </c>
      <c r="N331" s="44">
        <f>'G MTTS'!AG329</f>
        <v>6</v>
      </c>
      <c r="O331" s="44">
        <f>'G MTTS'!AH329</f>
        <v>5</v>
      </c>
      <c r="P331" s="44">
        <f>'G MTTS'!AI329</f>
        <v>5</v>
      </c>
      <c r="Q331" s="45">
        <f>'G MTTS'!AJ329</f>
        <v>12</v>
      </c>
      <c r="R331" s="46">
        <f t="shared" si="22"/>
        <v>1.01181712962963</v>
      </c>
      <c r="S331" s="47" t="str">
        <f t="shared" si="24"/>
        <v>MICRO</v>
      </c>
    </row>
    <row r="332" ht="29.25" customHeight="1" outlineLevel="1" spans="1:19">
      <c r="B332" s="61">
        <f>'G MTTS'!B330</f>
        <v>0.958344907407407</v>
      </c>
      <c r="C332" s="152" t="str">
        <f>'G MTTS'!J330</f>
        <v>500 Plus</v>
      </c>
      <c r="D332" s="136" t="str">
        <f>'G MTTS'!M330</f>
        <v>Side Event</v>
      </c>
      <c r="E332" s="137" t="str">
        <f>'G MTTS'!N330</f>
        <v>NLH</v>
      </c>
      <c r="F332" s="138" t="str">
        <f>'G MTTS'!O330</f>
        <v>OFF</v>
      </c>
      <c r="G332" s="139">
        <f>IF('G MTTS'!Q330=0," ",'G MTTS'!Q330*$A$3)</f>
        <v>500</v>
      </c>
      <c r="H332" s="140">
        <f>IF('G MTTS'!V330=0," ",'G MTTS'!V330*$A$3)</f>
        <v>1</v>
      </c>
      <c r="I332" s="140">
        <f>IF('G MTTS'!W330=0," ",'G MTTS'!W330*$A$3)</f>
        <v>1</v>
      </c>
      <c r="J332" s="140">
        <f>IF('G MTTS'!Z330=0," ",'G MTTS'!Z330*$A$3)</f>
        <v>1</v>
      </c>
      <c r="K332" s="141">
        <f>'G MTTS'!AF330</f>
        <v>20000</v>
      </c>
      <c r="L332" s="141">
        <f>'G MTTS'!X330</f>
        <v>0</v>
      </c>
      <c r="M332" s="141">
        <f>'G MTTS'!AA330</f>
        <v>50000</v>
      </c>
      <c r="N332" s="142">
        <f>'G MTTS'!AG330</f>
        <v>5</v>
      </c>
      <c r="O332" s="142">
        <f>'G MTTS'!AH330</f>
        <v>5</v>
      </c>
      <c r="P332" s="142">
        <f>'G MTTS'!AI330</f>
        <v>5</v>
      </c>
      <c r="Q332" s="143">
        <f>'G MTTS'!AJ330</f>
        <v>12</v>
      </c>
      <c r="R332" s="46">
        <f t="shared" si="22"/>
        <v>1.0034837962963</v>
      </c>
      <c r="S332" s="47" t="str">
        <f t="shared" si="24"/>
        <v>MICRO</v>
      </c>
    </row>
    <row r="333" ht="29.25" customHeight="1" outlineLevel="1" spans="1:19">
      <c r="A333" s="60" t="s">
        <v>519</v>
      </c>
      <c r="B333" s="36">
        <f>'G MTTS'!B331</f>
        <v>0.958344907407407</v>
      </c>
      <c r="C333" s="37" t="str">
        <f>'G MTTS'!J331</f>
        <v>#AS 8K Bounty Night</v>
      </c>
      <c r="D333" s="38" t="str">
        <f>'G MTTS'!M331</f>
        <v>Side Event</v>
      </c>
      <c r="E333" s="39" t="str">
        <f>'G MTTS'!N331</f>
        <v>NLH</v>
      </c>
      <c r="F333" s="40" t="str">
        <f>'G MTTS'!O331</f>
        <v>Progressive KO 1/2</v>
      </c>
      <c r="G333" s="41">
        <f>IF('G MTTS'!Q331=0," ",'G MTTS'!Q331*$A$3)</f>
        <v>8000</v>
      </c>
      <c r="H333" s="42">
        <f>IF('G MTTS'!V331=0," ",'G MTTS'!V331*$A$3)</f>
        <v>55</v>
      </c>
      <c r="I333" s="42">
        <f>IF('G MTTS'!W331=0," ",'G MTTS'!W331*$A$3)</f>
        <v>55</v>
      </c>
      <c r="J333" s="42" t="str">
        <f>IF('G MTTS'!Z331=0," ",'G MTTS'!Z331*$A$3)</f>
        <v> </v>
      </c>
      <c r="K333" s="43">
        <f>'G MTTS'!AF331</f>
        <v>50000</v>
      </c>
      <c r="L333" s="43">
        <f>'G MTTS'!X331</f>
        <v>0</v>
      </c>
      <c r="M333" s="43" t="str">
        <f>'G MTTS'!AA331</f>
        <v>REENTRY</v>
      </c>
      <c r="N333" s="44">
        <f>'G MTTS'!AG331</f>
        <v>6</v>
      </c>
      <c r="O333" s="44">
        <f>'G MTTS'!AH331</f>
        <v>6</v>
      </c>
      <c r="P333" s="44">
        <f>'G MTTS'!AI331</f>
        <v>6</v>
      </c>
      <c r="Q333" s="45">
        <f>'G MTTS'!AJ331</f>
        <v>13</v>
      </c>
      <c r="R333" s="46">
        <f t="shared" si="22"/>
        <v>1.0159837962963</v>
      </c>
      <c r="S333" s="47" t="str">
        <f t="shared" si="24"/>
        <v>LOW</v>
      </c>
    </row>
    <row r="334" ht="29.25" customHeight="1" outlineLevel="1" spans="1:19">
      <c r="B334" s="36">
        <f>'G MTTS'!B332</f>
        <v>0.965289351851852</v>
      </c>
      <c r="C334" s="152" t="str">
        <f>'G MTTS'!J332</f>
        <v>500 Omax</v>
      </c>
      <c r="D334" s="136" t="str">
        <f>'G MTTS'!M332</f>
        <v>Side Event</v>
      </c>
      <c r="E334" s="137" t="str">
        <f>'G MTTS'!N332</f>
        <v>PLO4</v>
      </c>
      <c r="F334" s="138" t="str">
        <f>'G MTTS'!O332</f>
        <v>OFF</v>
      </c>
      <c r="G334" s="139">
        <f>IF('G MTTS'!Q332=0," ",'G MTTS'!Q332*$A$3)</f>
        <v>500</v>
      </c>
      <c r="H334" s="140">
        <f>IF('G MTTS'!V332=0," ",'G MTTS'!V332*$A$3)</f>
        <v>3</v>
      </c>
      <c r="I334" s="140">
        <f>IF('G MTTS'!W332=0," ",'G MTTS'!W332*$A$3)</f>
        <v>3</v>
      </c>
      <c r="J334" s="140">
        <f>IF('G MTTS'!Z332=0," ",'G MTTS'!Z332*$A$3)</f>
        <v>3</v>
      </c>
      <c r="K334" s="141">
        <f>'G MTTS'!AF332</f>
        <v>40000</v>
      </c>
      <c r="L334" s="141">
        <f>'G MTTS'!X332</f>
        <v>0</v>
      </c>
      <c r="M334" s="141">
        <f>'G MTTS'!AA332</f>
        <v>100000</v>
      </c>
      <c r="N334" s="142">
        <f>'G MTTS'!AG332</f>
        <v>6</v>
      </c>
      <c r="O334" s="142">
        <f>'G MTTS'!AH332</f>
        <v>5</v>
      </c>
      <c r="P334" s="142">
        <f>'G MTTS'!AI332</f>
        <v>5</v>
      </c>
      <c r="Q334" s="143">
        <f>'G MTTS'!AJ332</f>
        <v>12</v>
      </c>
      <c r="R334" s="46">
        <f t="shared" si="22"/>
        <v>1.01876157407407</v>
      </c>
      <c r="S334" s="47" t="str">
        <f t="shared" si="24"/>
        <v>MICRO</v>
      </c>
    </row>
    <row r="335" ht="29.25" customHeight="1" outlineLevel="1" spans="1:19">
      <c r="B335" s="36">
        <f>'G MTTS'!B333</f>
        <v>0.979178240740741</v>
      </c>
      <c r="C335" s="37" t="str">
        <f>'G MTTS'!J333</f>
        <v>#AS 1.2K Mystery</v>
      </c>
      <c r="D335" s="38" t="str">
        <f>'G MTTS'!M333</f>
        <v>Side Event</v>
      </c>
      <c r="E335" s="39" t="str">
        <f>'G MTTS'!N333</f>
        <v>NLH</v>
      </c>
      <c r="F335" s="40" t="str">
        <f>'G MTTS'!O333</f>
        <v>Mystery Bounty 1/3</v>
      </c>
      <c r="G335" s="41">
        <f>IF('G MTTS'!Q333=0," ",'G MTTS'!Q333*$A$3)</f>
        <v>1200</v>
      </c>
      <c r="H335" s="42">
        <f>IF('G MTTS'!V333=0," ",'G MTTS'!V333*$A$3)</f>
        <v>10</v>
      </c>
      <c r="I335" s="42">
        <f>IF('G MTTS'!W333=0," ",'G MTTS'!W333*$A$3)</f>
        <v>10</v>
      </c>
      <c r="J335" s="42" t="str">
        <f>IF('G MTTS'!Z333=0," ",'G MTTS'!Z333*$A$3)</f>
        <v> </v>
      </c>
      <c r="K335" s="43">
        <f>'G MTTS'!AF333</f>
        <v>30000</v>
      </c>
      <c r="L335" s="43">
        <f>'G MTTS'!X333</f>
        <v>0</v>
      </c>
      <c r="M335" s="43" t="str">
        <f>'G MTTS'!AA333</f>
        <v>REENTRY</v>
      </c>
      <c r="N335" s="44">
        <f>'G MTTS'!AG333</f>
        <v>5</v>
      </c>
      <c r="O335" s="44">
        <f>'G MTTS'!AH333</f>
        <v>5</v>
      </c>
      <c r="P335" s="44">
        <f>'G MTTS'!AI333</f>
        <v>5</v>
      </c>
      <c r="Q335" s="45">
        <f>'G MTTS'!AJ333</f>
        <v>13</v>
      </c>
      <c r="R335" s="46">
        <f t="shared" si="22"/>
        <v>1.02778935185185</v>
      </c>
      <c r="S335" s="47" t="str">
        <f t="shared" si="24"/>
        <v>MICRO</v>
      </c>
    </row>
    <row r="336" ht="29.25" customHeight="1" outlineLevel="1" spans="1:19">
      <c r="A336" s="60"/>
      <c r="B336" s="36">
        <f>'G MTTS'!B334</f>
        <v>0.979178240740741</v>
      </c>
      <c r="C336" s="152" t="str">
        <f>'G MTTS'!J334</f>
        <v>#AS 15K Sonic</v>
      </c>
      <c r="D336" s="136" t="str">
        <f>'G MTTS'!M334</f>
        <v>Side Event</v>
      </c>
      <c r="E336" s="137" t="str">
        <f>'G MTTS'!N334</f>
        <v>NLH</v>
      </c>
      <c r="F336" s="138" t="str">
        <f>'G MTTS'!O334</f>
        <v>OFF</v>
      </c>
      <c r="G336" s="139">
        <f>IF('G MTTS'!Q334=0," ",'G MTTS'!Q334*$A$3)</f>
        <v>15000</v>
      </c>
      <c r="H336" s="140">
        <f>IF('G MTTS'!V334=0," ",'G MTTS'!V334*$A$3)</f>
        <v>150</v>
      </c>
      <c r="I336" s="140">
        <f>IF('G MTTS'!W334=0," ",'G MTTS'!W334*$A$3)</f>
        <v>150</v>
      </c>
      <c r="J336" s="140" t="str">
        <f>IF('G MTTS'!Z334=0," ",'G MTTS'!Z334*$A$3)</f>
        <v> </v>
      </c>
      <c r="K336" s="141">
        <f>'G MTTS'!AF334</f>
        <v>50000</v>
      </c>
      <c r="L336" s="141">
        <f>'G MTTS'!X334</f>
        <v>0</v>
      </c>
      <c r="M336" s="141" t="str">
        <f>'G MTTS'!AA334</f>
        <v>REENTRY</v>
      </c>
      <c r="N336" s="142">
        <f>'G MTTS'!AG334</f>
        <v>5</v>
      </c>
      <c r="O336" s="142">
        <f>'G MTTS'!AH334</f>
        <v>5</v>
      </c>
      <c r="P336" s="142">
        <f>'G MTTS'!AI334</f>
        <v>5</v>
      </c>
      <c r="Q336" s="143">
        <f>'G MTTS'!AJ334</f>
        <v>13</v>
      </c>
      <c r="R336" s="46">
        <f t="shared" si="22"/>
        <v>1.02778935185185</v>
      </c>
      <c r="S336" s="47" t="str">
        <f t="shared" si="24"/>
        <v>MEDIUM</v>
      </c>
    </row>
    <row r="337" ht="29.25" customHeight="1" outlineLevel="1" spans="1:19">
      <c r="A337" s="60"/>
      <c r="B337" s="153"/>
      <c r="C337" s="154"/>
      <c r="D337" s="155"/>
      <c r="E337" s="156"/>
      <c r="F337" s="157"/>
      <c r="G337" s="158"/>
      <c r="H337" s="159"/>
      <c r="I337" s="159"/>
      <c r="J337" s="159"/>
      <c r="K337" s="160"/>
      <c r="L337" s="160"/>
      <c r="M337" s="160"/>
      <c r="N337" s="161"/>
      <c r="O337" s="161"/>
      <c r="P337" s="161"/>
      <c r="Q337" s="162"/>
      <c r="R337" s="46"/>
      <c r="S337" s="47" t="str">
        <f t="shared" si="24"/>
        <v> </v>
      </c>
    </row>
    <row r="338" ht="29.25" customHeight="1" outlineLevel="1" spans="1:19">
      <c r="A338" s="96" t="s">
        <v>193</v>
      </c>
      <c r="B338" s="22"/>
      <c r="C338" s="96" t="s">
        <v>514</v>
      </c>
      <c r="Q338" s="22"/>
      <c r="R338" s="46" t="str">
        <f t="shared" ref="R338:R339" si="25">IF(B338=0," ",TIME(,ROUNDDOWN(N338*Q338/60,0)*5+(N338*Q338),)+B338)</f>
        <v> </v>
      </c>
      <c r="S338" s="47" t="str">
        <f t="shared" si="24"/>
        <v> </v>
      </c>
    </row>
    <row r="339" ht="29.25" customHeight="1" outlineLevel="1" spans="1:19">
      <c r="A339" s="97" t="str">
        <f>'G MTTS'!J336</f>
        <v>#AS Reentry</v>
      </c>
      <c r="B339" s="98">
        <f>'G MTTS'!B336</f>
        <v>0.416678240740741</v>
      </c>
      <c r="C339" s="99" t="str">
        <f>'G MTTS'!L336</f>
        <v>4 Seats Reentry</v>
      </c>
      <c r="D339" s="120" t="str">
        <f>'G MTTS'!M336</f>
        <v>SAT</v>
      </c>
      <c r="E339" s="101" t="str">
        <f>'G MTTS'!N336</f>
        <v>NLH</v>
      </c>
      <c r="F339" s="102" t="str">
        <f>'G MTTS'!O336</f>
        <v>OFF</v>
      </c>
      <c r="G339" s="103">
        <f>IF('G MTTS'!Q336=0," ",'G MTTS'!Q336*$A$3)</f>
        <v>300</v>
      </c>
      <c r="H339" s="104">
        <f>IF('G MTTS'!V336=0," ",'G MTTS'!V336*$A$3)</f>
        <v>4</v>
      </c>
      <c r="I339" s="104">
        <f>IF('G MTTS'!W336=0," ",'G MTTS'!W336*$A$3)</f>
        <v>4</v>
      </c>
      <c r="J339" s="104">
        <f>IF('G MTTS'!Z336=0," ",'G MTTS'!Z336*$A$3)</f>
        <v>4</v>
      </c>
      <c r="K339" s="105">
        <f>'G MTTS'!AF336</f>
        <v>10000</v>
      </c>
      <c r="L339" s="105">
        <f>'G MTTS'!X336</f>
        <v>0</v>
      </c>
      <c r="M339" s="105">
        <f>'G MTTS'!AA336</f>
        <v>20000</v>
      </c>
      <c r="N339" s="106">
        <f>'G MTTS'!AG336</f>
        <v>4</v>
      </c>
      <c r="O339" s="106">
        <f>'G MTTS'!AH336</f>
        <v>4</v>
      </c>
      <c r="P339" s="106">
        <f>'G MTTS'!AI336</f>
        <v>4</v>
      </c>
      <c r="Q339" s="107">
        <f>'G MTTS'!AJ336</f>
        <v>9</v>
      </c>
      <c r="R339" s="46">
        <f t="shared" si="25"/>
        <v>0.441678240740741</v>
      </c>
      <c r="S339" s="47" t="str">
        <f t="shared" si="24"/>
        <v>MICRO</v>
      </c>
    </row>
    <row r="340" ht="29.25" customHeight="1" outlineLevel="1" spans="1:19">
      <c r="A340" s="135"/>
      <c r="B340" s="109"/>
      <c r="C340" s="110"/>
      <c r="D340" s="111"/>
      <c r="E340" s="112"/>
      <c r="F340" s="113"/>
      <c r="G340" s="114"/>
      <c r="H340" s="115"/>
      <c r="I340" s="115"/>
      <c r="J340" s="115"/>
      <c r="K340" s="116"/>
      <c r="L340" s="116"/>
      <c r="M340" s="116"/>
      <c r="N340" s="117"/>
      <c r="O340" s="117"/>
      <c r="P340" s="117"/>
      <c r="Q340" s="118"/>
      <c r="R340" s="46"/>
      <c r="S340" s="47"/>
    </row>
    <row r="341" ht="29.25" customHeight="1" outlineLevel="1" spans="1:19">
      <c r="A341" s="119" t="str">
        <f>'G MTTS'!J338</f>
        <v>#AS OmaX PKO</v>
      </c>
      <c r="B341" s="98">
        <f>'G MTTS'!B338</f>
        <v>0.437511574074074</v>
      </c>
      <c r="C341" s="99" t="str">
        <f>'G MTTS'!L338</f>
        <v>5 Seats OmaX PKO</v>
      </c>
      <c r="D341" s="120" t="str">
        <f>'G MTTS'!M338</f>
        <v>SAT</v>
      </c>
      <c r="E341" s="101" t="str">
        <f>'G MTTS'!N338</f>
        <v>PLO5</v>
      </c>
      <c r="F341" s="102" t="str">
        <f>'G MTTS'!O338</f>
        <v>OFF</v>
      </c>
      <c r="G341" s="103">
        <f>IF('G MTTS'!Q338=0," ",'G MTTS'!Q338*$A$3)</f>
        <v>300</v>
      </c>
      <c r="H341" s="104">
        <f>IF('G MTTS'!V338=0," ",'G MTTS'!V338*$A$3)</f>
        <v>3</v>
      </c>
      <c r="I341" s="104">
        <f>IF('G MTTS'!W338=0," ",'G MTTS'!W338*$A$3)</f>
        <v>3</v>
      </c>
      <c r="J341" s="104">
        <f>IF('G MTTS'!Z338=0," ",'G MTTS'!Z338*$A$3)</f>
        <v>4</v>
      </c>
      <c r="K341" s="105">
        <f>'G MTTS'!AF338</f>
        <v>10000</v>
      </c>
      <c r="L341" s="105">
        <f>'G MTTS'!X338</f>
        <v>0</v>
      </c>
      <c r="M341" s="105">
        <f>'G MTTS'!AA338</f>
        <v>20000</v>
      </c>
      <c r="N341" s="106">
        <f>'G MTTS'!AG338</f>
        <v>4</v>
      </c>
      <c r="O341" s="106">
        <f>'G MTTS'!AH338</f>
        <v>4</v>
      </c>
      <c r="P341" s="106">
        <f>'G MTTS'!AI338</f>
        <v>4</v>
      </c>
      <c r="Q341" s="107">
        <f>'G MTTS'!AJ338</f>
        <v>9</v>
      </c>
      <c r="R341" s="46">
        <f t="shared" ref="R341:R350" si="26">IF(B341=0," ",TIME(,ROUNDDOWN(N341*Q341/60,0)*5+(N341*Q341),)+B341)</f>
        <v>0.462511574074074</v>
      </c>
      <c r="S341" s="47" t="str">
        <f t="shared" ref="S341:S350" si="27">IFERROR(IF(H341=0," ",IF(H341&lt;=25,"MICRO",IF(H341&lt;=99,"LOW",IF(H341&lt;=499,"MEDIUM",IF(H341&lt;=2500,"HIGH",IF(H341&gt;2500,"SUPER HIGH",)))))),"")</f>
        <v>MICRO</v>
      </c>
    </row>
    <row r="342" ht="29.25" customHeight="1" outlineLevel="1" spans="1:19">
      <c r="A342" s="135"/>
      <c r="B342" s="109"/>
      <c r="C342" s="110"/>
      <c r="D342" s="111"/>
      <c r="E342" s="112"/>
      <c r="F342" s="113"/>
      <c r="G342" s="114"/>
      <c r="H342" s="115"/>
      <c r="I342" s="115"/>
      <c r="J342" s="115"/>
      <c r="K342" s="116"/>
      <c r="L342" s="116"/>
      <c r="M342" s="116"/>
      <c r="N342" s="117"/>
      <c r="O342" s="117"/>
      <c r="P342" s="117"/>
      <c r="Q342" s="118"/>
      <c r="R342" s="46" t="str">
        <f t="shared" si="26"/>
        <v> </v>
      </c>
      <c r="S342" s="47" t="str">
        <f t="shared" si="27"/>
        <v> </v>
      </c>
    </row>
    <row r="343" ht="29.25" customHeight="1" outlineLevel="1" spans="1:19">
      <c r="A343" s="121" t="str">
        <f>'G MTTS'!J340</f>
        <v>#AS WarmUp+SPS</v>
      </c>
      <c r="B343" s="122">
        <f>'G MTTS'!B340</f>
        <v>0.437511574074074</v>
      </c>
      <c r="C343" s="123" t="str">
        <f>'G MTTS'!L340</f>
        <v>5 Seats WarmUp</v>
      </c>
      <c r="D343" s="120" t="str">
        <f>'G MTTS'!M340</f>
        <v>SAT</v>
      </c>
      <c r="E343" s="101" t="str">
        <f>'G MTTS'!N340</f>
        <v>NLH</v>
      </c>
      <c r="F343" s="102" t="str">
        <f>'G MTTS'!O340</f>
        <v>OFF</v>
      </c>
      <c r="G343" s="103">
        <f>IF('G MTTS'!Q340=0," ",'G MTTS'!Q340*$A$3)</f>
        <v>750</v>
      </c>
      <c r="H343" s="104">
        <f>IF('G MTTS'!V340=0," ",'G MTTS'!V340*$A$3)</f>
        <v>8</v>
      </c>
      <c r="I343" s="104">
        <f>IF('G MTTS'!W340=0," ",'G MTTS'!W340*$A$3)</f>
        <v>8</v>
      </c>
      <c r="J343" s="104">
        <f>IF('G MTTS'!Z340=0," ",'G MTTS'!Z340*$A$3)</f>
        <v>10</v>
      </c>
      <c r="K343" s="105">
        <f>'G MTTS'!AF340</f>
        <v>10000</v>
      </c>
      <c r="L343" s="105">
        <f>'G MTTS'!X340</f>
        <v>0</v>
      </c>
      <c r="M343" s="105">
        <f>'G MTTS'!AA340</f>
        <v>20000</v>
      </c>
      <c r="N343" s="106">
        <f>'G MTTS'!AG340</f>
        <v>5</v>
      </c>
      <c r="O343" s="106">
        <f>'G MTTS'!AH340</f>
        <v>5</v>
      </c>
      <c r="P343" s="106">
        <f>'G MTTS'!AI340</f>
        <v>4</v>
      </c>
      <c r="Q343" s="107">
        <f>'G MTTS'!AJ340</f>
        <v>9</v>
      </c>
      <c r="R343" s="46">
        <f t="shared" si="26"/>
        <v>0.468761574074074</v>
      </c>
      <c r="S343" s="47" t="str">
        <f t="shared" si="27"/>
        <v>MICRO</v>
      </c>
    </row>
    <row r="344" ht="29.25" customHeight="1" outlineLevel="1" spans="1:19">
      <c r="A344" s="124"/>
      <c r="B344" s="125">
        <f>'G MTTS'!B341</f>
        <v>0.479178240740741</v>
      </c>
      <c r="C344" s="126" t="str">
        <f>'G MTTS'!L341</f>
        <v>5 Seats WarmUp</v>
      </c>
      <c r="D344" s="120" t="str">
        <f>'G MTTS'!M341</f>
        <v>SAT</v>
      </c>
      <c r="E344" s="101" t="str">
        <f>'G MTTS'!N341</f>
        <v>NLH</v>
      </c>
      <c r="F344" s="102" t="str">
        <f>'G MTTS'!O341</f>
        <v>OFF</v>
      </c>
      <c r="G344" s="103">
        <f>IF('G MTTS'!Q341=0," ",'G MTTS'!Q341*$A$3)</f>
        <v>750</v>
      </c>
      <c r="H344" s="104">
        <f>IF('G MTTS'!V341=0," ",'G MTTS'!V341*$A$3)</f>
        <v>8</v>
      </c>
      <c r="I344" s="104">
        <f>IF('G MTTS'!W341=0," ",'G MTTS'!W341*$A$3)</f>
        <v>8</v>
      </c>
      <c r="J344" s="104">
        <f>IF('G MTTS'!Z341=0," ",'G MTTS'!Z341*$A$3)</f>
        <v>10</v>
      </c>
      <c r="K344" s="105">
        <f>'G MTTS'!AF341</f>
        <v>10000</v>
      </c>
      <c r="L344" s="105">
        <f>'G MTTS'!X341</f>
        <v>0</v>
      </c>
      <c r="M344" s="105">
        <f>'G MTTS'!AA341</f>
        <v>20000</v>
      </c>
      <c r="N344" s="106">
        <f>'G MTTS'!AG341</f>
        <v>4</v>
      </c>
      <c r="O344" s="106">
        <f>'G MTTS'!AH341</f>
        <v>4</v>
      </c>
      <c r="P344" s="106">
        <f>'G MTTS'!AI341</f>
        <v>4</v>
      </c>
      <c r="Q344" s="107">
        <f>'G MTTS'!AJ341</f>
        <v>9</v>
      </c>
      <c r="R344" s="46">
        <f t="shared" si="26"/>
        <v>0.504178240740741</v>
      </c>
      <c r="S344" s="47" t="str">
        <f t="shared" si="27"/>
        <v>MICRO</v>
      </c>
    </row>
    <row r="345" ht="29.25" customHeight="1" outlineLevel="1" spans="1:19">
      <c r="A345" s="135"/>
      <c r="B345" s="109"/>
      <c r="C345" s="110"/>
      <c r="D345" s="111"/>
      <c r="E345" s="112"/>
      <c r="F345" s="113"/>
      <c r="G345" s="114"/>
      <c r="H345" s="115"/>
      <c r="I345" s="115"/>
      <c r="J345" s="115"/>
      <c r="K345" s="116"/>
      <c r="L345" s="116"/>
      <c r="M345" s="116"/>
      <c r="N345" s="117"/>
      <c r="O345" s="117"/>
      <c r="P345" s="117"/>
      <c r="Q345" s="118"/>
      <c r="R345" s="46" t="str">
        <f t="shared" si="26"/>
        <v> </v>
      </c>
      <c r="S345" s="47" t="str">
        <f t="shared" si="27"/>
        <v> </v>
      </c>
    </row>
    <row r="346" ht="29.25" customHeight="1" outlineLevel="1" spans="1:19">
      <c r="A346" s="121" t="str">
        <f>'G MTTS'!J343</f>
        <v>#AS Battle HR+SPT</v>
      </c>
      <c r="B346" s="122">
        <f>'G MTTS'!B343</f>
        <v>0.520844907407407</v>
      </c>
      <c r="C346" s="123" t="str">
        <f>'G MTTS'!L343</f>
        <v>4 Seats Battle HR</v>
      </c>
      <c r="D346" s="120" t="str">
        <f>'G MTTS'!M343</f>
        <v>SAT</v>
      </c>
      <c r="E346" s="101" t="str">
        <f>'G MTTS'!N343</f>
        <v>NLH</v>
      </c>
      <c r="F346" s="102" t="str">
        <f>'G MTTS'!O343</f>
        <v>OFF</v>
      </c>
      <c r="G346" s="103">
        <f>IF('G MTTS'!Q343=0," ",'G MTTS'!Q343*$A$3)</f>
        <v>2200</v>
      </c>
      <c r="H346" s="104">
        <f>IF('G MTTS'!V343=0," ",'G MTTS'!V343*$A$3)</f>
        <v>25</v>
      </c>
      <c r="I346" s="104">
        <f>IF('G MTTS'!W343=0," ",'G MTTS'!W343*$A$3)</f>
        <v>25</v>
      </c>
      <c r="J346" s="104">
        <f>IF('G MTTS'!Z343=0," ",'G MTTS'!Z343*$A$3)</f>
        <v>30</v>
      </c>
      <c r="K346" s="105">
        <f>'G MTTS'!AF343</f>
        <v>10000</v>
      </c>
      <c r="L346" s="105">
        <f>'G MTTS'!X343</f>
        <v>0</v>
      </c>
      <c r="M346" s="105">
        <f>'G MTTS'!AA343</f>
        <v>20000</v>
      </c>
      <c r="N346" s="106">
        <f>'G MTTS'!AG343</f>
        <v>5</v>
      </c>
      <c r="O346" s="106">
        <f>'G MTTS'!AH343</f>
        <v>5</v>
      </c>
      <c r="P346" s="106">
        <f>'G MTTS'!AI343</f>
        <v>4</v>
      </c>
      <c r="Q346" s="107">
        <f>'G MTTS'!AJ343</f>
        <v>9</v>
      </c>
      <c r="R346" s="46">
        <f t="shared" si="26"/>
        <v>0.552094907407407</v>
      </c>
      <c r="S346" s="47" t="str">
        <f t="shared" si="27"/>
        <v>MICRO</v>
      </c>
    </row>
    <row r="347" ht="29.25" customHeight="1" outlineLevel="1" spans="1:19">
      <c r="A347" s="29"/>
      <c r="B347" s="128">
        <f>'G MTTS'!B344</f>
        <v>0.583344907407407</v>
      </c>
      <c r="C347" s="129" t="str">
        <f>'G MTTS'!L344</f>
        <v>6 Seats Battle HR</v>
      </c>
      <c r="D347" s="120" t="str">
        <f>'G MTTS'!M344</f>
        <v>SAT</v>
      </c>
      <c r="E347" s="101" t="str">
        <f>'G MTTS'!N344</f>
        <v>NLH</v>
      </c>
      <c r="F347" s="102" t="str">
        <f>'G MTTS'!O344</f>
        <v>OFF</v>
      </c>
      <c r="G347" s="103">
        <f>IF('G MTTS'!Q344=0," ",'G MTTS'!Q344*$A$3)</f>
        <v>3300</v>
      </c>
      <c r="H347" s="104">
        <f>IF('G MTTS'!V344=0," ",'G MTTS'!V344*$A$3)</f>
        <v>25</v>
      </c>
      <c r="I347" s="104">
        <f>IF('G MTTS'!W344=0," ",'G MTTS'!W344*$A$3)</f>
        <v>25</v>
      </c>
      <c r="J347" s="104">
        <f>IF('G MTTS'!Z344=0," ",'G MTTS'!Z344*$A$3)</f>
        <v>30</v>
      </c>
      <c r="K347" s="105">
        <f>'G MTTS'!AF344</f>
        <v>10000</v>
      </c>
      <c r="L347" s="105">
        <f>'G MTTS'!X344</f>
        <v>0</v>
      </c>
      <c r="M347" s="105">
        <f>'G MTTS'!AA344</f>
        <v>20000</v>
      </c>
      <c r="N347" s="106">
        <f>'G MTTS'!AG344</f>
        <v>5</v>
      </c>
      <c r="O347" s="106">
        <f>'G MTTS'!AH344</f>
        <v>5</v>
      </c>
      <c r="P347" s="106">
        <f>'G MTTS'!AI344</f>
        <v>4</v>
      </c>
      <c r="Q347" s="107">
        <f>'G MTTS'!AJ344</f>
        <v>9</v>
      </c>
      <c r="R347" s="46">
        <f t="shared" si="26"/>
        <v>0.614594907407407</v>
      </c>
      <c r="S347" s="47" t="str">
        <f t="shared" si="27"/>
        <v>MICRO</v>
      </c>
    </row>
    <row r="348" ht="29.25" customHeight="1" outlineLevel="1" spans="1:19">
      <c r="A348" s="29"/>
      <c r="B348" s="128">
        <f>'G MTTS'!B345</f>
        <v>0.625011574074074</v>
      </c>
      <c r="C348" s="129" t="str">
        <f>'G MTTS'!L345</f>
        <v>7 Seats Battle HR</v>
      </c>
      <c r="D348" s="120" t="str">
        <f>'G MTTS'!M345</f>
        <v>SAT</v>
      </c>
      <c r="E348" s="101" t="str">
        <f>'G MTTS'!N345</f>
        <v>NLH</v>
      </c>
      <c r="F348" s="102" t="str">
        <f>'G MTTS'!O345</f>
        <v>OFF</v>
      </c>
      <c r="G348" s="103">
        <f>IF('G MTTS'!Q345=0," ",'G MTTS'!Q345*$A$3)</f>
        <v>3850</v>
      </c>
      <c r="H348" s="104">
        <f>IF('G MTTS'!V345=0," ",'G MTTS'!V345*$A$3)</f>
        <v>30</v>
      </c>
      <c r="I348" s="104">
        <f>IF('G MTTS'!W345=0," ",'G MTTS'!W345*$A$3)</f>
        <v>30</v>
      </c>
      <c r="J348" s="104">
        <f>IF('G MTTS'!Z345=0," ",'G MTTS'!Z345*$A$3)</f>
        <v>30</v>
      </c>
      <c r="K348" s="105">
        <f>'G MTTS'!AF345</f>
        <v>10000</v>
      </c>
      <c r="L348" s="105">
        <f>'G MTTS'!X345</f>
        <v>0</v>
      </c>
      <c r="M348" s="105">
        <f>'G MTTS'!AA345</f>
        <v>20000</v>
      </c>
      <c r="N348" s="106">
        <f>'G MTTS'!AG345</f>
        <v>4</v>
      </c>
      <c r="O348" s="106">
        <f>'G MTTS'!AH345</f>
        <v>4</v>
      </c>
      <c r="P348" s="106">
        <f>'G MTTS'!AI345</f>
        <v>4</v>
      </c>
      <c r="Q348" s="107">
        <f>'G MTTS'!AJ345</f>
        <v>9</v>
      </c>
      <c r="R348" s="46">
        <f t="shared" si="26"/>
        <v>0.650011574074074</v>
      </c>
      <c r="S348" s="47" t="str">
        <f t="shared" si="27"/>
        <v>LOW</v>
      </c>
    </row>
    <row r="349" ht="29.25" customHeight="1" outlineLevel="1" spans="1:19">
      <c r="A349" s="29"/>
      <c r="B349" s="128">
        <f>'G MTTS'!B346</f>
        <v>0.666678240740741</v>
      </c>
      <c r="C349" s="129" t="str">
        <f>'G MTTS'!L346</f>
        <v>8 Seats Battle HR</v>
      </c>
      <c r="D349" s="120" t="str">
        <f>'G MTTS'!M346</f>
        <v>SAT</v>
      </c>
      <c r="E349" s="101" t="str">
        <f>'G MTTS'!N346</f>
        <v>NLH</v>
      </c>
      <c r="F349" s="102" t="str">
        <f>'G MTTS'!O346</f>
        <v>OFF</v>
      </c>
      <c r="G349" s="103">
        <f>IF('G MTTS'!Q346=0," ",'G MTTS'!Q346*$A$3)</f>
        <v>4400</v>
      </c>
      <c r="H349" s="104">
        <f>IF('G MTTS'!V346=0," ",'G MTTS'!V346*$A$3)</f>
        <v>30</v>
      </c>
      <c r="I349" s="104">
        <f>IF('G MTTS'!W346=0," ",'G MTTS'!W346*$A$3)</f>
        <v>30</v>
      </c>
      <c r="J349" s="104">
        <f>IF('G MTTS'!Z346=0," ",'G MTTS'!Z346*$A$3)</f>
        <v>30</v>
      </c>
      <c r="K349" s="105">
        <f>'G MTTS'!AF346</f>
        <v>10000</v>
      </c>
      <c r="L349" s="105">
        <f>'G MTTS'!X346</f>
        <v>0</v>
      </c>
      <c r="M349" s="105">
        <f>'G MTTS'!AA346</f>
        <v>20000</v>
      </c>
      <c r="N349" s="106">
        <f>'G MTTS'!AG346</f>
        <v>4</v>
      </c>
      <c r="O349" s="106">
        <f>'G MTTS'!AH346</f>
        <v>4</v>
      </c>
      <c r="P349" s="106">
        <f>'G MTTS'!AI346</f>
        <v>4</v>
      </c>
      <c r="Q349" s="107">
        <f>'G MTTS'!AJ346</f>
        <v>9</v>
      </c>
      <c r="R349" s="46">
        <f t="shared" si="26"/>
        <v>0.691678240740741</v>
      </c>
      <c r="S349" s="47" t="str">
        <f t="shared" si="27"/>
        <v>LOW</v>
      </c>
    </row>
    <row r="350" ht="29.25" customHeight="1" outlineLevel="1" spans="1:19">
      <c r="A350" s="124"/>
      <c r="B350" s="125">
        <f>'G MTTS'!B347</f>
        <v>0.729178240740741</v>
      </c>
      <c r="C350" s="126" t="str">
        <f>'G MTTS'!L347</f>
        <v>15 Seats Battle HR</v>
      </c>
      <c r="D350" s="120" t="str">
        <f>'G MTTS'!M347</f>
        <v>SAT</v>
      </c>
      <c r="E350" s="101" t="str">
        <f>'G MTTS'!N347</f>
        <v>NLH</v>
      </c>
      <c r="F350" s="102" t="str">
        <f>'G MTTS'!O347</f>
        <v>OFF</v>
      </c>
      <c r="G350" s="103">
        <f>IF('G MTTS'!Q347=0," ",'G MTTS'!Q347*$A$3)</f>
        <v>8250</v>
      </c>
      <c r="H350" s="104">
        <f>IF('G MTTS'!V347=0," ",'G MTTS'!V347*$A$3)</f>
        <v>30</v>
      </c>
      <c r="I350" s="104">
        <f>IF('G MTTS'!W347=0," ",'G MTTS'!W347*$A$3)</f>
        <v>30</v>
      </c>
      <c r="J350" s="104">
        <f>IF('G MTTS'!Z347=0," ",'G MTTS'!Z347*$A$3)</f>
        <v>40</v>
      </c>
      <c r="K350" s="105">
        <f>'G MTTS'!AF347</f>
        <v>10000</v>
      </c>
      <c r="L350" s="105">
        <f>'G MTTS'!X347</f>
        <v>0</v>
      </c>
      <c r="M350" s="105">
        <f>'G MTTS'!AA347</f>
        <v>20000</v>
      </c>
      <c r="N350" s="106">
        <f>'G MTTS'!AG347</f>
        <v>4</v>
      </c>
      <c r="O350" s="106">
        <f>'G MTTS'!AH347</f>
        <v>4</v>
      </c>
      <c r="P350" s="106">
        <f>'G MTTS'!AI347</f>
        <v>4</v>
      </c>
      <c r="Q350" s="107">
        <f>'G MTTS'!AJ347</f>
        <v>9</v>
      </c>
      <c r="R350" s="46">
        <f t="shared" si="26"/>
        <v>0.754178240740741</v>
      </c>
      <c r="S350" s="47" t="str">
        <f t="shared" si="27"/>
        <v>LOW</v>
      </c>
    </row>
    <row r="351" ht="29.25" customHeight="1" outlineLevel="1" spans="1:19">
      <c r="A351" s="135"/>
      <c r="B351" s="109"/>
      <c r="C351" s="110"/>
      <c r="D351" s="111"/>
      <c r="E351" s="112"/>
      <c r="F351" s="113"/>
      <c r="G351" s="114"/>
      <c r="H351" s="115"/>
      <c r="I351" s="115"/>
      <c r="J351" s="115"/>
      <c r="K351" s="116"/>
      <c r="L351" s="116"/>
      <c r="M351" s="116"/>
      <c r="N351" s="117"/>
      <c r="O351" s="117"/>
      <c r="P351" s="117"/>
      <c r="Q351" s="118"/>
      <c r="R351" s="46"/>
      <c r="S351" s="47"/>
    </row>
    <row r="352" ht="29.25" customHeight="1" outlineLevel="1" spans="1:19">
      <c r="A352" s="119" t="str">
        <f>'G MTTS'!J349</f>
        <v>#AS OmaX PKO</v>
      </c>
      <c r="B352" s="98">
        <f>'G MTTS'!B349</f>
        <v>0.562511574074074</v>
      </c>
      <c r="C352" s="99" t="str">
        <f>'G MTTS'!L349</f>
        <v>4 Seats OmaX PKO</v>
      </c>
      <c r="D352" s="120" t="str">
        <f>'G MTTS'!M349</f>
        <v>SAT</v>
      </c>
      <c r="E352" s="101" t="str">
        <f>'G MTTS'!N349</f>
        <v>PLO5</v>
      </c>
      <c r="F352" s="102" t="str">
        <f>'G MTTS'!O349</f>
        <v>OFF</v>
      </c>
      <c r="G352" s="103">
        <f>IF('G MTTS'!Q349=0," ",'G MTTS'!Q349*$A$3)</f>
        <v>600</v>
      </c>
      <c r="H352" s="104">
        <f>IF('G MTTS'!V349=0," ",'G MTTS'!V349*$A$3)</f>
        <v>9</v>
      </c>
      <c r="I352" s="104">
        <f>IF('G MTTS'!W349=0," ",'G MTTS'!W349*$A$3)</f>
        <v>9</v>
      </c>
      <c r="J352" s="104">
        <f>IF('G MTTS'!Z349=0," ",'G MTTS'!Z349*$A$3)</f>
        <v>9</v>
      </c>
      <c r="K352" s="105">
        <f>'G MTTS'!AF349</f>
        <v>10000</v>
      </c>
      <c r="L352" s="105">
        <f>'G MTTS'!X349</f>
        <v>0</v>
      </c>
      <c r="M352" s="105">
        <f>'G MTTS'!AA349</f>
        <v>20000</v>
      </c>
      <c r="N352" s="106">
        <f>'G MTTS'!AG349</f>
        <v>4</v>
      </c>
      <c r="O352" s="106">
        <f>'G MTTS'!AH349</f>
        <v>4</v>
      </c>
      <c r="P352" s="106">
        <f>'G MTTS'!AI349</f>
        <v>4</v>
      </c>
      <c r="Q352" s="107">
        <f>'G MTTS'!AJ349</f>
        <v>9</v>
      </c>
      <c r="R352" s="46">
        <f>IF(B352=0," ",TIME(,ROUNDDOWN(N352*Q352/60,0)*5+(N352*Q352),)+B352)</f>
        <v>0.587511574074074</v>
      </c>
      <c r="S352" s="47" t="str">
        <f>IFERROR(IF(H352=0," ",IF(H352&lt;=25,"MICRO",IF(H352&lt;=99,"LOW",IF(H352&lt;=499,"MEDIUM",IF(H352&lt;=2500,"HIGH",IF(H352&gt;2500,"SUPER HIGH",)))))),"")</f>
        <v>MICRO</v>
      </c>
    </row>
    <row r="353" ht="29.25" customHeight="1" outlineLevel="1" spans="1:19">
      <c r="A353" s="135"/>
      <c r="B353" s="109"/>
      <c r="C353" s="110"/>
      <c r="D353" s="111"/>
      <c r="E353" s="112"/>
      <c r="F353" s="113"/>
      <c r="G353" s="114"/>
      <c r="H353" s="115"/>
      <c r="I353" s="115"/>
      <c r="J353" s="115"/>
      <c r="K353" s="116"/>
      <c r="L353" s="116"/>
      <c r="M353" s="116"/>
      <c r="N353" s="117"/>
      <c r="O353" s="117"/>
      <c r="P353" s="117"/>
      <c r="Q353" s="118"/>
      <c r="R353" s="46"/>
      <c r="S353" s="47"/>
    </row>
    <row r="354" ht="29.25" customHeight="1" outlineLevel="1" spans="1:19">
      <c r="A354" s="119" t="str">
        <f>'G MTTS'!J351</f>
        <v>#AS Battle+SPS</v>
      </c>
      <c r="B354" s="98">
        <f>'G MTTS'!B351</f>
        <v>0.604178240740741</v>
      </c>
      <c r="C354" s="99" t="str">
        <f>'G MTTS'!L351</f>
        <v>6 Seats Battle</v>
      </c>
      <c r="D354" s="120" t="str">
        <f>'G MTTS'!M351</f>
        <v>SAT</v>
      </c>
      <c r="E354" s="101" t="str">
        <f>'G MTTS'!N351</f>
        <v>NLH</v>
      </c>
      <c r="F354" s="102" t="str">
        <f>'G MTTS'!O351</f>
        <v>OFF</v>
      </c>
      <c r="G354" s="103">
        <f>IF('G MTTS'!Q351=0," ",'G MTTS'!Q351*$A$3)</f>
        <v>330</v>
      </c>
      <c r="H354" s="104">
        <f>IF('G MTTS'!V351=0," ",'G MTTS'!V351*$A$3)</f>
        <v>3</v>
      </c>
      <c r="I354" s="104">
        <f>IF('G MTTS'!W351=0," ",'G MTTS'!W351*$A$3)</f>
        <v>3</v>
      </c>
      <c r="J354" s="104">
        <f>IF('G MTTS'!Z351=0," ",'G MTTS'!Z351*$A$3)</f>
        <v>3</v>
      </c>
      <c r="K354" s="105">
        <f>'G MTTS'!AF351</f>
        <v>10000</v>
      </c>
      <c r="L354" s="105">
        <f>'G MTTS'!X351</f>
        <v>0</v>
      </c>
      <c r="M354" s="105">
        <f>'G MTTS'!AA351</f>
        <v>20000</v>
      </c>
      <c r="N354" s="106">
        <f>'G MTTS'!AG351</f>
        <v>4</v>
      </c>
      <c r="O354" s="106">
        <f>'G MTTS'!AH351</f>
        <v>4</v>
      </c>
      <c r="P354" s="106">
        <f>'G MTTS'!AI351</f>
        <v>4</v>
      </c>
      <c r="Q354" s="107">
        <f>'G MTTS'!AJ351</f>
        <v>9</v>
      </c>
      <c r="R354" s="46">
        <f>IF(B354=0," ",TIME(,ROUNDDOWN(N354*Q354/60,0)*5+(N354*Q354),)+B354)</f>
        <v>0.629178240740741</v>
      </c>
      <c r="S354" s="47" t="str">
        <f>IFERROR(IF(H354=0," ",IF(H354&lt;=25,"MICRO",IF(H354&lt;=99,"LOW",IF(H354&lt;=499,"MEDIUM",IF(H354&lt;=2500,"HIGH",IF(H354&gt;2500,"SUPER HIGH",)))))),"")</f>
        <v>MICRO</v>
      </c>
    </row>
    <row r="355" ht="29.25" customHeight="1" outlineLevel="1" spans="1:19">
      <c r="A355" s="135"/>
      <c r="B355" s="109"/>
      <c r="C355" s="110"/>
      <c r="D355" s="111"/>
      <c r="E355" s="112"/>
      <c r="F355" s="113"/>
      <c r="G355" s="114"/>
      <c r="H355" s="115"/>
      <c r="I355" s="115"/>
      <c r="J355" s="115"/>
      <c r="K355" s="116"/>
      <c r="L355" s="116"/>
      <c r="M355" s="116"/>
      <c r="N355" s="117"/>
      <c r="O355" s="117"/>
      <c r="P355" s="117"/>
      <c r="Q355" s="118"/>
      <c r="R355" s="46"/>
      <c r="S355" s="47"/>
    </row>
    <row r="356" ht="29.25" customHeight="1" outlineLevel="1" spans="1:19">
      <c r="A356" s="119" t="str">
        <f>'G MTTS'!J353</f>
        <v>#AS Freeze HR</v>
      </c>
      <c r="B356" s="98">
        <f>'G MTTS'!B353</f>
        <v>0.666678240740741</v>
      </c>
      <c r="C356" s="99" t="str">
        <f>'G MTTS'!L353</f>
        <v>5 Seats Freeze HR</v>
      </c>
      <c r="D356" s="100" t="str">
        <f>'G MTTS'!M353</f>
        <v>SAT</v>
      </c>
      <c r="E356" s="101" t="str">
        <f>'G MTTS'!N353</f>
        <v>NLH</v>
      </c>
      <c r="F356" s="102" t="str">
        <f>'G MTTS'!O353</f>
        <v>OFF</v>
      </c>
      <c r="G356" s="103">
        <f>IF('G MTTS'!Q353=0," ",'G MTTS'!Q353*$A$3)</f>
        <v>750</v>
      </c>
      <c r="H356" s="104">
        <f>IF('G MTTS'!V353=0," ",'G MTTS'!V353*$A$3)</f>
        <v>9</v>
      </c>
      <c r="I356" s="104">
        <f>IF('G MTTS'!W353=0," ",'G MTTS'!W353*$A$3)</f>
        <v>9</v>
      </c>
      <c r="J356" s="104">
        <f>IF('G MTTS'!Z353=0," ",'G MTTS'!Z353*$A$3)</f>
        <v>9</v>
      </c>
      <c r="K356" s="105">
        <f>'G MTTS'!AF353</f>
        <v>10000</v>
      </c>
      <c r="L356" s="105">
        <f>'G MTTS'!X353</f>
        <v>0</v>
      </c>
      <c r="M356" s="105">
        <f>'G MTTS'!AA353</f>
        <v>20000</v>
      </c>
      <c r="N356" s="106">
        <f>'G MTTS'!AG353</f>
        <v>4</v>
      </c>
      <c r="O356" s="106">
        <f>'G MTTS'!AH353</f>
        <v>4</v>
      </c>
      <c r="P356" s="106">
        <f>'G MTTS'!AI353</f>
        <v>4</v>
      </c>
      <c r="Q356" s="107">
        <f>'G MTTS'!AJ353</f>
        <v>9</v>
      </c>
      <c r="R356" s="46">
        <f>IF(B356=0," ",TIME(,ROUNDDOWN(N356*Q356/60,0)*5+(N356*Q356),)+B356)</f>
        <v>0.691678240740741</v>
      </c>
      <c r="S356" s="47" t="str">
        <f>IFERROR(IF(H356=0," ",IF(H356&lt;=25,"MICRO",IF(H356&lt;=99,"LOW",IF(H356&lt;=499,"MEDIUM",IF(H356&lt;=2500,"HIGH",IF(H356&gt;2500,"SUPER HIGH",)))))),"")</f>
        <v>MICRO</v>
      </c>
    </row>
    <row r="357" ht="29.25" customHeight="1" outlineLevel="1" spans="1:19">
      <c r="A357" s="135"/>
      <c r="B357" s="109"/>
      <c r="C357" s="110"/>
      <c r="D357" s="111"/>
      <c r="E357" s="112"/>
      <c r="F357" s="113"/>
      <c r="G357" s="114"/>
      <c r="H357" s="115"/>
      <c r="I357" s="115"/>
      <c r="J357" s="115"/>
      <c r="K357" s="116"/>
      <c r="L357" s="116"/>
      <c r="M357" s="116"/>
      <c r="N357" s="117"/>
      <c r="O357" s="117"/>
      <c r="P357" s="117"/>
      <c r="Q357" s="118"/>
      <c r="R357" s="46"/>
      <c r="S357" s="47"/>
    </row>
    <row r="358" ht="29.25" customHeight="1" outlineLevel="1" spans="1:19">
      <c r="A358" s="119" t="str">
        <f>'G MTTS'!J355</f>
        <v>#AS Big Plus+SPT</v>
      </c>
      <c r="B358" s="98">
        <f>'G MTTS'!B355</f>
        <v>0.666678240740741</v>
      </c>
      <c r="C358" s="99" t="str">
        <f>'G MTTS'!L355</f>
        <v>10 Seats Big Plus</v>
      </c>
      <c r="D358" s="100" t="str">
        <f>'G MTTS'!M355</f>
        <v>SAT</v>
      </c>
      <c r="E358" s="101" t="str">
        <f>'G MTTS'!N355</f>
        <v>NLH</v>
      </c>
      <c r="F358" s="102" t="str">
        <f>'G MTTS'!O355</f>
        <v>OFF</v>
      </c>
      <c r="G358" s="103">
        <f>IF('G MTTS'!Q355=0," ",'G MTTS'!Q355*$A$3)</f>
        <v>500</v>
      </c>
      <c r="H358" s="104">
        <f>IF('G MTTS'!V355=0," ",'G MTTS'!V355*$A$3)</f>
        <v>1</v>
      </c>
      <c r="I358" s="104">
        <f>IF('G MTTS'!W355=0," ",'G MTTS'!W355*$A$3)</f>
        <v>2</v>
      </c>
      <c r="J358" s="104">
        <f>IF('G MTTS'!Z355=0," ",'G MTTS'!Z355*$A$3)</f>
        <v>3</v>
      </c>
      <c r="K358" s="105">
        <f>'G MTTS'!AF355</f>
        <v>7500</v>
      </c>
      <c r="L358" s="105">
        <f>'G MTTS'!X355</f>
        <v>10000</v>
      </c>
      <c r="M358" s="105">
        <f>'G MTTS'!AA355</f>
        <v>15000</v>
      </c>
      <c r="N358" s="106">
        <f>'G MTTS'!AG355</f>
        <v>4</v>
      </c>
      <c r="O358" s="106">
        <f>'G MTTS'!AH355</f>
        <v>4</v>
      </c>
      <c r="P358" s="106">
        <f>'G MTTS'!AI355</f>
        <v>4</v>
      </c>
      <c r="Q358" s="107">
        <f>'G MTTS'!AJ355</f>
        <v>9</v>
      </c>
      <c r="R358" s="46">
        <f>IF(B358=0," ",TIME(,ROUNDDOWN(N358*Q358/60,0)*5+(N358*Q358),)+B358)</f>
        <v>0.691678240740741</v>
      </c>
      <c r="S358" s="47" t="str">
        <f>IFERROR(IF(H358=0," ",IF(H358&lt;=25,"MICRO",IF(H358&lt;=99,"LOW",IF(H358&lt;=499,"MEDIUM",IF(H358&lt;=2500,"HIGH",IF(H358&gt;2500,"SUPER HIGH",)))))),"")</f>
        <v>MICRO</v>
      </c>
    </row>
    <row r="359" ht="29.25" customHeight="1" outlineLevel="1" spans="1:19">
      <c r="A359" s="135"/>
      <c r="B359" s="109"/>
      <c r="C359" s="110"/>
      <c r="D359" s="111"/>
      <c r="E359" s="112"/>
      <c r="F359" s="113"/>
      <c r="G359" s="114"/>
      <c r="H359" s="115"/>
      <c r="I359" s="115"/>
      <c r="J359" s="115"/>
      <c r="K359" s="116"/>
      <c r="L359" s="116"/>
      <c r="M359" s="116"/>
      <c r="N359" s="117"/>
      <c r="O359" s="117"/>
      <c r="P359" s="117"/>
      <c r="Q359" s="118"/>
      <c r="R359" s="46"/>
      <c r="S359" s="47"/>
    </row>
    <row r="360" ht="29.25" customHeight="1" outlineLevel="1" spans="1:19">
      <c r="A360" s="119" t="str">
        <f>'G MTTS'!J357</f>
        <v>#AS OmaX PKO</v>
      </c>
      <c r="B360" s="98">
        <f>'G MTTS'!B357</f>
        <v>0.708333333333333</v>
      </c>
      <c r="C360" s="99" t="str">
        <f>'G MTTS'!L357</f>
        <v>6 Seats OmaX PKO</v>
      </c>
      <c r="D360" s="100" t="str">
        <f>'G MTTS'!M357</f>
        <v>SAT</v>
      </c>
      <c r="E360" s="101" t="str">
        <f>'G MTTS'!N357</f>
        <v>PLO5</v>
      </c>
      <c r="F360" s="102" t="str">
        <f>'G MTTS'!O357</f>
        <v>OFF</v>
      </c>
      <c r="G360" s="103">
        <f>IF('G MTTS'!Q357=0," ",'G MTTS'!Q357*$A$3)</f>
        <v>450</v>
      </c>
      <c r="H360" s="104">
        <f>IF('G MTTS'!V357=0," ",'G MTTS'!V357*$A$3)</f>
        <v>5</v>
      </c>
      <c r="I360" s="104">
        <f>IF('G MTTS'!W357=0," ",'G MTTS'!W357*$A$3)</f>
        <v>5</v>
      </c>
      <c r="J360" s="104">
        <f>IF('G MTTS'!Z357=0," ",'G MTTS'!Z357*$A$3)</f>
        <v>5</v>
      </c>
      <c r="K360" s="105">
        <f>'G MTTS'!AF357</f>
        <v>10000</v>
      </c>
      <c r="L360" s="105">
        <f>'G MTTS'!X357</f>
        <v>0</v>
      </c>
      <c r="M360" s="105">
        <f>'G MTTS'!AA357</f>
        <v>20000</v>
      </c>
      <c r="N360" s="106">
        <f>'G MTTS'!AG357</f>
        <v>4</v>
      </c>
      <c r="O360" s="106">
        <f>'G MTTS'!AH357</f>
        <v>4</v>
      </c>
      <c r="P360" s="106">
        <f>'G MTTS'!AI357</f>
        <v>4</v>
      </c>
      <c r="Q360" s="107">
        <f>'G MTTS'!AJ357</f>
        <v>9</v>
      </c>
      <c r="R360" s="46">
        <f>IF(B360=0," ",TIME(,ROUNDDOWN(N360*Q360/60,0)*5+(N360*Q360),)+B360)</f>
        <v>0.733333333333333</v>
      </c>
      <c r="S360" s="47" t="str">
        <f>IFERROR(IF(H360=0," ",IF(H360&lt;=25,"MICRO",IF(H360&lt;=99,"LOW",IF(H360&lt;=499,"MEDIUM",IF(H360&lt;=2500,"HIGH",IF(H360&gt;2500,"SUPER HIGH",)))))),"")</f>
        <v>MICRO</v>
      </c>
    </row>
    <row r="361" ht="29.25" customHeight="1" outlineLevel="1" spans="1:19">
      <c r="A361" s="135"/>
      <c r="B361" s="109"/>
      <c r="C361" s="110"/>
      <c r="D361" s="111"/>
      <c r="E361" s="112"/>
      <c r="F361" s="113"/>
      <c r="G361" s="114"/>
      <c r="H361" s="115"/>
      <c r="I361" s="115"/>
      <c r="J361" s="115"/>
      <c r="K361" s="116"/>
      <c r="L361" s="116"/>
      <c r="M361" s="116"/>
      <c r="N361" s="117"/>
      <c r="O361" s="117"/>
      <c r="P361" s="117"/>
      <c r="Q361" s="118"/>
      <c r="R361" s="46"/>
      <c r="S361" s="47"/>
    </row>
    <row r="362" ht="29.25" customHeight="1" outlineLevel="1" spans="1:19">
      <c r="A362" s="119" t="str">
        <f>'G MTTS'!J359</f>
        <v>HighS</v>
      </c>
      <c r="B362" s="98">
        <f>'G MTTS'!B359</f>
        <v>0.718761574074074</v>
      </c>
      <c r="C362" s="99" t="str">
        <f>'G MTTS'!L359</f>
        <v>5 Seats HighS</v>
      </c>
      <c r="D362" s="100" t="str">
        <f>'G MTTS'!M359</f>
        <v>SAT</v>
      </c>
      <c r="E362" s="101" t="str">
        <f>'G MTTS'!N359</f>
        <v>NLH</v>
      </c>
      <c r="F362" s="102" t="str">
        <f>'G MTTS'!O359</f>
        <v>OFF</v>
      </c>
      <c r="G362" s="103">
        <f>IF('G MTTS'!Q359=0," ",'G MTTS'!Q359*$A$3)</f>
        <v>5500</v>
      </c>
      <c r="H362" s="104">
        <f>IF('G MTTS'!V359=0," ",'G MTTS'!V359*$A$3)</f>
        <v>150</v>
      </c>
      <c r="I362" s="104">
        <f>IF('G MTTS'!W359=0," ",'G MTTS'!W359*$A$3)</f>
        <v>150</v>
      </c>
      <c r="J362" s="104" t="str">
        <f>IF('G MTTS'!Z359=0," ",'G MTTS'!Z359*$A$3)</f>
        <v> </v>
      </c>
      <c r="K362" s="105">
        <f>'G MTTS'!AF359</f>
        <v>20000</v>
      </c>
      <c r="L362" s="105">
        <f>'G MTTS'!X359</f>
        <v>0</v>
      </c>
      <c r="M362" s="105" t="str">
        <f>'G MTTS'!AA359</f>
        <v>REENTRY</v>
      </c>
      <c r="N362" s="106">
        <f>'G MTTS'!AG359</f>
        <v>5</v>
      </c>
      <c r="O362" s="106">
        <f>'G MTTS'!AH359</f>
        <v>5</v>
      </c>
      <c r="P362" s="106">
        <f>'G MTTS'!AI359</f>
        <v>4</v>
      </c>
      <c r="Q362" s="107">
        <f>'G MTTS'!AJ359</f>
        <v>9</v>
      </c>
      <c r="R362" s="46">
        <f t="shared" ref="R362:R366" si="28">IF(B362=0," ",TIME(,ROUNDDOWN(N362*Q362/60,0)*5+(N362*Q362),)+B362)</f>
        <v>0.750011574074074</v>
      </c>
      <c r="S362" s="47" t="str">
        <f t="shared" ref="S362:S366" si="29">IFERROR(IF(H362=0," ",IF(H362&lt;=25,"MICRO",IF(H362&lt;=99,"LOW",IF(H362&lt;=499,"MEDIUM",IF(H362&lt;=2500,"HIGH",IF(H362&gt;2500,"SUPER HIGH",)))))),"")</f>
        <v>MEDIUM</v>
      </c>
    </row>
    <row r="363" ht="29.25" customHeight="1" outlineLevel="1" spans="1:19">
      <c r="A363" s="135"/>
      <c r="B363" s="109"/>
      <c r="C363" s="110"/>
      <c r="D363" s="111"/>
      <c r="E363" s="112"/>
      <c r="F363" s="113"/>
      <c r="G363" s="114"/>
      <c r="H363" s="115"/>
      <c r="I363" s="115"/>
      <c r="J363" s="115"/>
      <c r="K363" s="116"/>
      <c r="L363" s="116"/>
      <c r="M363" s="116"/>
      <c r="N363" s="117"/>
      <c r="O363" s="117"/>
      <c r="P363" s="117"/>
      <c r="Q363" s="118"/>
      <c r="R363" s="46" t="str">
        <f t="shared" si="28"/>
        <v> </v>
      </c>
      <c r="S363" s="47" t="str">
        <f t="shared" si="29"/>
        <v> </v>
      </c>
    </row>
    <row r="364" ht="29.25" customHeight="1" outlineLevel="1" spans="1:19">
      <c r="A364" s="119" t="str">
        <f>'G MTTS'!J361</f>
        <v>#AS OmaX HR</v>
      </c>
      <c r="B364" s="98">
        <f>'G MTTS'!B361</f>
        <v>0.750011574074074</v>
      </c>
      <c r="C364" s="99" t="str">
        <f>'G MTTS'!L361</f>
        <v>6 Seats OmaX HR</v>
      </c>
      <c r="D364" s="100" t="str">
        <f>'G MTTS'!M361</f>
        <v>SAT</v>
      </c>
      <c r="E364" s="101" t="str">
        <f>'G MTTS'!N361</f>
        <v>PLO5</v>
      </c>
      <c r="F364" s="102" t="str">
        <f>'G MTTS'!O361</f>
        <v>OFF</v>
      </c>
      <c r="G364" s="103">
        <f>IF('G MTTS'!Q361=0," ",'G MTTS'!Q361*$A$3)</f>
        <v>4500</v>
      </c>
      <c r="H364" s="104">
        <f>IF('G MTTS'!V361=0," ",'G MTTS'!V361*$A$3)</f>
        <v>40</v>
      </c>
      <c r="I364" s="104">
        <f>IF('G MTTS'!W361=0," ",'G MTTS'!W361*$A$3)</f>
        <v>40</v>
      </c>
      <c r="J364" s="104">
        <f>IF('G MTTS'!Z361=0," ",'G MTTS'!Z361*$A$3)</f>
        <v>50</v>
      </c>
      <c r="K364" s="105">
        <f>'G MTTS'!AF361</f>
        <v>10000</v>
      </c>
      <c r="L364" s="105">
        <f>'G MTTS'!X361</f>
        <v>0</v>
      </c>
      <c r="M364" s="105">
        <f>'G MTTS'!AA361</f>
        <v>20000</v>
      </c>
      <c r="N364" s="106">
        <f>'G MTTS'!AG361</f>
        <v>4</v>
      </c>
      <c r="O364" s="106">
        <f>'G MTTS'!AH361</f>
        <v>4</v>
      </c>
      <c r="P364" s="106">
        <f>'G MTTS'!AI361</f>
        <v>4</v>
      </c>
      <c r="Q364" s="107">
        <f>'G MTTS'!AJ361</f>
        <v>9</v>
      </c>
      <c r="R364" s="46">
        <f t="shared" si="28"/>
        <v>0.775011574074074</v>
      </c>
      <c r="S364" s="47" t="str">
        <f t="shared" si="29"/>
        <v>LOW</v>
      </c>
    </row>
    <row r="365" ht="29.25" customHeight="1" outlineLevel="1" spans="1:19">
      <c r="A365" s="135"/>
      <c r="B365" s="109"/>
      <c r="C365" s="110"/>
      <c r="D365" s="111"/>
      <c r="E365" s="112"/>
      <c r="F365" s="113"/>
      <c r="G365" s="114"/>
      <c r="H365" s="115"/>
      <c r="I365" s="115"/>
      <c r="J365" s="115"/>
      <c r="K365" s="116"/>
      <c r="L365" s="116"/>
      <c r="M365" s="116"/>
      <c r="N365" s="117"/>
      <c r="O365" s="117"/>
      <c r="P365" s="117"/>
      <c r="Q365" s="118"/>
      <c r="R365" s="46" t="str">
        <f t="shared" si="28"/>
        <v> </v>
      </c>
      <c r="S365" s="47" t="str">
        <f t="shared" si="29"/>
        <v> </v>
      </c>
    </row>
    <row r="366" ht="29.25" customHeight="1" outlineLevel="1" spans="1:19">
      <c r="A366" s="119" t="str">
        <f>'G MTTS'!J363</f>
        <v>#AS Freeze+SPS</v>
      </c>
      <c r="B366" s="98">
        <f>'G MTTS'!B363</f>
        <v>0.750011574074074</v>
      </c>
      <c r="C366" s="99" t="str">
        <f>'G MTTS'!L363</f>
        <v>5 Seats Freeze</v>
      </c>
      <c r="D366" s="100" t="str">
        <f>'G MTTS'!M363</f>
        <v>SAT</v>
      </c>
      <c r="E366" s="101" t="str">
        <f>'G MTTS'!N363</f>
        <v>NLH</v>
      </c>
      <c r="F366" s="102" t="str">
        <f>'G MTTS'!O363</f>
        <v>OFF</v>
      </c>
      <c r="G366" s="103">
        <f>IF('G MTTS'!Q363=0," ",'G MTTS'!Q363*$A$3)</f>
        <v>375</v>
      </c>
      <c r="H366" s="104">
        <f>IF('G MTTS'!V363=0," ",'G MTTS'!V363*$A$3)</f>
        <v>4</v>
      </c>
      <c r="I366" s="104">
        <f>IF('G MTTS'!W363=0," ",'G MTTS'!W363*$A$3)</f>
        <v>4</v>
      </c>
      <c r="J366" s="104">
        <f>IF('G MTTS'!Z363=0," ",'G MTTS'!Z363*$A$3)</f>
        <v>4</v>
      </c>
      <c r="K366" s="105">
        <f>'G MTTS'!AF363</f>
        <v>10000</v>
      </c>
      <c r="L366" s="105">
        <f>'G MTTS'!X363</f>
        <v>0</v>
      </c>
      <c r="M366" s="105">
        <f>'G MTTS'!AA363</f>
        <v>20000</v>
      </c>
      <c r="N366" s="106">
        <f>'G MTTS'!AG363</f>
        <v>4</v>
      </c>
      <c r="O366" s="106">
        <f>'G MTTS'!AH363</f>
        <v>4</v>
      </c>
      <c r="P366" s="106">
        <f>'G MTTS'!AI363</f>
        <v>4</v>
      </c>
      <c r="Q366" s="107">
        <f>'G MTTS'!AJ363</f>
        <v>9</v>
      </c>
      <c r="R366" s="46">
        <f t="shared" si="28"/>
        <v>0.775011574074074</v>
      </c>
      <c r="S366" s="47" t="str">
        <f t="shared" si="29"/>
        <v>MICRO</v>
      </c>
    </row>
    <row r="367" ht="29.25" customHeight="1" outlineLevel="1" spans="1:19">
      <c r="A367" s="135"/>
      <c r="B367" s="109"/>
      <c r="C367" s="110"/>
      <c r="D367" s="111"/>
      <c r="E367" s="112"/>
      <c r="F367" s="113"/>
      <c r="G367" s="114"/>
      <c r="H367" s="115"/>
      <c r="I367" s="115"/>
      <c r="J367" s="115"/>
      <c r="K367" s="116"/>
      <c r="L367" s="116"/>
      <c r="M367" s="116"/>
      <c r="N367" s="117"/>
      <c r="O367" s="117"/>
      <c r="P367" s="117"/>
      <c r="Q367" s="118"/>
      <c r="R367" s="46"/>
      <c r="S367" s="47"/>
    </row>
    <row r="368" ht="29.25" customHeight="1" outlineLevel="1" spans="1:19">
      <c r="A368" s="119" t="str">
        <f>'G MTTS'!J365</f>
        <v>#AS Bounty+SPS</v>
      </c>
      <c r="B368" s="98">
        <f>'G MTTS'!B365</f>
        <v>0.770844907407407</v>
      </c>
      <c r="C368" s="99" t="str">
        <f>'G MTTS'!L365</f>
        <v>4 Seats Bounty</v>
      </c>
      <c r="D368" s="100" t="str">
        <f>'G MTTS'!M365</f>
        <v>SAT</v>
      </c>
      <c r="E368" s="101" t="str">
        <f>'G MTTS'!N365</f>
        <v>NLH</v>
      </c>
      <c r="F368" s="102" t="str">
        <f>'G MTTS'!O365</f>
        <v>OFF</v>
      </c>
      <c r="G368" s="103">
        <f>IF('G MTTS'!Q365=0," ",'G MTTS'!Q365*$A$3)</f>
        <v>600</v>
      </c>
      <c r="H368" s="104">
        <f>IF('G MTTS'!V365=0," ",'G MTTS'!V365*$A$3)</f>
        <v>10</v>
      </c>
      <c r="I368" s="104">
        <f>IF('G MTTS'!W365=0," ",'G MTTS'!W365*$A$3)</f>
        <v>10</v>
      </c>
      <c r="J368" s="104">
        <f>IF('G MTTS'!Z365=0," ",'G MTTS'!Z365*$A$3)</f>
        <v>10</v>
      </c>
      <c r="K368" s="105">
        <f>'G MTTS'!AF365</f>
        <v>10000</v>
      </c>
      <c r="L368" s="105">
        <f>'G MTTS'!X365</f>
        <v>0</v>
      </c>
      <c r="M368" s="105">
        <f>'G MTTS'!AA365</f>
        <v>20000</v>
      </c>
      <c r="N368" s="106">
        <f>'G MTTS'!AG365</f>
        <v>4</v>
      </c>
      <c r="O368" s="106">
        <f>'G MTTS'!AH365</f>
        <v>4</v>
      </c>
      <c r="P368" s="106">
        <f>'G MTTS'!AI365</f>
        <v>4</v>
      </c>
      <c r="Q368" s="107">
        <f>'G MTTS'!AJ365</f>
        <v>9</v>
      </c>
      <c r="R368" s="46">
        <f>IF(B368=0," ",TIME(,ROUNDDOWN(N368*Q368/60,0)*5+(N368*Q368),)+B368)</f>
        <v>0.795844907407407</v>
      </c>
      <c r="S368" s="47" t="str">
        <f>IFERROR(IF(H368=0," ",IF(H368&lt;=25,"MICRO",IF(H368&lt;=99,"LOW",IF(H368&lt;=499,"MEDIUM",IF(H368&lt;=2500,"HIGH",IF(H368&gt;2500,"SUPER HIGH",)))))),"")</f>
        <v>MICRO</v>
      </c>
    </row>
    <row r="369" ht="29.25" customHeight="1" outlineLevel="1" spans="1:19">
      <c r="A369" s="163"/>
      <c r="B369" s="164"/>
      <c r="C369" s="165"/>
      <c r="D369" s="166"/>
      <c r="E369" s="167"/>
      <c r="F369" s="168"/>
      <c r="G369" s="169"/>
      <c r="H369" s="170"/>
      <c r="I369" s="170"/>
      <c r="J369" s="170"/>
      <c r="K369" s="171"/>
      <c r="L369" s="171"/>
      <c r="M369" s="171"/>
      <c r="N369" s="172"/>
      <c r="O369" s="172"/>
      <c r="P369" s="172"/>
      <c r="Q369" s="173"/>
      <c r="R369" s="46"/>
      <c r="S369" s="47"/>
    </row>
    <row r="370" ht="29.25" customHeight="1" outlineLevel="1" spans="1:19">
      <c r="A370" s="119" t="str">
        <f>'G MTTS'!J367</f>
        <v>#AS OmaX Turbo</v>
      </c>
      <c r="B370" s="98">
        <f>'G MTTS'!B367</f>
        <v>0.812511574074074</v>
      </c>
      <c r="C370" s="99" t="str">
        <f>'G MTTS'!L367</f>
        <v>6 Seats OmaX T.</v>
      </c>
      <c r="D370" s="100" t="str">
        <f>'G MTTS'!M367</f>
        <v>SAT</v>
      </c>
      <c r="E370" s="101" t="str">
        <f>'G MTTS'!N367</f>
        <v>PLO5</v>
      </c>
      <c r="F370" s="102" t="str">
        <f>'G MTTS'!O367</f>
        <v>OFF</v>
      </c>
      <c r="G370" s="103">
        <f>IF('G MTTS'!Q367=0," ",'G MTTS'!Q367*$A$3)</f>
        <v>330</v>
      </c>
      <c r="H370" s="104">
        <f>IF('G MTTS'!V367=0," ",'G MTTS'!V367*$A$3)</f>
        <v>3</v>
      </c>
      <c r="I370" s="104">
        <f>IF('G MTTS'!W367=0," ",'G MTTS'!W367*$A$3)</f>
        <v>3</v>
      </c>
      <c r="J370" s="104">
        <f>IF('G MTTS'!Z367=0," ",'G MTTS'!Z367*$A$3)</f>
        <v>3</v>
      </c>
      <c r="K370" s="105">
        <f>'G MTTS'!AF367</f>
        <v>10000</v>
      </c>
      <c r="L370" s="105">
        <f>'G MTTS'!X367</f>
        <v>0</v>
      </c>
      <c r="M370" s="105">
        <f>'G MTTS'!AA367</f>
        <v>20000</v>
      </c>
      <c r="N370" s="106">
        <f>'G MTTS'!AG367</f>
        <v>4</v>
      </c>
      <c r="O370" s="106">
        <f>'G MTTS'!AH367</f>
        <v>4</v>
      </c>
      <c r="P370" s="106">
        <f>'G MTTS'!AI367</f>
        <v>4</v>
      </c>
      <c r="Q370" s="107">
        <f>'G MTTS'!AJ367</f>
        <v>9</v>
      </c>
      <c r="R370" s="46">
        <f t="shared" ref="R370:R372" si="30">IF(B370=0," ",TIME(,ROUNDDOWN(N370*Q370/60,0)*5+(N370*Q370),)+B370)</f>
        <v>0.837511574074074</v>
      </c>
      <c r="S370" s="47" t="str">
        <f t="shared" ref="S370:S372" si="31">IFERROR(IF(H370=0," ",IF(H370&lt;=25,"MICRO",IF(H370&lt;=99,"LOW",IF(H370&lt;=499,"MEDIUM",IF(H370&lt;=2500,"HIGH",IF(H370&gt;2500,"SUPER HIGH",)))))),"")</f>
        <v>MICRO</v>
      </c>
    </row>
    <row r="371" ht="29.25" customHeight="1" outlineLevel="1" spans="1:19">
      <c r="A371" s="135"/>
      <c r="B371" s="109"/>
      <c r="C371" s="110"/>
      <c r="D371" s="111"/>
      <c r="E371" s="112"/>
      <c r="F371" s="113"/>
      <c r="G371" s="114"/>
      <c r="H371" s="115"/>
      <c r="I371" s="115"/>
      <c r="J371" s="115"/>
      <c r="K371" s="116"/>
      <c r="L371" s="116"/>
      <c r="M371" s="116"/>
      <c r="N371" s="117"/>
      <c r="O371" s="117"/>
      <c r="P371" s="117"/>
      <c r="Q371" s="118"/>
      <c r="R371" s="46" t="str">
        <f t="shared" si="30"/>
        <v> </v>
      </c>
      <c r="S371" s="47" t="str">
        <f t="shared" si="31"/>
        <v> </v>
      </c>
    </row>
    <row r="372" ht="29.25" customHeight="1" outlineLevel="1" spans="1:19">
      <c r="A372" s="119" t="str">
        <f>'G MTTS'!J369</f>
        <v>#AS Battle PKO</v>
      </c>
      <c r="B372" s="98">
        <f>'G MTTS'!B369</f>
        <v>0.833344907407407</v>
      </c>
      <c r="C372" s="99" t="str">
        <f>'G MTTS'!L369</f>
        <v>3 Seats Battle PKO</v>
      </c>
      <c r="D372" s="100" t="str">
        <f>'G MTTS'!M369</f>
        <v>SAT</v>
      </c>
      <c r="E372" s="101" t="str">
        <f>'G MTTS'!N369</f>
        <v>NLH</v>
      </c>
      <c r="F372" s="102" t="str">
        <f>'G MTTS'!O369</f>
        <v>OFF</v>
      </c>
      <c r="G372" s="103">
        <f>IF('G MTTS'!Q369=0," ",'G MTTS'!Q369*$A$3)</f>
        <v>330</v>
      </c>
      <c r="H372" s="104">
        <f>IF('G MTTS'!V369=0," ",'G MTTS'!V369*$A$3)</f>
        <v>6</v>
      </c>
      <c r="I372" s="104">
        <f>IF('G MTTS'!W369=0," ",'G MTTS'!W369*$A$3)</f>
        <v>6</v>
      </c>
      <c r="J372" s="104">
        <f>IF('G MTTS'!Z369=0," ",'G MTTS'!Z369*$A$3)</f>
        <v>6</v>
      </c>
      <c r="K372" s="105">
        <f>'G MTTS'!AF369</f>
        <v>10000</v>
      </c>
      <c r="L372" s="105">
        <f>'G MTTS'!X369</f>
        <v>0</v>
      </c>
      <c r="M372" s="105">
        <f>'G MTTS'!AA369</f>
        <v>20000</v>
      </c>
      <c r="N372" s="106">
        <f>'G MTTS'!AG369</f>
        <v>4</v>
      </c>
      <c r="O372" s="106">
        <f>'G MTTS'!AH369</f>
        <v>4</v>
      </c>
      <c r="P372" s="106">
        <f>'G MTTS'!AI369</f>
        <v>4</v>
      </c>
      <c r="Q372" s="107">
        <f>'G MTTS'!AJ369</f>
        <v>9</v>
      </c>
      <c r="R372" s="46">
        <f t="shared" si="30"/>
        <v>0.858344907407407</v>
      </c>
      <c r="S372" s="47" t="str">
        <f t="shared" si="31"/>
        <v>MICRO</v>
      </c>
    </row>
    <row r="373" ht="29.25" customHeight="1" outlineLevel="1" spans="1:19">
      <c r="A373" s="135"/>
      <c r="B373" s="109"/>
      <c r="C373" s="110"/>
      <c r="D373" s="111"/>
      <c r="E373" s="112"/>
      <c r="F373" s="113"/>
      <c r="G373" s="114"/>
      <c r="H373" s="115"/>
      <c r="I373" s="115"/>
      <c r="J373" s="115"/>
      <c r="K373" s="116"/>
      <c r="L373" s="116"/>
      <c r="M373" s="116"/>
      <c r="N373" s="117"/>
      <c r="O373" s="117"/>
      <c r="P373" s="117"/>
      <c r="Q373" s="118"/>
      <c r="R373" s="46"/>
      <c r="S373" s="47"/>
    </row>
    <row r="374" ht="29.25" customHeight="1" outlineLevel="1" spans="1:19">
      <c r="A374" s="119" t="str">
        <f>'G MTTS'!J371</f>
        <v>#AS OmaX Night</v>
      </c>
      <c r="B374" s="98">
        <f>'G MTTS'!B371</f>
        <v>0.833344907407407</v>
      </c>
      <c r="C374" s="99" t="str">
        <f>'G MTTS'!L371</f>
        <v>4 Seats OmaX Night</v>
      </c>
      <c r="D374" s="100" t="str">
        <f>'G MTTS'!M371</f>
        <v>SAT</v>
      </c>
      <c r="E374" s="101" t="str">
        <f>'G MTTS'!N371</f>
        <v>PLO5</v>
      </c>
      <c r="F374" s="102" t="str">
        <f>'G MTTS'!O371</f>
        <v>OFF</v>
      </c>
      <c r="G374" s="103">
        <f>IF('G MTTS'!Q371=0," ",'G MTTS'!Q371*$A$3)</f>
        <v>1000</v>
      </c>
      <c r="H374" s="104">
        <f>IF('G MTTS'!V371=0," ",'G MTTS'!V371*$A$3)</f>
        <v>15</v>
      </c>
      <c r="I374" s="104">
        <f>IF('G MTTS'!W371=0," ",'G MTTS'!W371*$A$3)</f>
        <v>15</v>
      </c>
      <c r="J374" s="104">
        <f>IF('G MTTS'!Z371=0," ",'G MTTS'!Z371*$A$3)</f>
        <v>15</v>
      </c>
      <c r="K374" s="105">
        <f>'G MTTS'!AF371</f>
        <v>10000</v>
      </c>
      <c r="L374" s="105">
        <f>'G MTTS'!X371</f>
        <v>0</v>
      </c>
      <c r="M374" s="105">
        <f>'G MTTS'!AA371</f>
        <v>20000</v>
      </c>
      <c r="N374" s="106">
        <f>'G MTTS'!AG371</f>
        <v>4</v>
      </c>
      <c r="O374" s="106">
        <f>'G MTTS'!AH371</f>
        <v>4</v>
      </c>
      <c r="P374" s="106">
        <f>'G MTTS'!AI371</f>
        <v>4</v>
      </c>
      <c r="Q374" s="107">
        <f>'G MTTS'!AJ371</f>
        <v>9</v>
      </c>
      <c r="R374" s="46">
        <f>IF(B374=0," ",TIME(,ROUNDDOWN(N374*Q374/60,0)*5+(N374*Q374),)+B374)</f>
        <v>0.858344907407407</v>
      </c>
      <c r="S374" s="47" t="str">
        <f>IFERROR(IF(H374=0," ",IF(H374&lt;=25,"MICRO",IF(H374&lt;=99,"LOW",IF(H374&lt;=499,"MEDIUM",IF(H374&lt;=2500,"HIGH",IF(H374&gt;2500,"SUPER HIGH",)))))),"")</f>
        <v>MICRO</v>
      </c>
    </row>
    <row r="375" ht="29.25" customHeight="1" outlineLevel="1" spans="1:19">
      <c r="A375" s="135"/>
      <c r="B375" s="109"/>
      <c r="C375" s="110"/>
      <c r="D375" s="111"/>
      <c r="E375" s="112"/>
      <c r="F375" s="113"/>
      <c r="G375" s="114"/>
      <c r="H375" s="115"/>
      <c r="I375" s="115"/>
      <c r="J375" s="115"/>
      <c r="K375" s="116"/>
      <c r="L375" s="116"/>
      <c r="M375" s="116"/>
      <c r="N375" s="117"/>
      <c r="O375" s="117"/>
      <c r="P375" s="117"/>
      <c r="Q375" s="118"/>
      <c r="R375" s="46"/>
      <c r="S375" s="47"/>
    </row>
    <row r="376" ht="29.25" customHeight="1" outlineLevel="1" spans="1:19">
      <c r="A376" s="119" t="str">
        <f>'G MTTS'!J373</f>
        <v>#AS Bounty Night</v>
      </c>
      <c r="B376" s="98">
        <f>'G MTTS'!B373</f>
        <v>0.854178240740741</v>
      </c>
      <c r="C376" s="99" t="str">
        <f>'G MTTS'!L373</f>
        <v>5 Seats Bounty</v>
      </c>
      <c r="D376" s="120" t="str">
        <f>'G MTTS'!M373</f>
        <v>SAT</v>
      </c>
      <c r="E376" s="101" t="str">
        <f>'G MTTS'!N373</f>
        <v>NLH</v>
      </c>
      <c r="F376" s="102" t="str">
        <f>'G MTTS'!O373</f>
        <v>OFF</v>
      </c>
      <c r="G376" s="103">
        <f>IF('G MTTS'!Q373=0," ",'G MTTS'!Q373*$A$3)</f>
        <v>275</v>
      </c>
      <c r="H376" s="104">
        <f>IF('G MTTS'!V373=0," ",'G MTTS'!V373*$A$3)</f>
        <v>3</v>
      </c>
      <c r="I376" s="104">
        <f>IF('G MTTS'!W373=0," ",'G MTTS'!W373*$A$3)</f>
        <v>3</v>
      </c>
      <c r="J376" s="104">
        <f>IF('G MTTS'!Z373=0," ",'G MTTS'!Z373*$A$3)</f>
        <v>3</v>
      </c>
      <c r="K376" s="105">
        <f>'G MTTS'!AF373</f>
        <v>10000</v>
      </c>
      <c r="L376" s="105">
        <f>'G MTTS'!X373</f>
        <v>0</v>
      </c>
      <c r="M376" s="105">
        <f>'G MTTS'!AA373</f>
        <v>20000</v>
      </c>
      <c r="N376" s="106">
        <f>'G MTTS'!AG373</f>
        <v>4</v>
      </c>
      <c r="O376" s="106">
        <f>'G MTTS'!AH373</f>
        <v>4</v>
      </c>
      <c r="P376" s="106">
        <f>'G MTTS'!AI373</f>
        <v>4</v>
      </c>
      <c r="Q376" s="107">
        <f>'G MTTS'!AJ373</f>
        <v>9</v>
      </c>
      <c r="R376" s="46">
        <f>IF(B376=0," ",TIME(,ROUNDDOWN(N376*Q376/60,0)*5+(N376*Q376),)+B376)</f>
        <v>0.879178240740741</v>
      </c>
      <c r="S376" s="47" t="str">
        <f>IFERROR(IF(H376=0," ",IF(H376&lt;=25,"MICRO",IF(H376&lt;=99,"LOW",IF(H376&lt;=499,"MEDIUM",IF(H376&lt;=2500,"HIGH",IF(H376&gt;2500,"SUPER HIGH",)))))),"")</f>
        <v>MICRO</v>
      </c>
    </row>
    <row r="377" ht="29.25" customHeight="1" outlineLevel="1" spans="1:19">
      <c r="A377" s="135"/>
      <c r="B377" s="109"/>
      <c r="C377" s="110"/>
      <c r="D377" s="111"/>
      <c r="E377" s="112"/>
      <c r="F377" s="113"/>
      <c r="G377" s="114"/>
      <c r="H377" s="115"/>
      <c r="I377" s="115"/>
      <c r="J377" s="115"/>
      <c r="K377" s="116"/>
      <c r="L377" s="116"/>
      <c r="M377" s="116"/>
      <c r="N377" s="117"/>
      <c r="O377" s="117"/>
      <c r="P377" s="117"/>
      <c r="Q377" s="118"/>
      <c r="R377" s="46"/>
      <c r="S377" s="47"/>
    </row>
    <row r="378" ht="29.25" customHeight="1" outlineLevel="1" spans="1:19">
      <c r="A378" s="119" t="str">
        <f>'G MTTS'!J375</f>
        <v>#AS Sonic</v>
      </c>
      <c r="B378" s="98">
        <f>'G MTTS'!B375</f>
        <v>0.895844907407407</v>
      </c>
      <c r="C378" s="99" t="str">
        <f>'G MTTS'!L375</f>
        <v>2 Seats Sonic</v>
      </c>
      <c r="D378" s="120" t="str">
        <f>'G MTTS'!M375</f>
        <v>SAT</v>
      </c>
      <c r="E378" s="101" t="str">
        <f>'G MTTS'!N375</f>
        <v>NLH</v>
      </c>
      <c r="F378" s="102" t="str">
        <f>'G MTTS'!O375</f>
        <v>OFF</v>
      </c>
      <c r="G378" s="103">
        <f>IF('G MTTS'!Q375=0," ",'G MTTS'!Q375*$A$3)</f>
        <v>300</v>
      </c>
      <c r="H378" s="104">
        <f>IF('G MTTS'!V375=0," ",'G MTTS'!V375*$A$3)</f>
        <v>8</v>
      </c>
      <c r="I378" s="104">
        <f>IF('G MTTS'!W375=0," ",'G MTTS'!W375*$A$3)</f>
        <v>8</v>
      </c>
      <c r="J378" s="104">
        <f>IF('G MTTS'!Z375=0," ",'G MTTS'!Z375*$A$3)</f>
        <v>8</v>
      </c>
      <c r="K378" s="105">
        <f>'G MTTS'!AF375</f>
        <v>10000</v>
      </c>
      <c r="L378" s="105">
        <f>'G MTTS'!X375</f>
        <v>0</v>
      </c>
      <c r="M378" s="105">
        <f>'G MTTS'!AA375</f>
        <v>20000</v>
      </c>
      <c r="N378" s="106">
        <f>'G MTTS'!AG375</f>
        <v>4</v>
      </c>
      <c r="O378" s="106">
        <f>'G MTTS'!AH375</f>
        <v>4</v>
      </c>
      <c r="P378" s="106">
        <f>'G MTTS'!AI375</f>
        <v>4</v>
      </c>
      <c r="Q378" s="107">
        <f>'G MTTS'!AJ375</f>
        <v>9</v>
      </c>
      <c r="R378" s="46">
        <f>IF(B378=0," ",TIME(,ROUNDDOWN(N378*Q378/60,0)*5+(N378*Q378),)+B378)</f>
        <v>0.920844907407407</v>
      </c>
      <c r="S378" s="47" t="str">
        <f>IFERROR(IF(H378=0," ",IF(H378&lt;=25,"MICRO",IF(H378&lt;=99,"LOW",IF(H378&lt;=499,"MEDIUM",IF(H378&lt;=2500,"HIGH",IF(H378&gt;2500,"SUPER HIGH",)))))),"")</f>
        <v>MICRO</v>
      </c>
    </row>
    <row r="379" ht="29.25" customHeight="1" outlineLevel="1" spans="1:19">
      <c r="A379" s="135"/>
      <c r="B379" s="109"/>
      <c r="C379" s="110"/>
      <c r="D379" s="111"/>
      <c r="E379" s="112"/>
      <c r="F379" s="113"/>
      <c r="G379" s="114"/>
      <c r="H379" s="115"/>
      <c r="I379" s="115"/>
      <c r="J379" s="115"/>
      <c r="K379" s="116"/>
      <c r="L379" s="116"/>
      <c r="M379" s="116"/>
      <c r="N379" s="117"/>
      <c r="O379" s="117"/>
      <c r="P379" s="117"/>
      <c r="Q379" s="118"/>
      <c r="R379" s="46"/>
      <c r="S379" s="47"/>
    </row>
    <row r="380" ht="29.25" customHeight="1" outlineLevel="1" spans="1:19">
      <c r="A380" s="121" t="str">
        <f>'G MTTS'!J377</f>
        <v>Suprema Poker Tour</v>
      </c>
      <c r="B380" s="122">
        <f>'G MTTS'!B377</f>
        <v>0.375011574074074</v>
      </c>
      <c r="C380" s="123" t="str">
        <f>'G MTTS'!L377</f>
        <v>2 Seats SPT</v>
      </c>
      <c r="D380" s="120" t="str">
        <f>'G MTTS'!M377</f>
        <v>SAT</v>
      </c>
      <c r="E380" s="101" t="str">
        <f>'G MTTS'!N377</f>
        <v>NLH</v>
      </c>
      <c r="F380" s="102" t="str">
        <f>'G MTTS'!O377</f>
        <v>OFF</v>
      </c>
      <c r="G380" s="103">
        <f>IF('G MTTS'!Q377=0," ",'G MTTS'!Q377*$A$3)</f>
        <v>400</v>
      </c>
      <c r="H380" s="104">
        <f>IF('G MTTS'!V377=0," ",'G MTTS'!V377*$A$3)</f>
        <v>3</v>
      </c>
      <c r="I380" s="104">
        <f>IF('G MTTS'!W377=0," ",'G MTTS'!W377*$A$3)</f>
        <v>5</v>
      </c>
      <c r="J380" s="104">
        <f>IF('G MTTS'!Z377=0," ",'G MTTS'!Z377*$A$3)</f>
        <v>10</v>
      </c>
      <c r="K380" s="105">
        <f>'G MTTS'!AF377</f>
        <v>30000</v>
      </c>
      <c r="L380" s="105">
        <f>'G MTTS'!X377</f>
        <v>0</v>
      </c>
      <c r="M380" s="105">
        <f>'G MTTS'!AA377</f>
        <v>50000</v>
      </c>
      <c r="N380" s="106">
        <f>'G MTTS'!AG377</f>
        <v>7</v>
      </c>
      <c r="O380" s="106">
        <f>'G MTTS'!AH377</f>
        <v>6</v>
      </c>
      <c r="P380" s="106">
        <f>'G MTTS'!AI377</f>
        <v>5</v>
      </c>
      <c r="Q380" s="107">
        <f>'G MTTS'!AJ377</f>
        <v>13</v>
      </c>
      <c r="R380" s="46">
        <f t="shared" ref="R380:R387" si="32">IF(B380=0," ",TIME(,ROUNDDOWN(N380*Q380/60,0)*5+(N380*Q380),)+B380)</f>
        <v>0.441678240740741</v>
      </c>
      <c r="S380" s="47" t="str">
        <f t="shared" ref="S380:S387" si="33">IFERROR(IF(H380=0," ",IF(H380&lt;=25,"MICRO",IF(H380&lt;=99,"LOW",IF(H380&lt;=499,"MEDIUM",IF(H380&lt;=2500,"HIGH",IF(H380&gt;2500,"SUPER HIGH",)))))),"")</f>
        <v>MICRO</v>
      </c>
    </row>
    <row r="381" ht="29.25" customHeight="1" outlineLevel="1" spans="1:19">
      <c r="A381" s="29"/>
      <c r="B381" s="128">
        <f>'G MTTS'!B378</f>
        <v>0.458344907407407</v>
      </c>
      <c r="C381" s="129" t="str">
        <f>'G MTTS'!L378</f>
        <v>3 Seats SPT</v>
      </c>
      <c r="D381" s="120" t="str">
        <f>'G MTTS'!M378</f>
        <v>SAT</v>
      </c>
      <c r="E381" s="101" t="str">
        <f>'G MTTS'!N378</f>
        <v>NLH</v>
      </c>
      <c r="F381" s="102" t="str">
        <f>'G MTTS'!O378</f>
        <v>OFF</v>
      </c>
      <c r="G381" s="103">
        <f>IF('G MTTS'!Q378=0," ",'G MTTS'!Q378*$A$3)</f>
        <v>600</v>
      </c>
      <c r="H381" s="104">
        <f>IF('G MTTS'!V378=0," ",'G MTTS'!V378*$A$3)</f>
        <v>5</v>
      </c>
      <c r="I381" s="104">
        <f>IF('G MTTS'!W378=0," ",'G MTTS'!W378*$A$3)</f>
        <v>5</v>
      </c>
      <c r="J381" s="104">
        <f>IF('G MTTS'!Z378=0," ",'G MTTS'!Z378*$A$3)</f>
        <v>15</v>
      </c>
      <c r="K381" s="105">
        <f>'G MTTS'!AF378</f>
        <v>30000</v>
      </c>
      <c r="L381" s="105">
        <f>'G MTTS'!X378</f>
        <v>0</v>
      </c>
      <c r="M381" s="105">
        <f>'G MTTS'!AA378</f>
        <v>50000</v>
      </c>
      <c r="N381" s="106">
        <f>'G MTTS'!AG378</f>
        <v>7</v>
      </c>
      <c r="O381" s="106">
        <f>'G MTTS'!AH378</f>
        <v>6</v>
      </c>
      <c r="P381" s="106">
        <f>'G MTTS'!AI378</f>
        <v>5</v>
      </c>
      <c r="Q381" s="107">
        <f>'G MTTS'!AJ378</f>
        <v>13</v>
      </c>
      <c r="R381" s="46">
        <f t="shared" si="32"/>
        <v>0.525011574074074</v>
      </c>
      <c r="S381" s="47" t="str">
        <f t="shared" si="33"/>
        <v>MICRO</v>
      </c>
    </row>
    <row r="382" ht="29.25" customHeight="1" outlineLevel="1" spans="1:19">
      <c r="A382" s="29"/>
      <c r="B382" s="128">
        <f>'G MTTS'!B379</f>
        <v>0.541678240740741</v>
      </c>
      <c r="C382" s="129" t="str">
        <f>'G MTTS'!L379</f>
        <v>4 Seats SPT</v>
      </c>
      <c r="D382" s="120" t="str">
        <f>'G MTTS'!M379</f>
        <v>SAT</v>
      </c>
      <c r="E382" s="101" t="str">
        <f>'G MTTS'!N379</f>
        <v>NLH</v>
      </c>
      <c r="F382" s="102" t="str">
        <f>'G MTTS'!O379</f>
        <v>OFF</v>
      </c>
      <c r="G382" s="103">
        <f>IF('G MTTS'!Q379=0," ",'G MTTS'!Q379*$A$3)</f>
        <v>800</v>
      </c>
      <c r="H382" s="104">
        <f>IF('G MTTS'!V379=0," ",'G MTTS'!V379*$A$3)</f>
        <v>10</v>
      </c>
      <c r="I382" s="104">
        <f>IF('G MTTS'!W379=0," ",'G MTTS'!W379*$A$3)</f>
        <v>10</v>
      </c>
      <c r="J382" s="104">
        <f>IF('G MTTS'!Z379=0," ",'G MTTS'!Z379*$A$3)</f>
        <v>15</v>
      </c>
      <c r="K382" s="105">
        <f>'G MTTS'!AF379</f>
        <v>30000</v>
      </c>
      <c r="L382" s="105">
        <f>'G MTTS'!X379</f>
        <v>0</v>
      </c>
      <c r="M382" s="105">
        <f>'G MTTS'!AA379</f>
        <v>50000</v>
      </c>
      <c r="N382" s="106">
        <f>'G MTTS'!AG379</f>
        <v>7</v>
      </c>
      <c r="O382" s="106">
        <f>'G MTTS'!AH379</f>
        <v>6</v>
      </c>
      <c r="P382" s="106">
        <f>'G MTTS'!AI379</f>
        <v>5</v>
      </c>
      <c r="Q382" s="107">
        <f>'G MTTS'!AJ379</f>
        <v>13</v>
      </c>
      <c r="R382" s="46">
        <f t="shared" si="32"/>
        <v>0.608344907407407</v>
      </c>
      <c r="S382" s="47" t="str">
        <f t="shared" si="33"/>
        <v>MICRO</v>
      </c>
    </row>
    <row r="383" ht="29.25" customHeight="1" outlineLevel="1" spans="1:19">
      <c r="A383" s="29"/>
      <c r="B383" s="128">
        <f>'G MTTS'!B380</f>
        <v>0.625011574074074</v>
      </c>
      <c r="C383" s="129" t="str">
        <f>'G MTTS'!L380</f>
        <v>5 Seats SPT</v>
      </c>
      <c r="D383" s="120" t="str">
        <f>'G MTTS'!M380</f>
        <v>SAT</v>
      </c>
      <c r="E383" s="101" t="str">
        <f>'G MTTS'!N380</f>
        <v>NLH</v>
      </c>
      <c r="F383" s="102" t="str">
        <f>'G MTTS'!O380</f>
        <v>OFF</v>
      </c>
      <c r="G383" s="103">
        <f>IF('G MTTS'!Q380=0," ",'G MTTS'!Q380*$A$3)</f>
        <v>1000</v>
      </c>
      <c r="H383" s="104">
        <f>IF('G MTTS'!V380=0," ",'G MTTS'!V380*$A$3)</f>
        <v>10</v>
      </c>
      <c r="I383" s="104">
        <f>IF('G MTTS'!W380=0," ",'G MTTS'!W380*$A$3)</f>
        <v>10</v>
      </c>
      <c r="J383" s="104">
        <f>IF('G MTTS'!Z380=0," ",'G MTTS'!Z380*$A$3)</f>
        <v>15</v>
      </c>
      <c r="K383" s="105">
        <f>'G MTTS'!AF380</f>
        <v>30000</v>
      </c>
      <c r="L383" s="105">
        <f>'G MTTS'!X380</f>
        <v>0</v>
      </c>
      <c r="M383" s="105">
        <f>'G MTTS'!AA380</f>
        <v>50000</v>
      </c>
      <c r="N383" s="106">
        <f>'G MTTS'!AG380</f>
        <v>7</v>
      </c>
      <c r="O383" s="106">
        <f>'G MTTS'!AH380</f>
        <v>6</v>
      </c>
      <c r="P383" s="106">
        <f>'G MTTS'!AI380</f>
        <v>5</v>
      </c>
      <c r="Q383" s="107">
        <f>'G MTTS'!AJ380</f>
        <v>13</v>
      </c>
      <c r="R383" s="46">
        <f t="shared" si="32"/>
        <v>0.691678240740741</v>
      </c>
      <c r="S383" s="47" t="str">
        <f t="shared" si="33"/>
        <v>MICRO</v>
      </c>
    </row>
    <row r="384" ht="29.25" customHeight="1" outlineLevel="1" spans="1:19">
      <c r="A384" s="29"/>
      <c r="B384" s="128">
        <f>'G MTTS'!B381</f>
        <v>0.708344907407407</v>
      </c>
      <c r="C384" s="129" t="str">
        <f>'G MTTS'!L381</f>
        <v>5 Seats SPT</v>
      </c>
      <c r="D384" s="120" t="str">
        <f>'G MTTS'!M381</f>
        <v>SAT</v>
      </c>
      <c r="E384" s="101" t="str">
        <f>'G MTTS'!N381</f>
        <v>NLH</v>
      </c>
      <c r="F384" s="102" t="str">
        <f>'G MTTS'!O381</f>
        <v>OFF</v>
      </c>
      <c r="G384" s="103">
        <f>IF('G MTTS'!Q381=0," ",'G MTTS'!Q381*$A$3)</f>
        <v>1000</v>
      </c>
      <c r="H384" s="104">
        <f>IF('G MTTS'!V381=0," ",'G MTTS'!V381*$A$3)</f>
        <v>10</v>
      </c>
      <c r="I384" s="104">
        <f>IF('G MTTS'!W381=0," ",'G MTTS'!W381*$A$3)</f>
        <v>10</v>
      </c>
      <c r="J384" s="104">
        <f>IF('G MTTS'!Z381=0," ",'G MTTS'!Z381*$A$3)</f>
        <v>15</v>
      </c>
      <c r="K384" s="105">
        <f>'G MTTS'!AF381</f>
        <v>30000</v>
      </c>
      <c r="L384" s="105">
        <f>'G MTTS'!X381</f>
        <v>0</v>
      </c>
      <c r="M384" s="105">
        <f>'G MTTS'!AA381</f>
        <v>50000</v>
      </c>
      <c r="N384" s="106">
        <f>'G MTTS'!AG381</f>
        <v>7</v>
      </c>
      <c r="O384" s="106">
        <f>'G MTTS'!AH381</f>
        <v>6</v>
      </c>
      <c r="P384" s="106">
        <f>'G MTTS'!AI381</f>
        <v>5</v>
      </c>
      <c r="Q384" s="107">
        <f>'G MTTS'!AJ381</f>
        <v>13</v>
      </c>
      <c r="R384" s="46">
        <f t="shared" si="32"/>
        <v>0.775011574074074</v>
      </c>
      <c r="S384" s="47" t="str">
        <f t="shared" si="33"/>
        <v>MICRO</v>
      </c>
    </row>
    <row r="385" ht="29.25" customHeight="1" outlineLevel="1" spans="1:19">
      <c r="A385" s="29"/>
      <c r="B385" s="128">
        <f>'G MTTS'!B382</f>
        <v>0.791678240740741</v>
      </c>
      <c r="C385" s="129" t="str">
        <f>'G MTTS'!L382</f>
        <v>5 Seats SPT</v>
      </c>
      <c r="D385" s="120" t="str">
        <f>'G MTTS'!M382</f>
        <v>SAT</v>
      </c>
      <c r="E385" s="101" t="str">
        <f>'G MTTS'!N382</f>
        <v>NLH</v>
      </c>
      <c r="F385" s="102" t="str">
        <f>'G MTTS'!O382</f>
        <v>OFF</v>
      </c>
      <c r="G385" s="103">
        <f>IF('G MTTS'!Q382=0," ",'G MTTS'!Q382*$A$3)</f>
        <v>1000</v>
      </c>
      <c r="H385" s="104">
        <f>IF('G MTTS'!V382=0," ",'G MTTS'!V382*$A$3)</f>
        <v>10</v>
      </c>
      <c r="I385" s="104">
        <f>IF('G MTTS'!W382=0," ",'G MTTS'!W382*$A$3)</f>
        <v>10</v>
      </c>
      <c r="J385" s="104">
        <f>IF('G MTTS'!Z382=0," ",'G MTTS'!Z382*$A$3)</f>
        <v>15</v>
      </c>
      <c r="K385" s="105">
        <f>'G MTTS'!AF382</f>
        <v>30000</v>
      </c>
      <c r="L385" s="105">
        <f>'G MTTS'!X382</f>
        <v>0</v>
      </c>
      <c r="M385" s="105">
        <f>'G MTTS'!AA382</f>
        <v>50000</v>
      </c>
      <c r="N385" s="106">
        <f>'G MTTS'!AG382</f>
        <v>7</v>
      </c>
      <c r="O385" s="106">
        <f>'G MTTS'!AH382</f>
        <v>6</v>
      </c>
      <c r="P385" s="106">
        <f>'G MTTS'!AI382</f>
        <v>5</v>
      </c>
      <c r="Q385" s="107">
        <f>'G MTTS'!AJ382</f>
        <v>13</v>
      </c>
      <c r="R385" s="46">
        <f t="shared" si="32"/>
        <v>0.858344907407407</v>
      </c>
      <c r="S385" s="47" t="str">
        <f t="shared" si="33"/>
        <v>MICRO</v>
      </c>
    </row>
    <row r="386" ht="29.25" customHeight="1" outlineLevel="1" spans="1:19">
      <c r="A386" s="29"/>
      <c r="B386" s="128">
        <f>'G MTTS'!B383</f>
        <v>0.875011574074074</v>
      </c>
      <c r="C386" s="129" t="str">
        <f>'G MTTS'!L383</f>
        <v>Freebuy 10 Seats SPT</v>
      </c>
      <c r="D386" s="120" t="str">
        <f>'G MTTS'!M383</f>
        <v>SAT</v>
      </c>
      <c r="E386" s="101" t="str">
        <f>'G MTTS'!N383</f>
        <v>NLH</v>
      </c>
      <c r="F386" s="102" t="str">
        <f>'G MTTS'!O383</f>
        <v>OFF</v>
      </c>
      <c r="G386" s="103">
        <f>IF('G MTTS'!Q383=0," ",'G MTTS'!Q383*$A$3)</f>
        <v>2000</v>
      </c>
      <c r="H386" s="104" t="str">
        <f>IF('G MTTS'!V383=0," ",'G MTTS'!V383*$A$3)</f>
        <v> </v>
      </c>
      <c r="I386" s="104">
        <f>IF('G MTTS'!W383=0," ",'G MTTS'!W383*$A$3)</f>
        <v>5</v>
      </c>
      <c r="J386" s="104">
        <f>IF('G MTTS'!Z383=0," ",'G MTTS'!Z383*$A$3)</f>
        <v>15</v>
      </c>
      <c r="K386" s="105">
        <f>'G MTTS'!AF383</f>
        <v>30000</v>
      </c>
      <c r="L386" s="105">
        <f>'G MTTS'!X383</f>
        <v>0</v>
      </c>
      <c r="M386" s="105">
        <f>'G MTTS'!AA383</f>
        <v>50000</v>
      </c>
      <c r="N386" s="106">
        <f>'G MTTS'!AG383</f>
        <v>7</v>
      </c>
      <c r="O386" s="106">
        <f>'G MTTS'!AH383</f>
        <v>6</v>
      </c>
      <c r="P386" s="106">
        <f>'G MTTS'!AI383</f>
        <v>5</v>
      </c>
      <c r="Q386" s="107">
        <f>'G MTTS'!AJ383</f>
        <v>13</v>
      </c>
      <c r="R386" s="46">
        <f t="shared" si="32"/>
        <v>0.941678240740741</v>
      </c>
      <c r="S386" s="47" t="str">
        <f t="shared" si="33"/>
        <v>SUPER HIGH</v>
      </c>
    </row>
    <row r="387" ht="29.25" customHeight="1" outlineLevel="1" spans="1:19">
      <c r="A387" s="124"/>
      <c r="B387" s="125">
        <f>'G MTTS'!B384</f>
        <v>0.958344907407407</v>
      </c>
      <c r="C387" s="126" t="str">
        <f>'G MTTS'!L384</f>
        <v>2 Seats SPT</v>
      </c>
      <c r="D387" s="120" t="str">
        <f>'G MTTS'!M384</f>
        <v>SAT</v>
      </c>
      <c r="E387" s="101" t="str">
        <f>'G MTTS'!N384</f>
        <v>NLH</v>
      </c>
      <c r="F387" s="102" t="str">
        <f>'G MTTS'!O384</f>
        <v>OFF</v>
      </c>
      <c r="G387" s="103">
        <f>IF('G MTTS'!Q384=0," ",'G MTTS'!Q384*$A$3)</f>
        <v>400</v>
      </c>
      <c r="H387" s="104">
        <f>IF('G MTTS'!V384=0," ",'G MTTS'!V384*$A$3)</f>
        <v>3</v>
      </c>
      <c r="I387" s="104">
        <f>IF('G MTTS'!W384=0," ",'G MTTS'!W384*$A$3)</f>
        <v>5</v>
      </c>
      <c r="J387" s="104">
        <f>IF('G MTTS'!Z384=0," ",'G MTTS'!Z384*$A$3)</f>
        <v>10</v>
      </c>
      <c r="K387" s="105">
        <f>'G MTTS'!AF384</f>
        <v>30000</v>
      </c>
      <c r="L387" s="105">
        <f>'G MTTS'!X384</f>
        <v>0</v>
      </c>
      <c r="M387" s="105">
        <f>'G MTTS'!AA384</f>
        <v>50000</v>
      </c>
      <c r="N387" s="106">
        <f>'G MTTS'!AG384</f>
        <v>6</v>
      </c>
      <c r="O387" s="106">
        <f>'G MTTS'!AH384</f>
        <v>5</v>
      </c>
      <c r="P387" s="106">
        <f>'G MTTS'!AI384</f>
        <v>5</v>
      </c>
      <c r="Q387" s="107">
        <f>'G MTTS'!AJ384</f>
        <v>13</v>
      </c>
      <c r="R387" s="46">
        <f t="shared" si="32"/>
        <v>1.0159837962963</v>
      </c>
      <c r="S387" s="47" t="str">
        <f t="shared" si="33"/>
        <v>MICRO</v>
      </c>
    </row>
    <row r="388" ht="29.25" customHeight="1" outlineLevel="1" spans="1:19">
      <c r="A388" s="135"/>
      <c r="B388" s="109"/>
      <c r="C388" s="110"/>
      <c r="D388" s="111"/>
      <c r="E388" s="112"/>
      <c r="F388" s="113"/>
      <c r="G388" s="114"/>
      <c r="H388" s="115"/>
      <c r="I388" s="115"/>
      <c r="J388" s="115"/>
      <c r="K388" s="116"/>
      <c r="L388" s="116"/>
      <c r="M388" s="116"/>
      <c r="N388" s="117"/>
      <c r="O388" s="117"/>
      <c r="P388" s="117"/>
      <c r="Q388" s="118"/>
      <c r="R388" s="46"/>
      <c r="S388" s="47"/>
    </row>
    <row r="389" ht="29.25" customHeight="1" outlineLevel="1" spans="1:19">
      <c r="A389" s="121" t="str">
        <f>'G MTTS'!J386</f>
        <v>30 Seats Supremo</v>
      </c>
      <c r="B389" s="122">
        <f>'G MTTS'!B386</f>
        <v>0.500011574074074</v>
      </c>
      <c r="C389" s="123" t="str">
        <f>'G MTTS'!L386</f>
        <v>Step 76-M Supremo</v>
      </c>
      <c r="D389" s="120" t="str">
        <f>'G MTTS'!M386</f>
        <v>SAT</v>
      </c>
      <c r="E389" s="101" t="str">
        <f>'G MTTS'!N386</f>
        <v>NLH</v>
      </c>
      <c r="F389" s="102" t="str">
        <f>'G MTTS'!O386</f>
        <v>OFF</v>
      </c>
      <c r="G389" s="103">
        <f>IF('G MTTS'!Q386=0," ",'G MTTS'!Q386*$A$3)</f>
        <v>300</v>
      </c>
      <c r="H389" s="104">
        <f>IF('G MTTS'!V386=0," ",'G MTTS'!V386*$A$3)</f>
        <v>3</v>
      </c>
      <c r="I389" s="104">
        <f>IF('G MTTS'!W386=0," ",'G MTTS'!W386*$A$3)</f>
        <v>5</v>
      </c>
      <c r="J389" s="104">
        <f>IF('G MTTS'!Z386=0," ",'G MTTS'!Z386*$A$3)</f>
        <v>5</v>
      </c>
      <c r="K389" s="105">
        <f>'G MTTS'!AF386</f>
        <v>20000</v>
      </c>
      <c r="L389" s="105">
        <f>'G MTTS'!X386</f>
        <v>25000</v>
      </c>
      <c r="M389" s="105">
        <f>'G MTTS'!AA386</f>
        <v>40000</v>
      </c>
      <c r="N389" s="106">
        <f>'G MTTS'!AG386</f>
        <v>7</v>
      </c>
      <c r="O389" s="106">
        <f>'G MTTS'!AH386</f>
        <v>6</v>
      </c>
      <c r="P389" s="106">
        <f>'G MTTS'!AI386</f>
        <v>5</v>
      </c>
      <c r="Q389" s="107">
        <f>'G MTTS'!AJ386</f>
        <v>13</v>
      </c>
      <c r="R389" s="46">
        <f t="shared" ref="R389:R394" si="34">IF(B389=0," ",TIME(,ROUNDDOWN(N389*Q389/60,0)*5+(N389*Q389),)+B389)</f>
        <v>0.566678240740741</v>
      </c>
      <c r="S389" s="47" t="str">
        <f t="shared" ref="S389:S394" si="35">IFERROR(IF(H389=0," ",IF(H389&lt;=25,"MICRO",IF(H389&lt;=99,"LOW",IF(H389&lt;=499,"MEDIUM",IF(H389&lt;=2500,"HIGH",IF(H389&gt;2500,"SUPER HIGH",)))))),"")</f>
        <v>MICRO</v>
      </c>
    </row>
    <row r="390" ht="29.25" customHeight="1" outlineLevel="1" spans="1:19">
      <c r="A390" s="29"/>
      <c r="B390" s="128">
        <f>'G MTTS'!B387</f>
        <v>0.583344907407407</v>
      </c>
      <c r="C390" s="129" t="str">
        <f>'G MTTS'!L387</f>
        <v>Step 76-M Supremo</v>
      </c>
      <c r="D390" s="120" t="str">
        <f>'G MTTS'!M387</f>
        <v>SAT</v>
      </c>
      <c r="E390" s="101" t="str">
        <f>'G MTTS'!N387</f>
        <v>NLH</v>
      </c>
      <c r="F390" s="102" t="str">
        <f>'G MTTS'!O387</f>
        <v>OFF</v>
      </c>
      <c r="G390" s="103">
        <f>IF('G MTTS'!Q387=0," ",'G MTTS'!Q387*$A$3)</f>
        <v>300</v>
      </c>
      <c r="H390" s="104">
        <f>IF('G MTTS'!V387=0," ",'G MTTS'!V387*$A$3)</f>
        <v>3</v>
      </c>
      <c r="I390" s="104">
        <f>IF('G MTTS'!W387=0," ",'G MTTS'!W387*$A$3)</f>
        <v>5</v>
      </c>
      <c r="J390" s="104">
        <f>IF('G MTTS'!Z387=0," ",'G MTTS'!Z387*$A$3)</f>
        <v>5</v>
      </c>
      <c r="K390" s="105">
        <f>'G MTTS'!AF387</f>
        <v>20000</v>
      </c>
      <c r="L390" s="105">
        <f>'G MTTS'!X387</f>
        <v>25000</v>
      </c>
      <c r="M390" s="105">
        <f>'G MTTS'!AA387</f>
        <v>40000</v>
      </c>
      <c r="N390" s="106">
        <f>'G MTTS'!AG387</f>
        <v>7</v>
      </c>
      <c r="O390" s="106">
        <f>'G MTTS'!AH387</f>
        <v>6</v>
      </c>
      <c r="P390" s="106">
        <f>'G MTTS'!AI387</f>
        <v>5</v>
      </c>
      <c r="Q390" s="107">
        <f>'G MTTS'!AJ387</f>
        <v>13</v>
      </c>
      <c r="R390" s="46">
        <f t="shared" si="34"/>
        <v>0.650011574074074</v>
      </c>
      <c r="S390" s="47" t="str">
        <f t="shared" si="35"/>
        <v>MICRO</v>
      </c>
    </row>
    <row r="391" ht="29.25" customHeight="1" outlineLevel="1" spans="1:19">
      <c r="A391" s="29"/>
      <c r="B391" s="128">
        <f>'G MTTS'!B388</f>
        <v>0.666678240740741</v>
      </c>
      <c r="C391" s="129" t="str">
        <f>'G MTTS'!L388</f>
        <v>Step 76-M Supremo</v>
      </c>
      <c r="D391" s="120" t="str">
        <f>'G MTTS'!M388</f>
        <v>SAT</v>
      </c>
      <c r="E391" s="101" t="str">
        <f>'G MTTS'!N388</f>
        <v>NLH</v>
      </c>
      <c r="F391" s="102" t="str">
        <f>'G MTTS'!O388</f>
        <v>OFF</v>
      </c>
      <c r="G391" s="103">
        <f>IF('G MTTS'!Q388=0," ",'G MTTS'!Q388*$A$3)</f>
        <v>300</v>
      </c>
      <c r="H391" s="104">
        <f>IF('G MTTS'!V388=0," ",'G MTTS'!V388*$A$3)</f>
        <v>3</v>
      </c>
      <c r="I391" s="104">
        <f>IF('G MTTS'!W388=0," ",'G MTTS'!W388*$A$3)</f>
        <v>5</v>
      </c>
      <c r="J391" s="104">
        <f>IF('G MTTS'!Z388=0," ",'G MTTS'!Z388*$A$3)</f>
        <v>5</v>
      </c>
      <c r="K391" s="105">
        <f>'G MTTS'!AF388</f>
        <v>20000</v>
      </c>
      <c r="L391" s="105">
        <f>'G MTTS'!X388</f>
        <v>25000</v>
      </c>
      <c r="M391" s="105">
        <f>'G MTTS'!AA388</f>
        <v>40000</v>
      </c>
      <c r="N391" s="106">
        <f>'G MTTS'!AG388</f>
        <v>7</v>
      </c>
      <c r="O391" s="106">
        <f>'G MTTS'!AH388</f>
        <v>6</v>
      </c>
      <c r="P391" s="106">
        <f>'G MTTS'!AI388</f>
        <v>5</v>
      </c>
      <c r="Q391" s="107">
        <f>'G MTTS'!AJ388</f>
        <v>13</v>
      </c>
      <c r="R391" s="46">
        <f t="shared" si="34"/>
        <v>0.733344907407407</v>
      </c>
      <c r="S391" s="47" t="str">
        <f t="shared" si="35"/>
        <v>MICRO</v>
      </c>
    </row>
    <row r="392" ht="29.25" customHeight="1" outlineLevel="1" spans="1:19">
      <c r="A392" s="29"/>
      <c r="B392" s="128">
        <f>'G MTTS'!B389</f>
        <v>0.750011574074074</v>
      </c>
      <c r="C392" s="129" t="str">
        <f>'G MTTS'!L389</f>
        <v>Step 76-M Supremo</v>
      </c>
      <c r="D392" s="120" t="str">
        <f>'G MTTS'!M389</f>
        <v>SAT</v>
      </c>
      <c r="E392" s="101" t="str">
        <f>'G MTTS'!N389</f>
        <v>NLH</v>
      </c>
      <c r="F392" s="102" t="str">
        <f>'G MTTS'!O389</f>
        <v>OFF</v>
      </c>
      <c r="G392" s="103">
        <f>IF('G MTTS'!Q389=0," ",'G MTTS'!Q389*$A$3)</f>
        <v>300</v>
      </c>
      <c r="H392" s="104">
        <f>IF('G MTTS'!V389=0," ",'G MTTS'!V389*$A$3)</f>
        <v>3</v>
      </c>
      <c r="I392" s="104">
        <f>IF('G MTTS'!W389=0," ",'G MTTS'!W389*$A$3)</f>
        <v>5</v>
      </c>
      <c r="J392" s="104">
        <f>IF('G MTTS'!Z389=0," ",'G MTTS'!Z389*$A$3)</f>
        <v>5</v>
      </c>
      <c r="K392" s="105">
        <f>'G MTTS'!AF389</f>
        <v>20000</v>
      </c>
      <c r="L392" s="105">
        <f>'G MTTS'!X389</f>
        <v>25000</v>
      </c>
      <c r="M392" s="105">
        <f>'G MTTS'!AA389</f>
        <v>40000</v>
      </c>
      <c r="N392" s="106">
        <f>'G MTTS'!AG389</f>
        <v>7</v>
      </c>
      <c r="O392" s="106">
        <f>'G MTTS'!AH389</f>
        <v>6</v>
      </c>
      <c r="P392" s="106">
        <f>'G MTTS'!AI389</f>
        <v>5</v>
      </c>
      <c r="Q392" s="107">
        <f>'G MTTS'!AJ389</f>
        <v>13</v>
      </c>
      <c r="R392" s="46">
        <f t="shared" si="34"/>
        <v>0.816678240740741</v>
      </c>
      <c r="S392" s="47" t="str">
        <f t="shared" si="35"/>
        <v>MICRO</v>
      </c>
    </row>
    <row r="393" ht="29.25" customHeight="1" outlineLevel="1" spans="1:19">
      <c r="A393" s="29"/>
      <c r="B393" s="128">
        <f>'G MTTS'!B390</f>
        <v>0.833344907407407</v>
      </c>
      <c r="C393" s="129" t="str">
        <f>'G MTTS'!L390</f>
        <v>Step 76-M Supremo</v>
      </c>
      <c r="D393" s="120" t="str">
        <f>'G MTTS'!M390</f>
        <v>SAT</v>
      </c>
      <c r="E393" s="101" t="str">
        <f>'G MTTS'!N390</f>
        <v>NLH</v>
      </c>
      <c r="F393" s="102" t="str">
        <f>'G MTTS'!O390</f>
        <v>OFF</v>
      </c>
      <c r="G393" s="103">
        <f>IF('G MTTS'!Q390=0," ",'G MTTS'!Q390*$A$3)</f>
        <v>300</v>
      </c>
      <c r="H393" s="104">
        <f>IF('G MTTS'!V390=0," ",'G MTTS'!V390*$A$3)</f>
        <v>3</v>
      </c>
      <c r="I393" s="104">
        <f>IF('G MTTS'!W390=0," ",'G MTTS'!W390*$A$3)</f>
        <v>5</v>
      </c>
      <c r="J393" s="104">
        <f>IF('G MTTS'!Z390=0," ",'G MTTS'!Z390*$A$3)</f>
        <v>5</v>
      </c>
      <c r="K393" s="105">
        <f>'G MTTS'!AF390</f>
        <v>20000</v>
      </c>
      <c r="L393" s="105">
        <f>'G MTTS'!X390</f>
        <v>25000</v>
      </c>
      <c r="M393" s="105">
        <f>'G MTTS'!AA390</f>
        <v>40000</v>
      </c>
      <c r="N393" s="106">
        <f>'G MTTS'!AG390</f>
        <v>7</v>
      </c>
      <c r="O393" s="106">
        <f>'G MTTS'!AH390</f>
        <v>6</v>
      </c>
      <c r="P393" s="106">
        <f>'G MTTS'!AI390</f>
        <v>5</v>
      </c>
      <c r="Q393" s="107">
        <f>'G MTTS'!AJ390</f>
        <v>13</v>
      </c>
      <c r="R393" s="46">
        <f t="shared" si="34"/>
        <v>0.900011574074074</v>
      </c>
      <c r="S393" s="47" t="str">
        <f t="shared" si="35"/>
        <v>MICRO</v>
      </c>
    </row>
    <row r="394" ht="29.25" customHeight="1" outlineLevel="1" spans="1:19">
      <c r="A394" s="124"/>
      <c r="B394" s="125">
        <f>'G MTTS'!B391</f>
        <v>0.916678240740741</v>
      </c>
      <c r="C394" s="126" t="str">
        <f>'G MTTS'!L391</f>
        <v>Step 76-M Supremo</v>
      </c>
      <c r="D394" s="120" t="str">
        <f>'G MTTS'!M391</f>
        <v>SAT</v>
      </c>
      <c r="E394" s="101" t="str">
        <f>'G MTTS'!N391</f>
        <v>NLH</v>
      </c>
      <c r="F394" s="102" t="str">
        <f>'G MTTS'!O391</f>
        <v>OFF</v>
      </c>
      <c r="G394" s="103">
        <f>IF('G MTTS'!Q391=0," ",'G MTTS'!Q391*$A$3)</f>
        <v>300</v>
      </c>
      <c r="H394" s="104">
        <f>IF('G MTTS'!V391=0," ",'G MTTS'!V391*$A$3)</f>
        <v>3</v>
      </c>
      <c r="I394" s="104">
        <f>IF('G MTTS'!W391=0," ",'G MTTS'!W391*$A$3)</f>
        <v>5</v>
      </c>
      <c r="J394" s="104">
        <f>IF('G MTTS'!Z391=0," ",'G MTTS'!Z391*$A$3)</f>
        <v>5</v>
      </c>
      <c r="K394" s="105">
        <f>'G MTTS'!AF391</f>
        <v>20000</v>
      </c>
      <c r="L394" s="105">
        <f>'G MTTS'!X391</f>
        <v>25000</v>
      </c>
      <c r="M394" s="105">
        <f>'G MTTS'!AA391</f>
        <v>40000</v>
      </c>
      <c r="N394" s="106">
        <f>'G MTTS'!AG391</f>
        <v>7</v>
      </c>
      <c r="O394" s="106">
        <f>'G MTTS'!AH391</f>
        <v>6</v>
      </c>
      <c r="P394" s="106">
        <f>'G MTTS'!AI391</f>
        <v>5</v>
      </c>
      <c r="Q394" s="107">
        <f>'G MTTS'!AJ391</f>
        <v>13</v>
      </c>
      <c r="R394" s="46">
        <f t="shared" si="34"/>
        <v>0.983344907407407</v>
      </c>
      <c r="S394" s="47" t="str">
        <f t="shared" si="35"/>
        <v>MICRO</v>
      </c>
    </row>
    <row r="395" ht="29.25" customHeight="1" outlineLevel="1" spans="1:19">
      <c r="A395" s="135"/>
      <c r="B395" s="109"/>
      <c r="C395" s="110"/>
      <c r="D395" s="111"/>
      <c r="E395" s="112"/>
      <c r="F395" s="113"/>
      <c r="G395" s="114"/>
      <c r="H395" s="115"/>
      <c r="I395" s="115"/>
      <c r="J395" s="115"/>
      <c r="K395" s="116"/>
      <c r="L395" s="116"/>
      <c r="M395" s="116"/>
      <c r="N395" s="117"/>
      <c r="O395" s="117"/>
      <c r="P395" s="117"/>
      <c r="Q395" s="118"/>
      <c r="R395" s="46"/>
      <c r="S395" s="47"/>
    </row>
    <row r="396" ht="21.75" customHeight="1" spans="1:19">
      <c r="A396" s="33" t="s">
        <v>520</v>
      </c>
      <c r="B396" s="15"/>
      <c r="C396" s="33" t="s">
        <v>520</v>
      </c>
      <c r="G396" s="15"/>
      <c r="H396" s="35" t="s">
        <v>520</v>
      </c>
      <c r="Q396" s="15"/>
      <c r="R396" s="33"/>
      <c r="S396" s="47"/>
    </row>
    <row r="397" ht="29.25" customHeight="1" outlineLevel="1" spans="1:19">
      <c r="A397" s="33" t="s">
        <v>520</v>
      </c>
      <c r="B397" s="36">
        <f>'G MTTS'!B394</f>
        <v>0.583344907407407</v>
      </c>
      <c r="C397" s="37" t="str">
        <f>'G MTTS'!J394</f>
        <v>#AS 20K WarmUp</v>
      </c>
      <c r="D397" s="38" t="str">
        <f>'G MTTS'!M394</f>
        <v>Main Event</v>
      </c>
      <c r="E397" s="39" t="str">
        <f>'G MTTS'!N394</f>
        <v>NLH</v>
      </c>
      <c r="F397" s="40" t="str">
        <f>'G MTTS'!O394</f>
        <v>Progressive KO 1/3</v>
      </c>
      <c r="G397" s="41">
        <f>IF('G MTTS'!Q394=0," ",'G MTTS'!Q394*$A$3)</f>
        <v>20000</v>
      </c>
      <c r="H397" s="42">
        <f>IF('G MTTS'!V394=0," ",'G MTTS'!V394*$A$3)</f>
        <v>110</v>
      </c>
      <c r="I397" s="42">
        <f>IF('G MTTS'!W394=0," ",'G MTTS'!W394*$A$3)</f>
        <v>110</v>
      </c>
      <c r="J397" s="42" t="str">
        <f>IF('G MTTS'!Z394=0," ",'G MTTS'!Z394*$A$3)</f>
        <v> </v>
      </c>
      <c r="K397" s="43">
        <f>'G MTTS'!AF394</f>
        <v>50000</v>
      </c>
      <c r="L397" s="43">
        <f>'G MTTS'!X394</f>
        <v>0</v>
      </c>
      <c r="M397" s="43" t="str">
        <f>'G MTTS'!AA394</f>
        <v>REENTRY</v>
      </c>
      <c r="N397" s="44">
        <f>'G MTTS'!AG394</f>
        <v>12</v>
      </c>
      <c r="O397" s="44">
        <f>'G MTTS'!AH394</f>
        <v>10</v>
      </c>
      <c r="P397" s="44">
        <f>'G MTTS'!AI394</f>
        <v>10</v>
      </c>
      <c r="Q397" s="45">
        <f>'G MTTS'!AJ394</f>
        <v>15</v>
      </c>
      <c r="R397" s="46">
        <f t="shared" ref="R397:R483" si="36">IF(B397=0," ",TIME(,ROUNDDOWN(N397*Q397/60,0)*5+(N397*Q397),)+B397)</f>
        <v>0.718761574074074</v>
      </c>
      <c r="S397" s="47" t="str">
        <f t="shared" ref="S397:S406" si="37">IFERROR(IF(H397=0," ",IF(H397&lt;=25,"MICRO",IF(H397&lt;=99,"LOW",IF(H397&lt;=499,"MEDIUM",IF(H397&lt;=2500,"HIGH",IF(H397&gt;2500,"SUPER HIGH",)))))),"")</f>
        <v>MEDIUM</v>
      </c>
    </row>
    <row r="398" ht="29.25" customHeight="1" outlineLevel="1" spans="1:19">
      <c r="A398" s="33" t="s">
        <v>71</v>
      </c>
      <c r="B398" s="36">
        <f>'G MTTS'!B395</f>
        <v>0.666678240740741</v>
      </c>
      <c r="C398" s="48" t="str">
        <f>'G MTTS'!J395</f>
        <v>#AS 35K Plus HR</v>
      </c>
      <c r="D398" s="49" t="str">
        <f>'G MTTS'!M395</f>
        <v>Main Event</v>
      </c>
      <c r="E398" s="50" t="str">
        <f>'G MTTS'!N395</f>
        <v>NLH</v>
      </c>
      <c r="F398" s="51" t="str">
        <f>'G MTTS'!O395</f>
        <v>OFF</v>
      </c>
      <c r="G398" s="52">
        <f>IF('G MTTS'!Q395=0," ",'G MTTS'!Q395*$A$3)</f>
        <v>36000</v>
      </c>
      <c r="H398" s="53">
        <f>IF('G MTTS'!V395=0," ",'G MTTS'!V395*$A$3)</f>
        <v>75</v>
      </c>
      <c r="I398" s="53">
        <f>IF('G MTTS'!W395=0," ",'G MTTS'!W395*$A$3)</f>
        <v>75</v>
      </c>
      <c r="J398" s="53">
        <f>IF('G MTTS'!Z395=0," ",'G MTTS'!Z395*$A$3)</f>
        <v>75</v>
      </c>
      <c r="K398" s="54">
        <f>'G MTTS'!AF395</f>
        <v>40000</v>
      </c>
      <c r="L398" s="54">
        <f>'G MTTS'!X395</f>
        <v>0</v>
      </c>
      <c r="M398" s="54">
        <f>'G MTTS'!AA395</f>
        <v>80000</v>
      </c>
      <c r="N398" s="55">
        <f>'G MTTS'!AG395</f>
        <v>10</v>
      </c>
      <c r="O398" s="55">
        <f>'G MTTS'!AH395</f>
        <v>10</v>
      </c>
      <c r="P398" s="55">
        <f>'G MTTS'!AI395</f>
        <v>10</v>
      </c>
      <c r="Q398" s="56">
        <f>'G MTTS'!AJ395</f>
        <v>15</v>
      </c>
      <c r="R398" s="46">
        <f t="shared" si="36"/>
        <v>0.777789351851852</v>
      </c>
      <c r="S398" s="47" t="str">
        <f t="shared" si="37"/>
        <v>LOW</v>
      </c>
    </row>
    <row r="399" ht="29.25" customHeight="1" outlineLevel="1" spans="1:19">
      <c r="A399" s="33">
        <f>COUNTIF(D397:D483,"Side event")</f>
        <v>76</v>
      </c>
      <c r="B399" s="36">
        <f>'G MTTS'!B396</f>
        <v>0.750011574074074</v>
      </c>
      <c r="C399" s="37" t="str">
        <f>'G MTTS'!J396</f>
        <v>#AS 50K Plus+SPT</v>
      </c>
      <c r="D399" s="38" t="str">
        <f>'G MTTS'!M396</f>
        <v>Main Event</v>
      </c>
      <c r="E399" s="39" t="str">
        <f>'G MTTS'!N396</f>
        <v>NLH</v>
      </c>
      <c r="F399" s="40" t="str">
        <f>'G MTTS'!O396</f>
        <v>OFF</v>
      </c>
      <c r="G399" s="41">
        <f>IF('G MTTS'!Q396=0," ",'G MTTS'!Q396*$A$3)</f>
        <v>58500</v>
      </c>
      <c r="H399" s="42">
        <f>IF('G MTTS'!V396=0," ",'G MTTS'!V396*$A$3)</f>
        <v>15</v>
      </c>
      <c r="I399" s="42">
        <f>IF('G MTTS'!W396=0," ",'G MTTS'!W396*$A$3)</f>
        <v>15</v>
      </c>
      <c r="J399" s="42">
        <f>IF('G MTTS'!Z396=0," ",'G MTTS'!Z396*$A$3)</f>
        <v>20</v>
      </c>
      <c r="K399" s="43">
        <f>'G MTTS'!AF396</f>
        <v>50000</v>
      </c>
      <c r="L399" s="43">
        <f>'G MTTS'!X396</f>
        <v>0</v>
      </c>
      <c r="M399" s="43">
        <f>'G MTTS'!AA396</f>
        <v>250000</v>
      </c>
      <c r="N399" s="44">
        <f>'G MTTS'!AG396</f>
        <v>10</v>
      </c>
      <c r="O399" s="44">
        <f>'G MTTS'!AH396</f>
        <v>10</v>
      </c>
      <c r="P399" s="44">
        <f>'G MTTS'!AI396</f>
        <v>10</v>
      </c>
      <c r="Q399" s="45">
        <f>'G MTTS'!AJ396</f>
        <v>15</v>
      </c>
      <c r="R399" s="46">
        <f t="shared" si="36"/>
        <v>0.861122685185185</v>
      </c>
      <c r="S399" s="47" t="str">
        <f t="shared" si="37"/>
        <v>MICRO</v>
      </c>
    </row>
    <row r="400" ht="29.25" customHeight="1" outlineLevel="1" spans="1:19">
      <c r="A400" s="33" t="s">
        <v>56</v>
      </c>
      <c r="B400" s="36">
        <f>'G MTTS'!B397</f>
        <v>0.750011574074074</v>
      </c>
      <c r="C400" s="48" t="str">
        <f>'G MTTS'!J397</f>
        <v>#AS 50K Battle+SPS</v>
      </c>
      <c r="D400" s="49" t="str">
        <f>'G MTTS'!M397</f>
        <v>Main Event</v>
      </c>
      <c r="E400" s="50" t="str">
        <f>'G MTTS'!N397</f>
        <v>NLH</v>
      </c>
      <c r="F400" s="51" t="str">
        <f>'G MTTS'!O397</f>
        <v>Progressive KO 1/3</v>
      </c>
      <c r="G400" s="52">
        <f>IF('G MTTS'!Q397=0," ",'G MTTS'!Q397*$A$3)</f>
        <v>51000</v>
      </c>
      <c r="H400" s="53">
        <f>IF('G MTTS'!V397=0," ",'G MTTS'!V397*$A$3)</f>
        <v>55</v>
      </c>
      <c r="I400" s="53">
        <f>IF('G MTTS'!W397=0," ",'G MTTS'!W397*$A$3)</f>
        <v>55</v>
      </c>
      <c r="J400" s="53" t="str">
        <f>IF('G MTTS'!Z397=0," ",'G MTTS'!Z397*$A$3)</f>
        <v> </v>
      </c>
      <c r="K400" s="54">
        <f>'G MTTS'!AF397</f>
        <v>50000</v>
      </c>
      <c r="L400" s="54">
        <f>'G MTTS'!X397</f>
        <v>0</v>
      </c>
      <c r="M400" s="54" t="str">
        <f>'G MTTS'!AA397</f>
        <v>REENTRY</v>
      </c>
      <c r="N400" s="55">
        <f>'G MTTS'!AG397</f>
        <v>12</v>
      </c>
      <c r="O400" s="55">
        <f>'G MTTS'!AH397</f>
        <v>10</v>
      </c>
      <c r="P400" s="55">
        <f>'G MTTS'!AI397</f>
        <v>10</v>
      </c>
      <c r="Q400" s="56">
        <f>'G MTTS'!AJ397</f>
        <v>15</v>
      </c>
      <c r="R400" s="46">
        <f t="shared" si="36"/>
        <v>0.885428240740741</v>
      </c>
      <c r="S400" s="47" t="str">
        <f t="shared" si="37"/>
        <v>LOW</v>
      </c>
    </row>
    <row r="401" ht="29.25" customHeight="1" outlineLevel="1" spans="1:19">
      <c r="A401" s="33">
        <f>COUNTIF(D397:D483,"Main Event")</f>
        <v>9</v>
      </c>
      <c r="B401" s="61">
        <f>'G MTTS'!B398</f>
        <v>0.750011574074074</v>
      </c>
      <c r="C401" s="37" t="str">
        <f>'G MTTS'!J398</f>
        <v>#AS 75K Mystery HR</v>
      </c>
      <c r="D401" s="38" t="str">
        <f>'G MTTS'!M398</f>
        <v>Main Event</v>
      </c>
      <c r="E401" s="39" t="str">
        <f>'G MTTS'!N398</f>
        <v>NLH</v>
      </c>
      <c r="F401" s="40" t="str">
        <f>'G MTTS'!O398</f>
        <v>Mystery Bounty 1/3</v>
      </c>
      <c r="G401" s="41">
        <f>IF('G MTTS'!Q398=0," ",'G MTTS'!Q398*$A$3)</f>
        <v>75000</v>
      </c>
      <c r="H401" s="42">
        <f>IF('G MTTS'!V398=0," ",'G MTTS'!V398*$A$3)</f>
        <v>550</v>
      </c>
      <c r="I401" s="42">
        <f>IF('G MTTS'!W398=0," ",'G MTTS'!W398*$A$3)</f>
        <v>550</v>
      </c>
      <c r="J401" s="42" t="str">
        <f>IF('G MTTS'!Z398=0," ",'G MTTS'!Z398*$A$3)</f>
        <v> </v>
      </c>
      <c r="K401" s="43">
        <f>'G MTTS'!AF398</f>
        <v>50000</v>
      </c>
      <c r="L401" s="43">
        <f>'G MTTS'!X398</f>
        <v>0</v>
      </c>
      <c r="M401" s="43" t="str">
        <f>'G MTTS'!AA398</f>
        <v>REENTRY</v>
      </c>
      <c r="N401" s="44">
        <f>'G MTTS'!AG398</f>
        <v>12</v>
      </c>
      <c r="O401" s="44">
        <f>'G MTTS'!AH398</f>
        <v>12</v>
      </c>
      <c r="P401" s="44">
        <f>'G MTTS'!AI398</f>
        <v>10</v>
      </c>
      <c r="Q401" s="45">
        <f>'G MTTS'!AJ398</f>
        <v>15</v>
      </c>
      <c r="R401" s="46">
        <f t="shared" si="36"/>
        <v>0.885428240740741</v>
      </c>
      <c r="S401" s="47" t="str">
        <f t="shared" si="37"/>
        <v>HIGH</v>
      </c>
    </row>
    <row r="402" ht="29.25" customHeight="1" outlineLevel="1" spans="1:19">
      <c r="A402" s="57" t="s">
        <v>89</v>
      </c>
      <c r="B402" s="61">
        <f>'G MTTS'!B399</f>
        <v>0.791678240740741</v>
      </c>
      <c r="C402" s="48" t="str">
        <f>'G MTTS'!J399</f>
        <v>#AS 200K Battle HR+SPS</v>
      </c>
      <c r="D402" s="49" t="str">
        <f>'G MTTS'!M399</f>
        <v>Main Event</v>
      </c>
      <c r="E402" s="50" t="str">
        <f>'G MTTS'!N399</f>
        <v>NLH</v>
      </c>
      <c r="F402" s="51" t="str">
        <f>'G MTTS'!O399</f>
        <v>Progressive KO 1/2</v>
      </c>
      <c r="G402" s="52">
        <f>IF('G MTTS'!Q399=0," ",'G MTTS'!Q399*$A$3)</f>
        <v>201500</v>
      </c>
      <c r="H402" s="53">
        <f>IF('G MTTS'!V399=0," ",'G MTTS'!V399*$A$3)</f>
        <v>200</v>
      </c>
      <c r="I402" s="53">
        <f>IF('G MTTS'!W399=0," ",'G MTTS'!W399*$A$3)</f>
        <v>200</v>
      </c>
      <c r="J402" s="53" t="str">
        <f>IF('G MTTS'!Z399=0," ",'G MTTS'!Z399*$A$3)</f>
        <v> </v>
      </c>
      <c r="K402" s="54">
        <f>'G MTTS'!AF399</f>
        <v>50000</v>
      </c>
      <c r="L402" s="54">
        <f>'G MTTS'!X399</f>
        <v>60000</v>
      </c>
      <c r="M402" s="54" t="str">
        <f>'G MTTS'!AA399</f>
        <v>REENTRY</v>
      </c>
      <c r="N402" s="55">
        <f>'G MTTS'!AG399</f>
        <v>12</v>
      </c>
      <c r="O402" s="55">
        <f>'G MTTS'!AH399</f>
        <v>12</v>
      </c>
      <c r="P402" s="55">
        <f>'G MTTS'!AI399</f>
        <v>12</v>
      </c>
      <c r="Q402" s="56">
        <f>'G MTTS'!AJ399</f>
        <v>15</v>
      </c>
      <c r="R402" s="46">
        <f t="shared" si="36"/>
        <v>0.927094907407407</v>
      </c>
      <c r="S402" s="47" t="str">
        <f t="shared" si="37"/>
        <v>MEDIUM</v>
      </c>
    </row>
    <row r="403" ht="29.25" customHeight="1" outlineLevel="1" spans="1:19">
      <c r="A403" s="58">
        <f>SUM(G397:G483,G486:G544)</f>
        <v>1011525</v>
      </c>
      <c r="B403" s="61">
        <f>'G MTTS'!B400</f>
        <v>0.791678240740741</v>
      </c>
      <c r="C403" s="37" t="str">
        <f>'G MTTS'!J400</f>
        <v>#AS 25K OmaX PKO</v>
      </c>
      <c r="D403" s="38" t="str">
        <f>'G MTTS'!M400</f>
        <v>Main Event</v>
      </c>
      <c r="E403" s="39" t="str">
        <f>'G MTTS'!N400</f>
        <v>PLO5</v>
      </c>
      <c r="F403" s="40" t="str">
        <f>'G MTTS'!O400</f>
        <v>Progressive KO 1/2</v>
      </c>
      <c r="G403" s="41">
        <f>IF('G MTTS'!Q400=0," ",'G MTTS'!Q400*$A$3)</f>
        <v>25000</v>
      </c>
      <c r="H403" s="42">
        <f>IF('G MTTS'!V400=0," ",'G MTTS'!V400*$A$3)</f>
        <v>75</v>
      </c>
      <c r="I403" s="42">
        <f>IF('G MTTS'!W400=0," ",'G MTTS'!W400*$A$3)</f>
        <v>75</v>
      </c>
      <c r="J403" s="42" t="str">
        <f>IF('G MTTS'!Z400=0," ",'G MTTS'!Z400*$A$3)</f>
        <v> </v>
      </c>
      <c r="K403" s="43">
        <f>'G MTTS'!AF400</f>
        <v>50000</v>
      </c>
      <c r="L403" s="43">
        <f>'G MTTS'!X400</f>
        <v>0</v>
      </c>
      <c r="M403" s="43" t="str">
        <f>'G MTTS'!AA400</f>
        <v>REENTRY</v>
      </c>
      <c r="N403" s="44">
        <f>'G MTTS'!AG400</f>
        <v>12</v>
      </c>
      <c r="O403" s="44">
        <f>'G MTTS'!AH400</f>
        <v>10</v>
      </c>
      <c r="P403" s="44">
        <f>'G MTTS'!AI400</f>
        <v>10</v>
      </c>
      <c r="Q403" s="45">
        <f>'G MTTS'!AJ400</f>
        <v>15</v>
      </c>
      <c r="R403" s="46">
        <f t="shared" si="36"/>
        <v>0.927094907407407</v>
      </c>
      <c r="S403" s="47" t="str">
        <f t="shared" si="37"/>
        <v>LOW</v>
      </c>
    </row>
    <row r="404" ht="29.25" customHeight="1" outlineLevel="1" spans="1:19">
      <c r="A404" s="59"/>
      <c r="B404" s="61">
        <f>'G MTTS'!B401</f>
        <v>0.791678240740741</v>
      </c>
      <c r="C404" s="48" t="str">
        <f>'G MTTS'!J401</f>
        <v>100K OmaX SHR</v>
      </c>
      <c r="D404" s="49" t="str">
        <f>'G MTTS'!M401</f>
        <v>Main Event</v>
      </c>
      <c r="E404" s="50" t="str">
        <f>'G MTTS'!N401</f>
        <v>PLO5</v>
      </c>
      <c r="F404" s="51" t="str">
        <f>'G MTTS'!O401</f>
        <v>Progressive KO 1/2</v>
      </c>
      <c r="G404" s="52">
        <f>IF('G MTTS'!Q401=0," ",'G MTTS'!Q401*$A$3)</f>
        <v>100000</v>
      </c>
      <c r="H404" s="53">
        <f>IF('G MTTS'!V401=0," ",'G MTTS'!V401*$A$3)</f>
        <v>1500</v>
      </c>
      <c r="I404" s="53">
        <f>IF('G MTTS'!W401=0," ",'G MTTS'!W401*$A$3)</f>
        <v>1500</v>
      </c>
      <c r="J404" s="53" t="str">
        <f>IF('G MTTS'!Z401=0," ",'G MTTS'!Z401*$A$3)</f>
        <v> </v>
      </c>
      <c r="K404" s="54">
        <f>'G MTTS'!AF401</f>
        <v>50000</v>
      </c>
      <c r="L404" s="54">
        <f>'G MTTS'!X401</f>
        <v>60000</v>
      </c>
      <c r="M404" s="54" t="str">
        <f>'G MTTS'!AA401</f>
        <v>REENTRY</v>
      </c>
      <c r="N404" s="55">
        <f>'G MTTS'!AG401</f>
        <v>15</v>
      </c>
      <c r="O404" s="55">
        <f>'G MTTS'!AH401</f>
        <v>12</v>
      </c>
      <c r="P404" s="55">
        <f>'G MTTS'!AI401</f>
        <v>12</v>
      </c>
      <c r="Q404" s="56">
        <f>'G MTTS'!AJ401</f>
        <v>14</v>
      </c>
      <c r="R404" s="46">
        <f t="shared" si="36"/>
        <v>0.947928240740741</v>
      </c>
      <c r="S404" s="47" t="str">
        <f t="shared" si="37"/>
        <v>HIGH</v>
      </c>
    </row>
    <row r="405" ht="29.25" customHeight="1" outlineLevel="1" spans="1:19">
      <c r="A405" s="60" t="s">
        <v>521</v>
      </c>
      <c r="B405" s="61">
        <f>'G MTTS'!B402</f>
        <v>0.791678240740741</v>
      </c>
      <c r="C405" s="37" t="str">
        <f>'G MTTS'!J402</f>
        <v>suspenso</v>
      </c>
      <c r="D405" s="38">
        <f>'G MTTS'!M402</f>
        <v>0</v>
      </c>
      <c r="E405" s="39" t="str">
        <f>'G MTTS'!N402</f>
        <v>NLH</v>
      </c>
      <c r="F405" s="40" t="str">
        <f>'G MTTS'!O402</f>
        <v>Progressive KO 1/2</v>
      </c>
      <c r="G405" s="41" t="str">
        <f>IF('G MTTS'!Q402=0," ",'G MTTS'!Q402*$A$3)</f>
        <v> </v>
      </c>
      <c r="H405" s="42">
        <f>IF('G MTTS'!V402=0," ",'G MTTS'!V402*$A$3)</f>
        <v>800</v>
      </c>
      <c r="I405" s="42">
        <f>IF('G MTTS'!W402=0," ",'G MTTS'!W402*$A$3)</f>
        <v>800</v>
      </c>
      <c r="J405" s="42" t="str">
        <f>IF('G MTTS'!Z402=0," ",'G MTTS'!Z402*$A$3)</f>
        <v> </v>
      </c>
      <c r="K405" s="43">
        <f>'G MTTS'!AF402</f>
        <v>50000</v>
      </c>
      <c r="L405" s="43">
        <f>'G MTTS'!X402</f>
        <v>60000</v>
      </c>
      <c r="M405" s="43" t="str">
        <f>'G MTTS'!AA402</f>
        <v>REENTRY</v>
      </c>
      <c r="N405" s="44">
        <f>'G MTTS'!AG402</f>
        <v>12</v>
      </c>
      <c r="O405" s="44">
        <f>'G MTTS'!AH402</f>
        <v>12</v>
      </c>
      <c r="P405" s="44">
        <f>'G MTTS'!AI402</f>
        <v>12</v>
      </c>
      <c r="Q405" s="45">
        <f>'G MTTS'!AJ402</f>
        <v>15</v>
      </c>
      <c r="R405" s="46">
        <f t="shared" si="36"/>
        <v>0.927094907407407</v>
      </c>
      <c r="S405" s="47" t="str">
        <f t="shared" si="37"/>
        <v>HIGH</v>
      </c>
    </row>
    <row r="406" ht="29.25" customHeight="1" outlineLevel="1" spans="1:19">
      <c r="B406" s="61">
        <f>'G MTTS'!B403</f>
        <v>0.833344907407407</v>
      </c>
      <c r="C406" s="48" t="str">
        <f>'G MTTS'!J403</f>
        <v>#AS 40K OmaX HR</v>
      </c>
      <c r="D406" s="49" t="str">
        <f>'G MTTS'!M403</f>
        <v>Main Event</v>
      </c>
      <c r="E406" s="50" t="str">
        <f>'G MTTS'!N403</f>
        <v>PLO5</v>
      </c>
      <c r="F406" s="51" t="str">
        <f>'G MTTS'!O403</f>
        <v>Progressive KO 1/2</v>
      </c>
      <c r="G406" s="52">
        <f>IF('G MTTS'!Q403=0," ",'G MTTS'!Q403*$A$3)</f>
        <v>40000</v>
      </c>
      <c r="H406" s="53">
        <f>IF('G MTTS'!V403=0," ",'G MTTS'!V403*$A$3)</f>
        <v>350</v>
      </c>
      <c r="I406" s="53">
        <f>IF('G MTTS'!W403=0," ",'G MTTS'!W403*$A$3)</f>
        <v>350</v>
      </c>
      <c r="J406" s="53" t="str">
        <f>IF('G MTTS'!Z403=0," ",'G MTTS'!Z403*$A$3)</f>
        <v> </v>
      </c>
      <c r="K406" s="54">
        <f>'G MTTS'!AF403</f>
        <v>50000</v>
      </c>
      <c r="L406" s="54">
        <f>'G MTTS'!X403</f>
        <v>60000</v>
      </c>
      <c r="M406" s="54" t="str">
        <f>'G MTTS'!AA403</f>
        <v>REENTRY</v>
      </c>
      <c r="N406" s="55">
        <f>'G MTTS'!AG403</f>
        <v>12</v>
      </c>
      <c r="O406" s="55">
        <f>'G MTTS'!AH403</f>
        <v>10</v>
      </c>
      <c r="P406" s="55">
        <f>'G MTTS'!AI403</f>
        <v>10</v>
      </c>
      <c r="Q406" s="56">
        <f>'G MTTS'!AJ403</f>
        <v>15</v>
      </c>
      <c r="R406" s="46">
        <f t="shared" si="36"/>
        <v>0.968761574074074</v>
      </c>
      <c r="S406" s="47" t="str">
        <f t="shared" si="37"/>
        <v>MEDIUM</v>
      </c>
    </row>
    <row r="407" ht="29.25" customHeight="1" outlineLevel="1" spans="1:19">
      <c r="B407" s="62">
        <f>'G MTTS'!B404</f>
        <v>0</v>
      </c>
      <c r="C407" s="63">
        <f>'G MTTS'!J404</f>
        <v>0</v>
      </c>
      <c r="D407" s="64">
        <f>'G MTTS'!M404</f>
        <v>0</v>
      </c>
      <c r="E407" s="65">
        <f>'G MTTS'!N404</f>
        <v>0</v>
      </c>
      <c r="F407" s="66">
        <f>'G MTTS'!O404</f>
        <v>0</v>
      </c>
      <c r="G407" s="67" t="str">
        <f>IF('G MTTS'!Q404=0," ",'G MTTS'!Q404*5)</f>
        <v> </v>
      </c>
      <c r="H407" s="68" t="str">
        <f>IF('G MTTS'!V404=0," ",'G MTTS'!V404*5)</f>
        <v> </v>
      </c>
      <c r="I407" s="68" t="str">
        <f>IF('G MTTS'!W404=0," ",'G MTTS'!W404*5)</f>
        <v> </v>
      </c>
      <c r="J407" s="68" t="str">
        <f>IF('G MTTS'!Z404=0," ",'G MTTS'!Z404*5)</f>
        <v> </v>
      </c>
      <c r="K407" s="69">
        <f>'G MTTS'!AF404</f>
        <v>0</v>
      </c>
      <c r="L407" s="69">
        <f>'G MTTS'!X404</f>
        <v>0</v>
      </c>
      <c r="M407" s="69">
        <f>'G MTTS'!AA404</f>
        <v>0</v>
      </c>
      <c r="N407" s="70">
        <f>'G MTTS'!AG404</f>
        <v>0</v>
      </c>
      <c r="O407" s="70">
        <f>'G MTTS'!AH404</f>
        <v>0</v>
      </c>
      <c r="P407" s="70">
        <f>'G MTTS'!AI404</f>
        <v>0</v>
      </c>
      <c r="Q407" s="71">
        <f>'G MTTS'!AJ404</f>
        <v>0</v>
      </c>
      <c r="R407" s="46" t="str">
        <f t="shared" si="36"/>
        <v> </v>
      </c>
      <c r="S407" s="47"/>
    </row>
    <row r="408" ht="29.25" customHeight="1" outlineLevel="1" spans="1:19">
      <c r="A408" s="60" t="s">
        <v>521</v>
      </c>
      <c r="B408" s="36">
        <f>'G MTTS'!B405</f>
        <v>1.15740740740741e-5</v>
      </c>
      <c r="C408" s="48" t="str">
        <f>'G MTTS'!J405</f>
        <v>#AS 8K Sonic+SPS</v>
      </c>
      <c r="D408" s="49" t="str">
        <f>'G MTTS'!M405</f>
        <v>Side Event</v>
      </c>
      <c r="E408" s="50" t="str">
        <f>'G MTTS'!N405</f>
        <v>NLH</v>
      </c>
      <c r="F408" s="51" t="str">
        <f>'G MTTS'!O405</f>
        <v>OFF</v>
      </c>
      <c r="G408" s="52">
        <f>IF('G MTTS'!Q405=0," ",'G MTTS'!Q405*$A$3)</f>
        <v>9000</v>
      </c>
      <c r="H408" s="53">
        <f>IF('G MTTS'!V405=0," ",'G MTTS'!V405*$A$3)</f>
        <v>35</v>
      </c>
      <c r="I408" s="53">
        <f>IF('G MTTS'!W405=0," ",'G MTTS'!W405*$A$3)</f>
        <v>35</v>
      </c>
      <c r="J408" s="53" t="str">
        <f>IF('G MTTS'!Z405=0," ",'G MTTS'!Z405*$A$3)</f>
        <v> </v>
      </c>
      <c r="K408" s="54">
        <f>'G MTTS'!AF405</f>
        <v>50000</v>
      </c>
      <c r="L408" s="54">
        <f>'G MTTS'!X405</f>
        <v>0</v>
      </c>
      <c r="M408" s="54" t="str">
        <f>'G MTTS'!AA405</f>
        <v>REENTRY</v>
      </c>
      <c r="N408" s="55">
        <f>'G MTTS'!AG405</f>
        <v>6</v>
      </c>
      <c r="O408" s="55">
        <f>'G MTTS'!AH405</f>
        <v>5</v>
      </c>
      <c r="P408" s="55">
        <f>'G MTTS'!AI405</f>
        <v>5</v>
      </c>
      <c r="Q408" s="56">
        <f>'G MTTS'!AJ405</f>
        <v>13</v>
      </c>
      <c r="R408" s="46">
        <f t="shared" si="36"/>
        <v>0.057650462962963</v>
      </c>
      <c r="S408" s="47" t="str">
        <f t="shared" ref="S408:S486" si="38">IFERROR(IF(H408=0," ",IF(H408&lt;=25,"MICRO",IF(H408&lt;=99,"LOW",IF(H408&lt;=499,"MEDIUM",IF(H408&lt;=2500,"HIGH",IF(H408&gt;2500,"SUPER HIGH",)))))),"")</f>
        <v>LOW</v>
      </c>
    </row>
    <row r="409" ht="29.25" customHeight="1" outlineLevel="1" spans="1:19">
      <c r="B409" s="36">
        <f>'G MTTS'!B406</f>
        <v>1.15740740740741e-5</v>
      </c>
      <c r="C409" s="37" t="str">
        <f>'G MTTS'!J406</f>
        <v>1.5K Omax K.O</v>
      </c>
      <c r="D409" s="38" t="str">
        <f>'G MTTS'!M406</f>
        <v>Side Event</v>
      </c>
      <c r="E409" s="39" t="str">
        <f>'G MTTS'!N406</f>
        <v>PLO5</v>
      </c>
      <c r="F409" s="40" t="str">
        <f>'G MTTS'!O406</f>
        <v>Regular KO 1/3</v>
      </c>
      <c r="G409" s="41">
        <f>IF('G MTTS'!Q406=0," ",'G MTTS'!Q406*$A$3)</f>
        <v>1500</v>
      </c>
      <c r="H409" s="42">
        <f>IF('G MTTS'!V406=0," ",'G MTTS'!V406*$A$3)</f>
        <v>10</v>
      </c>
      <c r="I409" s="42">
        <f>IF('G MTTS'!W406=0," ",'G MTTS'!W406*$A$3)</f>
        <v>10</v>
      </c>
      <c r="J409" s="42" t="str">
        <f>IF('G MTTS'!Z406=0," ",'G MTTS'!Z406*$A$3)</f>
        <v> </v>
      </c>
      <c r="K409" s="43">
        <f>'G MTTS'!AF406</f>
        <v>60000</v>
      </c>
      <c r="L409" s="43">
        <f>'G MTTS'!X406</f>
        <v>0</v>
      </c>
      <c r="M409" s="43" t="str">
        <f>'G MTTS'!AA406</f>
        <v>REENTRY</v>
      </c>
      <c r="N409" s="44">
        <f>'G MTTS'!AG406</f>
        <v>6</v>
      </c>
      <c r="O409" s="44">
        <f>'G MTTS'!AH406</f>
        <v>5</v>
      </c>
      <c r="P409" s="44">
        <f>'G MTTS'!AI406</f>
        <v>5</v>
      </c>
      <c r="Q409" s="45">
        <f>'G MTTS'!AJ406</f>
        <v>12</v>
      </c>
      <c r="R409" s="46">
        <f t="shared" si="36"/>
        <v>0.0534837962962963</v>
      </c>
      <c r="S409" s="47" t="str">
        <f t="shared" si="38"/>
        <v>MICRO</v>
      </c>
    </row>
    <row r="410" ht="29.25" customHeight="1" outlineLevel="1" spans="1:19">
      <c r="B410" s="36">
        <f>'G MTTS'!B407</f>
        <v>0.013900462962963</v>
      </c>
      <c r="C410" s="48" t="str">
        <f>'G MTTS'!J407</f>
        <v>600 Battle Turbo</v>
      </c>
      <c r="D410" s="49" t="str">
        <f>'G MTTS'!M407</f>
        <v>Side Event</v>
      </c>
      <c r="E410" s="50" t="str">
        <f>'G MTTS'!N407</f>
        <v>NLH</v>
      </c>
      <c r="F410" s="51" t="str">
        <f>'G MTTS'!O407</f>
        <v>Regular KO 1/3</v>
      </c>
      <c r="G410" s="52">
        <f>IF('G MTTS'!Q407=0," ",'G MTTS'!Q407*$A$3)</f>
        <v>600</v>
      </c>
      <c r="H410" s="53">
        <f>IF('G MTTS'!V407=0," ",'G MTTS'!V407*$A$3)</f>
        <v>5</v>
      </c>
      <c r="I410" s="53">
        <f>IF('G MTTS'!W407=0," ",'G MTTS'!W407*$A$3)</f>
        <v>5</v>
      </c>
      <c r="J410" s="53" t="str">
        <f>IF('G MTTS'!Z407=0," ",'G MTTS'!Z407*$A$3)</f>
        <v> </v>
      </c>
      <c r="K410" s="54">
        <f>'G MTTS'!AF407</f>
        <v>15000</v>
      </c>
      <c r="L410" s="54">
        <f>'G MTTS'!X407</f>
        <v>0</v>
      </c>
      <c r="M410" s="54" t="str">
        <f>'G MTTS'!AA407</f>
        <v>REENTRY</v>
      </c>
      <c r="N410" s="55">
        <f>'G MTTS'!AG407</f>
        <v>6</v>
      </c>
      <c r="O410" s="55">
        <f>'G MTTS'!AH407</f>
        <v>5</v>
      </c>
      <c r="P410" s="55">
        <f>'G MTTS'!AI407</f>
        <v>5</v>
      </c>
      <c r="Q410" s="56">
        <f>'G MTTS'!AJ407</f>
        <v>13</v>
      </c>
      <c r="R410" s="46">
        <f t="shared" si="36"/>
        <v>0.0715393518518519</v>
      </c>
      <c r="S410" s="47" t="str">
        <f t="shared" si="38"/>
        <v>MICRO</v>
      </c>
    </row>
    <row r="411" ht="29.25" customHeight="1" outlineLevel="1" spans="1:19">
      <c r="A411" s="60" t="s">
        <v>521</v>
      </c>
      <c r="B411" s="36">
        <f>'G MTTS'!B408</f>
        <v>0.0208449074074074</v>
      </c>
      <c r="C411" s="37" t="str">
        <f>'G MTTS'!J408</f>
        <v>#AS 3K Plus Turbo</v>
      </c>
      <c r="D411" s="38" t="str">
        <f>'G MTTS'!M408</f>
        <v>Side Event</v>
      </c>
      <c r="E411" s="39" t="str">
        <f>'G MTTS'!N408</f>
        <v>NLH</v>
      </c>
      <c r="F411" s="40" t="str">
        <f>'G MTTS'!O408</f>
        <v>OFF</v>
      </c>
      <c r="G411" s="41">
        <f>IF('G MTTS'!Q408=0," ",'G MTTS'!Q408*$A$3)</f>
        <v>3000</v>
      </c>
      <c r="H411" s="42">
        <f>IF('G MTTS'!V408=0," ",'G MTTS'!V408*$A$3)</f>
        <v>6</v>
      </c>
      <c r="I411" s="42">
        <f>IF('G MTTS'!W408=0," ",'G MTTS'!W408*$A$3)</f>
        <v>6</v>
      </c>
      <c r="J411" s="42">
        <f>IF('G MTTS'!Z408=0," ",'G MTTS'!Z408*$A$3)</f>
        <v>6</v>
      </c>
      <c r="K411" s="43">
        <f>'G MTTS'!AF408</f>
        <v>30000</v>
      </c>
      <c r="L411" s="43">
        <f>'G MTTS'!X408</f>
        <v>0</v>
      </c>
      <c r="M411" s="43">
        <f>'G MTTS'!AA408</f>
        <v>60000</v>
      </c>
      <c r="N411" s="44">
        <f>'G MTTS'!AG408</f>
        <v>5</v>
      </c>
      <c r="O411" s="44">
        <f>'G MTTS'!AH408</f>
        <v>5</v>
      </c>
      <c r="P411" s="44">
        <f>'G MTTS'!AI408</f>
        <v>5</v>
      </c>
      <c r="Q411" s="45">
        <f>'G MTTS'!AJ408</f>
        <v>13</v>
      </c>
      <c r="R411" s="46">
        <f t="shared" si="36"/>
        <v>0.0694560185185185</v>
      </c>
      <c r="S411" s="47" t="str">
        <f t="shared" si="38"/>
        <v>MICRO</v>
      </c>
    </row>
    <row r="412" ht="29.25" customHeight="1" outlineLevel="1" spans="1:19">
      <c r="B412" s="36">
        <f>'G MTTS'!B409</f>
        <v>0.0208449074074074</v>
      </c>
      <c r="C412" s="48" t="str">
        <f>'G MTTS'!J409</f>
        <v>#AS 1K Omax</v>
      </c>
      <c r="D412" s="49" t="str">
        <f>'G MTTS'!M409</f>
        <v>Side Event</v>
      </c>
      <c r="E412" s="50" t="str">
        <f>'G MTTS'!N409</f>
        <v>PLO5</v>
      </c>
      <c r="F412" s="51" t="str">
        <f>'G MTTS'!O409</f>
        <v>OFF</v>
      </c>
      <c r="G412" s="52">
        <f>IF('G MTTS'!Q409=0," ",'G MTTS'!Q409*$A$3)</f>
        <v>1000</v>
      </c>
      <c r="H412" s="53">
        <f>IF('G MTTS'!V409=0," ",'G MTTS'!V409*$A$3)</f>
        <v>5</v>
      </c>
      <c r="I412" s="53">
        <f>IF('G MTTS'!W409=0," ",'G MTTS'!W409*$A$3)</f>
        <v>5</v>
      </c>
      <c r="J412" s="53">
        <f>IF('G MTTS'!Z409=0," ",'G MTTS'!Z409*$A$3)</f>
        <v>5</v>
      </c>
      <c r="K412" s="54">
        <f>'G MTTS'!AF409</f>
        <v>30000</v>
      </c>
      <c r="L412" s="54">
        <f>'G MTTS'!X409</f>
        <v>0</v>
      </c>
      <c r="M412" s="54">
        <f>'G MTTS'!AA409</f>
        <v>70000</v>
      </c>
      <c r="N412" s="55">
        <f>'G MTTS'!AG409</f>
        <v>6</v>
      </c>
      <c r="O412" s="55">
        <f>'G MTTS'!AH409</f>
        <v>5</v>
      </c>
      <c r="P412" s="55">
        <f>'G MTTS'!AI409</f>
        <v>5</v>
      </c>
      <c r="Q412" s="56">
        <f>'G MTTS'!AJ409</f>
        <v>12</v>
      </c>
      <c r="R412" s="46">
        <f t="shared" si="36"/>
        <v>0.0743171296296296</v>
      </c>
      <c r="S412" s="47" t="str">
        <f t="shared" si="38"/>
        <v>MICRO</v>
      </c>
    </row>
    <row r="413" ht="29.25" customHeight="1" outlineLevel="1" spans="1:19">
      <c r="B413" s="36">
        <f>'G MTTS'!B410</f>
        <v>0.0416782407407407</v>
      </c>
      <c r="C413" s="37" t="str">
        <f>'G MTTS'!J410</f>
        <v>#AS 10K Plus+SPS</v>
      </c>
      <c r="D413" s="38" t="str">
        <f>'G MTTS'!M410</f>
        <v>Side Event</v>
      </c>
      <c r="E413" s="39" t="str">
        <f>'G MTTS'!N410</f>
        <v>NLH</v>
      </c>
      <c r="F413" s="40" t="str">
        <f>'G MTTS'!O410</f>
        <v>OFF</v>
      </c>
      <c r="G413" s="41">
        <f>IF('G MTTS'!Q410=0," ",'G MTTS'!Q410*$A$3)</f>
        <v>11000</v>
      </c>
      <c r="H413" s="42">
        <f>IF('G MTTS'!V410=0," ",'G MTTS'!V410*$A$3)</f>
        <v>15</v>
      </c>
      <c r="I413" s="42">
        <f>IF('G MTTS'!W410=0," ",'G MTTS'!W410*$A$3)</f>
        <v>15</v>
      </c>
      <c r="J413" s="42">
        <f>IF('G MTTS'!Z410=0," ",'G MTTS'!Z410*$A$3)</f>
        <v>15</v>
      </c>
      <c r="K413" s="43">
        <f>'G MTTS'!AF410</f>
        <v>40000</v>
      </c>
      <c r="L413" s="43">
        <f>'G MTTS'!X410</f>
        <v>0</v>
      </c>
      <c r="M413" s="43">
        <f>'G MTTS'!AA410</f>
        <v>100000</v>
      </c>
      <c r="N413" s="44">
        <f>'G MTTS'!AG410</f>
        <v>6</v>
      </c>
      <c r="O413" s="44">
        <f>'G MTTS'!AH410</f>
        <v>5</v>
      </c>
      <c r="P413" s="44">
        <f>'G MTTS'!AI410</f>
        <v>5</v>
      </c>
      <c r="Q413" s="45">
        <f>'G MTTS'!AJ410</f>
        <v>13</v>
      </c>
      <c r="R413" s="46">
        <f t="shared" si="36"/>
        <v>0.0993171296296296</v>
      </c>
      <c r="S413" s="47" t="str">
        <f t="shared" si="38"/>
        <v>MICRO</v>
      </c>
    </row>
    <row r="414" ht="29.25" customHeight="1" outlineLevel="1" spans="1:19">
      <c r="A414" s="60" t="s">
        <v>521</v>
      </c>
      <c r="B414" s="36">
        <f>'G MTTS'!B411</f>
        <v>0.0416782407407407</v>
      </c>
      <c r="C414" s="48" t="str">
        <f>'G MTTS'!J411</f>
        <v>#AS 2K Omax K.O</v>
      </c>
      <c r="D414" s="49" t="str">
        <f>'G MTTS'!M411</f>
        <v>Side Event</v>
      </c>
      <c r="E414" s="50" t="str">
        <f>'G MTTS'!N411</f>
        <v>PLO4</v>
      </c>
      <c r="F414" s="51" t="str">
        <f>'G MTTS'!O411</f>
        <v>Regular KO 1/3</v>
      </c>
      <c r="G414" s="52">
        <f>IF('G MTTS'!Q411=0," ",'G MTTS'!Q411*$A$3)</f>
        <v>2000</v>
      </c>
      <c r="H414" s="53">
        <f>IF('G MTTS'!V411=0," ",'G MTTS'!V411*$A$3)</f>
        <v>50</v>
      </c>
      <c r="I414" s="53">
        <f>IF('G MTTS'!W411=0," ",'G MTTS'!W411*$A$3)</f>
        <v>50</v>
      </c>
      <c r="J414" s="53" t="str">
        <f>IF('G MTTS'!Z411=0," ",'G MTTS'!Z411*$A$3)</f>
        <v> </v>
      </c>
      <c r="K414" s="54">
        <f>'G MTTS'!AF411</f>
        <v>40000</v>
      </c>
      <c r="L414" s="54">
        <f>'G MTTS'!X411</f>
        <v>0</v>
      </c>
      <c r="M414" s="54" t="str">
        <f>'G MTTS'!AA411</f>
        <v>REENTRY</v>
      </c>
      <c r="N414" s="55">
        <f>'G MTTS'!AG411</f>
        <v>7</v>
      </c>
      <c r="O414" s="55">
        <f>'G MTTS'!AH411</f>
        <v>6</v>
      </c>
      <c r="P414" s="55">
        <f>'G MTTS'!AI411</f>
        <v>6</v>
      </c>
      <c r="Q414" s="56">
        <f>'G MTTS'!AJ411</f>
        <v>14</v>
      </c>
      <c r="R414" s="46">
        <f t="shared" si="36"/>
        <v>0.113206018518519</v>
      </c>
      <c r="S414" s="47" t="str">
        <f t="shared" si="38"/>
        <v>LOW</v>
      </c>
    </row>
    <row r="415" ht="29.25" customHeight="1" outlineLevel="1" spans="1:19">
      <c r="B415" s="36">
        <f>'G MTTS'!B412</f>
        <v>0.0625115740740741</v>
      </c>
      <c r="C415" s="37" t="str">
        <f>'G MTTS'!J412</f>
        <v>500 Omax PKO</v>
      </c>
      <c r="D415" s="38" t="str">
        <f>'G MTTS'!M412</f>
        <v>Side Event</v>
      </c>
      <c r="E415" s="39" t="str">
        <f>'G MTTS'!N412</f>
        <v>PLO5</v>
      </c>
      <c r="F415" s="40" t="str">
        <f>'G MTTS'!O412</f>
        <v>Progressive KO 1/2</v>
      </c>
      <c r="G415" s="41">
        <f>IF('G MTTS'!Q412=0," ",'G MTTS'!Q412*$A$3)</f>
        <v>500</v>
      </c>
      <c r="H415" s="42">
        <f>IF('G MTTS'!V412=0," ",'G MTTS'!V412*$A$3)</f>
        <v>3</v>
      </c>
      <c r="I415" s="42">
        <f>IF('G MTTS'!W412=0," ",'G MTTS'!W412*$A$3)</f>
        <v>3</v>
      </c>
      <c r="J415" s="42" t="str">
        <f>IF('G MTTS'!Z412=0," ",'G MTTS'!Z412*$A$3)</f>
        <v> </v>
      </c>
      <c r="K415" s="43">
        <f>'G MTTS'!AF412</f>
        <v>30000</v>
      </c>
      <c r="L415" s="43">
        <f>'G MTTS'!X412</f>
        <v>0</v>
      </c>
      <c r="M415" s="43" t="str">
        <f>'G MTTS'!AA412</f>
        <v>REENTRY</v>
      </c>
      <c r="N415" s="44">
        <f>'G MTTS'!AG412</f>
        <v>5</v>
      </c>
      <c r="O415" s="44">
        <f>'G MTTS'!AH412</f>
        <v>5</v>
      </c>
      <c r="P415" s="44">
        <f>'G MTTS'!AI412</f>
        <v>5</v>
      </c>
      <c r="Q415" s="45">
        <f>'G MTTS'!AJ412</f>
        <v>13</v>
      </c>
      <c r="R415" s="46">
        <f t="shared" si="36"/>
        <v>0.111122685185185</v>
      </c>
      <c r="S415" s="47" t="str">
        <f t="shared" si="38"/>
        <v>MICRO</v>
      </c>
    </row>
    <row r="416" ht="29.25" customHeight="1" outlineLevel="1" spans="1:19">
      <c r="B416" s="36">
        <f>'G MTTS'!B413</f>
        <v>0.0833449074074074</v>
      </c>
      <c r="C416" s="48" t="str">
        <f>'G MTTS'!J413</f>
        <v>#AS 5K Battle</v>
      </c>
      <c r="D416" s="49" t="str">
        <f>'G MTTS'!M413</f>
        <v>Side Event</v>
      </c>
      <c r="E416" s="50" t="str">
        <f>'G MTTS'!N413</f>
        <v>NLH</v>
      </c>
      <c r="F416" s="51" t="str">
        <f>'G MTTS'!O413</f>
        <v>Progressive KO 1/2</v>
      </c>
      <c r="G416" s="52">
        <f>IF('G MTTS'!Q413=0," ",'G MTTS'!Q413*$A$3)</f>
        <v>5000</v>
      </c>
      <c r="H416" s="53">
        <f>IF('G MTTS'!V413=0," ",'G MTTS'!V413*$A$3)</f>
        <v>35</v>
      </c>
      <c r="I416" s="53">
        <f>IF('G MTTS'!W413=0," ",'G MTTS'!W413*$A$3)</f>
        <v>35</v>
      </c>
      <c r="J416" s="53" t="str">
        <f>IF('G MTTS'!Z413=0," ",'G MTTS'!Z413*$A$3)</f>
        <v> </v>
      </c>
      <c r="K416" s="54">
        <f>'G MTTS'!AF413</f>
        <v>40000</v>
      </c>
      <c r="L416" s="54">
        <f>'G MTTS'!X413</f>
        <v>0</v>
      </c>
      <c r="M416" s="54" t="str">
        <f>'G MTTS'!AA413</f>
        <v>REENTRY</v>
      </c>
      <c r="N416" s="55">
        <f>'G MTTS'!AG413</f>
        <v>6</v>
      </c>
      <c r="O416" s="55">
        <f>'G MTTS'!AH413</f>
        <v>5</v>
      </c>
      <c r="P416" s="55">
        <f>'G MTTS'!AI413</f>
        <v>5</v>
      </c>
      <c r="Q416" s="56">
        <f>'G MTTS'!AJ413</f>
        <v>13</v>
      </c>
      <c r="R416" s="46">
        <f t="shared" si="36"/>
        <v>0.140983796296296</v>
      </c>
      <c r="S416" s="47" t="str">
        <f t="shared" si="38"/>
        <v>LOW</v>
      </c>
    </row>
    <row r="417" ht="29.25" customHeight="1" outlineLevel="1" spans="1:19">
      <c r="A417" s="60" t="s">
        <v>521</v>
      </c>
      <c r="B417" s="36">
        <f>'G MTTS'!B414</f>
        <v>0.104178240740741</v>
      </c>
      <c r="C417" s="37" t="str">
        <f>'G MTTS'!J414</f>
        <v>1.5K Plus</v>
      </c>
      <c r="D417" s="38" t="str">
        <f>'G MTTS'!M414</f>
        <v>Side Event</v>
      </c>
      <c r="E417" s="39" t="str">
        <f>'G MTTS'!N414</f>
        <v>NLH</v>
      </c>
      <c r="F417" s="40" t="str">
        <f>'G MTTS'!O414</f>
        <v>OFF</v>
      </c>
      <c r="G417" s="41">
        <f>IF('G MTTS'!Q414=0," ",'G MTTS'!Q414*$A$3)</f>
        <v>1500</v>
      </c>
      <c r="H417" s="42">
        <f>IF('G MTTS'!V414=0," ",'G MTTS'!V414*$A$3)</f>
        <v>3</v>
      </c>
      <c r="I417" s="42">
        <f>IF('G MTTS'!W414=0," ",'G MTTS'!W414*$A$3)</f>
        <v>3</v>
      </c>
      <c r="J417" s="42">
        <f>IF('G MTTS'!Z414=0," ",'G MTTS'!Z414*$A$3)</f>
        <v>4</v>
      </c>
      <c r="K417" s="43">
        <f>'G MTTS'!AF414</f>
        <v>50000</v>
      </c>
      <c r="L417" s="43">
        <f>'G MTTS'!X414</f>
        <v>0</v>
      </c>
      <c r="M417" s="43">
        <f>'G MTTS'!AA414</f>
        <v>100000</v>
      </c>
      <c r="N417" s="44">
        <f>'G MTTS'!AG414</f>
        <v>5</v>
      </c>
      <c r="O417" s="44">
        <f>'G MTTS'!AH414</f>
        <v>5</v>
      </c>
      <c r="P417" s="44">
        <f>'G MTTS'!AI414</f>
        <v>5</v>
      </c>
      <c r="Q417" s="45">
        <f>'G MTTS'!AJ414</f>
        <v>13</v>
      </c>
      <c r="R417" s="46">
        <f t="shared" si="36"/>
        <v>0.152789351851852</v>
      </c>
      <c r="S417" s="47" t="str">
        <f t="shared" si="38"/>
        <v>MICRO</v>
      </c>
    </row>
    <row r="418" ht="29.25" customHeight="1" outlineLevel="1" spans="1:19">
      <c r="B418" s="36">
        <f>'G MTTS'!B415</f>
        <v>0.131956018518519</v>
      </c>
      <c r="C418" s="48" t="str">
        <f>'G MTTS'!J415</f>
        <v>1K Omax</v>
      </c>
      <c r="D418" s="49" t="str">
        <f>'G MTTS'!M415</f>
        <v>Side Event</v>
      </c>
      <c r="E418" s="50" t="str">
        <f>'G MTTS'!N415</f>
        <v>PLO5</v>
      </c>
      <c r="F418" s="51" t="str">
        <f>'G MTTS'!O415</f>
        <v>OFF</v>
      </c>
      <c r="G418" s="52">
        <f>IF('G MTTS'!Q415=0," ",'G MTTS'!Q415*$A$3)</f>
        <v>1000</v>
      </c>
      <c r="H418" s="53">
        <f>IF('G MTTS'!V415=0," ",'G MTTS'!V415*$A$3)</f>
        <v>10</v>
      </c>
      <c r="I418" s="53">
        <f>IF('G MTTS'!W415=0," ",'G MTTS'!W415*$A$3)</f>
        <v>10</v>
      </c>
      <c r="J418" s="53">
        <f>IF('G MTTS'!Z415=0," ",'G MTTS'!Z415*$A$3)</f>
        <v>10</v>
      </c>
      <c r="K418" s="54">
        <f>'G MTTS'!AF415</f>
        <v>40000</v>
      </c>
      <c r="L418" s="54">
        <f>'G MTTS'!X415</f>
        <v>0</v>
      </c>
      <c r="M418" s="54">
        <f>'G MTTS'!AA415</f>
        <v>80000</v>
      </c>
      <c r="N418" s="55">
        <f>'G MTTS'!AG415</f>
        <v>5</v>
      </c>
      <c r="O418" s="55">
        <f>'G MTTS'!AH415</f>
        <v>5</v>
      </c>
      <c r="P418" s="55">
        <f>'G MTTS'!AI415</f>
        <v>5</v>
      </c>
      <c r="Q418" s="56">
        <f>'G MTTS'!AJ415</f>
        <v>13</v>
      </c>
      <c r="R418" s="46">
        <f t="shared" si="36"/>
        <v>0.18056712962963</v>
      </c>
      <c r="S418" s="47" t="str">
        <f t="shared" si="38"/>
        <v>MICRO</v>
      </c>
    </row>
    <row r="419" ht="29.25" customHeight="1" outlineLevel="1" spans="1:19">
      <c r="B419" s="36">
        <f>'G MTTS'!B416</f>
        <v>0.131956018518519</v>
      </c>
      <c r="C419" s="37" t="str">
        <f>'G MTTS'!J416</f>
        <v>#AS 1.5K Battle</v>
      </c>
      <c r="D419" s="38" t="str">
        <f>'G MTTS'!M416</f>
        <v>Side Event</v>
      </c>
      <c r="E419" s="39" t="str">
        <f>'G MTTS'!N416</f>
        <v>NLH</v>
      </c>
      <c r="F419" s="40" t="str">
        <f>'G MTTS'!O416</f>
        <v>Progressive KO 1/2</v>
      </c>
      <c r="G419" s="41">
        <f>IF('G MTTS'!Q416=0," ",'G MTTS'!Q416*$A$3)</f>
        <v>1500</v>
      </c>
      <c r="H419" s="42">
        <f>IF('G MTTS'!V416=0," ",'G MTTS'!V416*$A$3)</f>
        <v>25</v>
      </c>
      <c r="I419" s="42">
        <f>IF('G MTTS'!W416=0," ",'G MTTS'!W416*$A$3)</f>
        <v>25</v>
      </c>
      <c r="J419" s="42" t="str">
        <f>IF('G MTTS'!Z416=0," ",'G MTTS'!Z416*$A$3)</f>
        <v> </v>
      </c>
      <c r="K419" s="43">
        <f>'G MTTS'!AF416</f>
        <v>30000</v>
      </c>
      <c r="L419" s="43">
        <f>'G MTTS'!X416</f>
        <v>0</v>
      </c>
      <c r="M419" s="43" t="str">
        <f>'G MTTS'!AA416</f>
        <v>REENTRY</v>
      </c>
      <c r="N419" s="44">
        <f>'G MTTS'!AG416</f>
        <v>5</v>
      </c>
      <c r="O419" s="44">
        <f>'G MTTS'!AH416</f>
        <v>5</v>
      </c>
      <c r="P419" s="44">
        <f>'G MTTS'!AI416</f>
        <v>5</v>
      </c>
      <c r="Q419" s="45">
        <f>'G MTTS'!AJ416</f>
        <v>12</v>
      </c>
      <c r="R419" s="46">
        <f t="shared" si="36"/>
        <v>0.177094907407407</v>
      </c>
      <c r="S419" s="47" t="str">
        <f t="shared" si="38"/>
        <v>MICRO</v>
      </c>
    </row>
    <row r="420" ht="29.25" customHeight="1" outlineLevel="1" spans="1:19">
      <c r="A420" s="60" t="s">
        <v>521</v>
      </c>
      <c r="B420" s="36">
        <f>'G MTTS'!B417</f>
        <v>0.173622685185185</v>
      </c>
      <c r="C420" s="48" t="str">
        <f>'G MTTS'!J417</f>
        <v>#AS 1.5K Plus</v>
      </c>
      <c r="D420" s="49" t="str">
        <f>'G MTTS'!M417</f>
        <v>Side Event</v>
      </c>
      <c r="E420" s="50" t="str">
        <f>'G MTTS'!N417</f>
        <v>NLH</v>
      </c>
      <c r="F420" s="51" t="str">
        <f>'G MTTS'!O417</f>
        <v>OFF</v>
      </c>
      <c r="G420" s="52">
        <f>IF('G MTTS'!Q417=0," ",'G MTTS'!Q417*$A$3)</f>
        <v>1500</v>
      </c>
      <c r="H420" s="53">
        <f>IF('G MTTS'!V417=0," ",'G MTTS'!V417*$A$3)</f>
        <v>10</v>
      </c>
      <c r="I420" s="53">
        <f>IF('G MTTS'!W417=0," ",'G MTTS'!W417*$A$3)</f>
        <v>10</v>
      </c>
      <c r="J420" s="53">
        <f>IF('G MTTS'!Z417=0," ",'G MTTS'!Z417*$A$3)</f>
        <v>10</v>
      </c>
      <c r="K420" s="54">
        <f>'G MTTS'!AF417</f>
        <v>30000</v>
      </c>
      <c r="L420" s="54">
        <f>'G MTTS'!X417</f>
        <v>0</v>
      </c>
      <c r="M420" s="54">
        <f>'G MTTS'!AA417</f>
        <v>75000</v>
      </c>
      <c r="N420" s="55">
        <f>'G MTTS'!AG417</f>
        <v>5</v>
      </c>
      <c r="O420" s="55">
        <f>'G MTTS'!AH417</f>
        <v>5</v>
      </c>
      <c r="P420" s="55">
        <f>'G MTTS'!AI417</f>
        <v>5</v>
      </c>
      <c r="Q420" s="56">
        <f>'G MTTS'!AJ417</f>
        <v>12</v>
      </c>
      <c r="R420" s="46">
        <f t="shared" si="36"/>
        <v>0.218761574074074</v>
      </c>
      <c r="S420" s="47" t="str">
        <f t="shared" si="38"/>
        <v>MICRO</v>
      </c>
    </row>
    <row r="421" ht="29.25" customHeight="1" outlineLevel="1" spans="1:19">
      <c r="B421" s="36">
        <f>'G MTTS'!B418</f>
        <v>0.208344907407407</v>
      </c>
      <c r="C421" s="37" t="str">
        <f>'G MTTS'!J418</f>
        <v>500 Bounty</v>
      </c>
      <c r="D421" s="38" t="str">
        <f>'G MTTS'!M418</f>
        <v>Side Event</v>
      </c>
      <c r="E421" s="39" t="str">
        <f>'G MTTS'!N418</f>
        <v>NLH</v>
      </c>
      <c r="F421" s="40" t="str">
        <f>'G MTTS'!O418</f>
        <v>Progressive KO 1/3</v>
      </c>
      <c r="G421" s="41">
        <f>IF('G MTTS'!Q418=0," ",'G MTTS'!Q418*$A$3)</f>
        <v>500</v>
      </c>
      <c r="H421" s="42">
        <f>IF('G MTTS'!V418=0," ",'G MTTS'!V418*$A$3)</f>
        <v>8</v>
      </c>
      <c r="I421" s="42">
        <f>IF('G MTTS'!W418=0," ",'G MTTS'!W418*$A$3)</f>
        <v>8</v>
      </c>
      <c r="J421" s="42" t="str">
        <f>IF('G MTTS'!Z418=0," ",'G MTTS'!Z418*$A$3)</f>
        <v> </v>
      </c>
      <c r="K421" s="43">
        <f>'G MTTS'!AF418</f>
        <v>30000</v>
      </c>
      <c r="L421" s="43">
        <f>'G MTTS'!X418</f>
        <v>0</v>
      </c>
      <c r="M421" s="43" t="str">
        <f>'G MTTS'!AA418</f>
        <v>REENTRY</v>
      </c>
      <c r="N421" s="44">
        <f>'G MTTS'!AG418</f>
        <v>8</v>
      </c>
      <c r="O421" s="44">
        <f>'G MTTS'!AH418</f>
        <v>7</v>
      </c>
      <c r="P421" s="44">
        <f>'G MTTS'!AI418</f>
        <v>7</v>
      </c>
      <c r="Q421" s="45">
        <f>'G MTTS'!AJ418</f>
        <v>13</v>
      </c>
      <c r="R421" s="46">
        <f t="shared" si="36"/>
        <v>0.284039351851852</v>
      </c>
      <c r="S421" s="47" t="str">
        <f t="shared" si="38"/>
        <v>MICRO</v>
      </c>
    </row>
    <row r="422" ht="29.25" customHeight="1" outlineLevel="1" spans="1:19">
      <c r="B422" s="36">
        <f>'G MTTS'!B419</f>
        <v>0.215289351851852</v>
      </c>
      <c r="C422" s="48" t="str">
        <f>'G MTTS'!J419</f>
        <v>1K Plus</v>
      </c>
      <c r="D422" s="49" t="str">
        <f>'G MTTS'!M419</f>
        <v>Side Event</v>
      </c>
      <c r="E422" s="50" t="str">
        <f>'G MTTS'!N419</f>
        <v>NLH</v>
      </c>
      <c r="F422" s="51" t="str">
        <f>'G MTTS'!O419</f>
        <v>OFF</v>
      </c>
      <c r="G422" s="52">
        <f>IF('G MTTS'!Q419=0," ",'G MTTS'!Q419*$A$3)</f>
        <v>1000</v>
      </c>
      <c r="H422" s="53">
        <f>IF('G MTTS'!V419=0," ",'G MTTS'!V419*$A$3)</f>
        <v>10</v>
      </c>
      <c r="I422" s="53">
        <f>IF('G MTTS'!W419=0," ",'G MTTS'!W419*$A$3)</f>
        <v>10</v>
      </c>
      <c r="J422" s="53">
        <f>IF('G MTTS'!Z419=0," ",'G MTTS'!Z419*$A$3)</f>
        <v>10</v>
      </c>
      <c r="K422" s="54">
        <f>'G MTTS'!AF419</f>
        <v>40000</v>
      </c>
      <c r="L422" s="54">
        <f>'G MTTS'!X419</f>
        <v>0</v>
      </c>
      <c r="M422" s="54">
        <f>'G MTTS'!AA419</f>
        <v>80000</v>
      </c>
      <c r="N422" s="55">
        <f>'G MTTS'!AG419</f>
        <v>6</v>
      </c>
      <c r="O422" s="55">
        <f>'G MTTS'!AH419</f>
        <v>5</v>
      </c>
      <c r="P422" s="55">
        <f>'G MTTS'!AI419</f>
        <v>5</v>
      </c>
      <c r="Q422" s="56">
        <f>'G MTTS'!AJ419</f>
        <v>13</v>
      </c>
      <c r="R422" s="46">
        <f t="shared" si="36"/>
        <v>0.272928240740741</v>
      </c>
      <c r="S422" s="47" t="str">
        <f t="shared" si="38"/>
        <v>MICRO</v>
      </c>
    </row>
    <row r="423" ht="29.25" customHeight="1" outlineLevel="1" spans="1:19">
      <c r="B423" s="36">
        <f>'G MTTS'!B420</f>
        <v>0.229178240740741</v>
      </c>
      <c r="C423" s="37" t="str">
        <f>'G MTTS'!J420</f>
        <v>400 Omax PKO</v>
      </c>
      <c r="D423" s="38" t="str">
        <f>'G MTTS'!M420</f>
        <v>Side Event</v>
      </c>
      <c r="E423" s="39" t="str">
        <f>'G MTTS'!N420</f>
        <v>PLO4</v>
      </c>
      <c r="F423" s="40" t="str">
        <f>'G MTTS'!O420</f>
        <v>Progressive KO 1/2</v>
      </c>
      <c r="G423" s="41">
        <f>IF('G MTTS'!Q420=0," ",'G MTTS'!Q420*$A$3)</f>
        <v>400</v>
      </c>
      <c r="H423" s="42">
        <f>IF('G MTTS'!V420=0," ",'G MTTS'!V420*$A$3)</f>
        <v>5</v>
      </c>
      <c r="I423" s="42">
        <f>IF('G MTTS'!W420=0," ",'G MTTS'!W420*$A$3)</f>
        <v>5</v>
      </c>
      <c r="J423" s="42" t="str">
        <f>IF('G MTTS'!Z420=0," ",'G MTTS'!Z420*$A$3)</f>
        <v> </v>
      </c>
      <c r="K423" s="43">
        <f>'G MTTS'!AF420</f>
        <v>50000</v>
      </c>
      <c r="L423" s="43">
        <f>'G MTTS'!X420</f>
        <v>0</v>
      </c>
      <c r="M423" s="43" t="str">
        <f>'G MTTS'!AA420</f>
        <v>REENTRY</v>
      </c>
      <c r="N423" s="44">
        <f>'G MTTS'!AG420</f>
        <v>7</v>
      </c>
      <c r="O423" s="44">
        <f>'G MTTS'!AH420</f>
        <v>6</v>
      </c>
      <c r="P423" s="44">
        <f>'G MTTS'!AI420</f>
        <v>6</v>
      </c>
      <c r="Q423" s="45">
        <f>'G MTTS'!AJ420</f>
        <v>15</v>
      </c>
      <c r="R423" s="46">
        <f t="shared" si="36"/>
        <v>0.30556712962963</v>
      </c>
      <c r="S423" s="47" t="str">
        <f t="shared" si="38"/>
        <v>MICRO</v>
      </c>
    </row>
    <row r="424" ht="29.25" customHeight="1" outlineLevel="1" spans="1:19">
      <c r="A424" s="60" t="s">
        <v>521</v>
      </c>
      <c r="B424" s="36">
        <f>'G MTTS'!B421</f>
        <v>0.256956018518519</v>
      </c>
      <c r="C424" s="48" t="str">
        <f>'G MTTS'!J421</f>
        <v>500 Plus</v>
      </c>
      <c r="D424" s="49" t="str">
        <f>'G MTTS'!M421</f>
        <v>Side Event</v>
      </c>
      <c r="E424" s="50" t="str">
        <f>'G MTTS'!N421</f>
        <v>NLH</v>
      </c>
      <c r="F424" s="51" t="str">
        <f>'G MTTS'!O421</f>
        <v>OFF</v>
      </c>
      <c r="G424" s="52">
        <f>IF('G MTTS'!Q421=0," ",'G MTTS'!Q421*$A$3)</f>
        <v>500</v>
      </c>
      <c r="H424" s="53">
        <f>IF('G MTTS'!V421=0," ",'G MTTS'!V421*$A$3)</f>
        <v>5</v>
      </c>
      <c r="I424" s="53">
        <f>IF('G MTTS'!W421=0," ",'G MTTS'!W421*$A$3)</f>
        <v>5</v>
      </c>
      <c r="J424" s="53">
        <f>IF('G MTTS'!Z421=0," ",'G MTTS'!Z421*$A$3)</f>
        <v>5</v>
      </c>
      <c r="K424" s="54">
        <f>'G MTTS'!AF421</f>
        <v>40000</v>
      </c>
      <c r="L424" s="54">
        <f>'G MTTS'!X421</f>
        <v>0</v>
      </c>
      <c r="M424" s="54">
        <f>'G MTTS'!AA421</f>
        <v>80000</v>
      </c>
      <c r="N424" s="55">
        <f>'G MTTS'!AG421</f>
        <v>6</v>
      </c>
      <c r="O424" s="55">
        <f>'G MTTS'!AH421</f>
        <v>6</v>
      </c>
      <c r="P424" s="55">
        <f>'G MTTS'!AI421</f>
        <v>6</v>
      </c>
      <c r="Q424" s="56">
        <f>'G MTTS'!AJ421</f>
        <v>13</v>
      </c>
      <c r="R424" s="46">
        <f t="shared" si="36"/>
        <v>0.314594907407407</v>
      </c>
      <c r="S424" s="47" t="str">
        <f t="shared" si="38"/>
        <v>MICRO</v>
      </c>
    </row>
    <row r="425" ht="29.25" customHeight="1" outlineLevel="1" spans="1:19">
      <c r="B425" s="36">
        <f>'G MTTS'!B422</f>
        <v>0.298622685185185</v>
      </c>
      <c r="C425" s="37" t="str">
        <f>'G MTTS'!J422</f>
        <v>500 Omax</v>
      </c>
      <c r="D425" s="38" t="str">
        <f>'G MTTS'!M422</f>
        <v>Side Event</v>
      </c>
      <c r="E425" s="39" t="str">
        <f>'G MTTS'!N422</f>
        <v>PLO5</v>
      </c>
      <c r="F425" s="40" t="str">
        <f>'G MTTS'!O422</f>
        <v>OFF</v>
      </c>
      <c r="G425" s="41">
        <f>IF('G MTTS'!Q422=0," ",'G MTTS'!Q422*$A$3)</f>
        <v>500</v>
      </c>
      <c r="H425" s="42">
        <f>IF('G MTTS'!V422=0," ",'G MTTS'!V422*$A$3)</f>
        <v>5</v>
      </c>
      <c r="I425" s="42">
        <f>IF('G MTTS'!W422=0," ",'G MTTS'!W422*$A$3)</f>
        <v>5</v>
      </c>
      <c r="J425" s="42">
        <f>IF('G MTTS'!Z422=0," ",'G MTTS'!Z422*$A$3)</f>
        <v>5</v>
      </c>
      <c r="K425" s="43">
        <f>'G MTTS'!AF422</f>
        <v>30000</v>
      </c>
      <c r="L425" s="43">
        <f>'G MTTS'!X422</f>
        <v>0</v>
      </c>
      <c r="M425" s="43">
        <f>'G MTTS'!AA422</f>
        <v>75000</v>
      </c>
      <c r="N425" s="44">
        <f>'G MTTS'!AG422</f>
        <v>5</v>
      </c>
      <c r="O425" s="44">
        <f>'G MTTS'!AH422</f>
        <v>5</v>
      </c>
      <c r="P425" s="44">
        <f>'G MTTS'!AI422</f>
        <v>5</v>
      </c>
      <c r="Q425" s="45">
        <f>'G MTTS'!AJ422</f>
        <v>12</v>
      </c>
      <c r="R425" s="46">
        <f t="shared" si="36"/>
        <v>0.343761574074074</v>
      </c>
      <c r="S425" s="47" t="str">
        <f t="shared" si="38"/>
        <v>MICRO</v>
      </c>
    </row>
    <row r="426" ht="29.25" customHeight="1" outlineLevel="1" spans="1:19">
      <c r="B426" s="36">
        <f>'G MTTS'!B423</f>
        <v>0.312511574074074</v>
      </c>
      <c r="C426" s="48" t="str">
        <f>'G MTTS'!J423</f>
        <v>400 Battle</v>
      </c>
      <c r="D426" s="49" t="str">
        <f>'G MTTS'!M423</f>
        <v>Side Event</v>
      </c>
      <c r="E426" s="50" t="str">
        <f>'G MTTS'!N423</f>
        <v>NLH</v>
      </c>
      <c r="F426" s="51" t="str">
        <f>'G MTTS'!O423</f>
        <v>Regular KO 1/3</v>
      </c>
      <c r="G426" s="52">
        <f>IF('G MTTS'!Q423=0," ",'G MTTS'!Q423*$A$3)</f>
        <v>400</v>
      </c>
      <c r="H426" s="53">
        <f>IF('G MTTS'!V423=0," ",'G MTTS'!V423*$A$3)</f>
        <v>5</v>
      </c>
      <c r="I426" s="53">
        <f>IF('G MTTS'!W423=0," ",'G MTTS'!W423*$A$3)</f>
        <v>5</v>
      </c>
      <c r="J426" s="53" t="str">
        <f>IF('G MTTS'!Z423=0," ",'G MTTS'!Z423*$A$3)</f>
        <v> </v>
      </c>
      <c r="K426" s="54">
        <f>'G MTTS'!AF423</f>
        <v>50000</v>
      </c>
      <c r="L426" s="54">
        <f>'G MTTS'!X423</f>
        <v>0</v>
      </c>
      <c r="M426" s="54" t="str">
        <f>'G MTTS'!AA423</f>
        <v>REENTRY</v>
      </c>
      <c r="N426" s="55">
        <f>'G MTTS'!AG423</f>
        <v>8</v>
      </c>
      <c r="O426" s="55">
        <f>'G MTTS'!AH423</f>
        <v>7</v>
      </c>
      <c r="P426" s="55">
        <f>'G MTTS'!AI423</f>
        <v>7</v>
      </c>
      <c r="Q426" s="56">
        <f>'G MTTS'!AJ423</f>
        <v>15</v>
      </c>
      <c r="R426" s="46">
        <f t="shared" si="36"/>
        <v>0.402789351851852</v>
      </c>
      <c r="S426" s="47" t="str">
        <f t="shared" si="38"/>
        <v>MICRO</v>
      </c>
    </row>
    <row r="427" ht="29.25" customHeight="1" outlineLevel="1" spans="1:19">
      <c r="A427" s="60" t="s">
        <v>521</v>
      </c>
      <c r="B427" s="36">
        <f>'G MTTS'!B424</f>
        <v>0.322928240740741</v>
      </c>
      <c r="C427" s="37" t="str">
        <f>'G MTTS'!J424</f>
        <v>#AS 1.5K Omax PKO</v>
      </c>
      <c r="D427" s="38" t="str">
        <f>'G MTTS'!M424</f>
        <v>Side Event</v>
      </c>
      <c r="E427" s="39" t="str">
        <f>'G MTTS'!N424</f>
        <v>PLO4</v>
      </c>
      <c r="F427" s="40" t="str">
        <f>'G MTTS'!O424</f>
        <v>Progressive KO 1/2</v>
      </c>
      <c r="G427" s="41">
        <f>IF('G MTTS'!Q424=0," ",'G MTTS'!Q424*$A$3)</f>
        <v>1500</v>
      </c>
      <c r="H427" s="42">
        <f>IF('G MTTS'!V424=0," ",'G MTTS'!V424*$A$3)</f>
        <v>15</v>
      </c>
      <c r="I427" s="42">
        <f>IF('G MTTS'!W424=0," ",'G MTTS'!W424*$A$3)</f>
        <v>15</v>
      </c>
      <c r="J427" s="42" t="str">
        <f>IF('G MTTS'!Z424=0," ",'G MTTS'!Z424*$A$3)</f>
        <v> </v>
      </c>
      <c r="K427" s="43">
        <f>'G MTTS'!AF424</f>
        <v>40000</v>
      </c>
      <c r="L427" s="43">
        <f>'G MTTS'!X424</f>
        <v>0</v>
      </c>
      <c r="M427" s="43" t="str">
        <f>'G MTTS'!AA424</f>
        <v>REENTRY</v>
      </c>
      <c r="N427" s="44">
        <f>'G MTTS'!AG424</f>
        <v>10</v>
      </c>
      <c r="O427" s="44">
        <f>'G MTTS'!AH424</f>
        <v>8</v>
      </c>
      <c r="P427" s="44">
        <f>'G MTTS'!AI424</f>
        <v>8</v>
      </c>
      <c r="Q427" s="45">
        <f>'G MTTS'!AJ424</f>
        <v>14</v>
      </c>
      <c r="R427" s="46">
        <f t="shared" si="36"/>
        <v>0.427094907407407</v>
      </c>
      <c r="S427" s="47" t="str">
        <f t="shared" si="38"/>
        <v>MICRO</v>
      </c>
    </row>
    <row r="428" ht="29.25" customHeight="1" outlineLevel="1" spans="1:19">
      <c r="B428" s="36">
        <f>'G MTTS'!B425</f>
        <v>0.333344907407407</v>
      </c>
      <c r="C428" s="48" t="str">
        <f>'G MTTS'!J425</f>
        <v>#AS 2.5K Plus</v>
      </c>
      <c r="D428" s="49" t="str">
        <f>'G MTTS'!M425</f>
        <v>Side Event</v>
      </c>
      <c r="E428" s="50" t="str">
        <f>'G MTTS'!N425</f>
        <v>NLH</v>
      </c>
      <c r="F428" s="51" t="str">
        <f>'G MTTS'!O425</f>
        <v>OFF</v>
      </c>
      <c r="G428" s="52">
        <f>IF('G MTTS'!Q425=0," ",'G MTTS'!Q425*$A$3)</f>
        <v>2500</v>
      </c>
      <c r="H428" s="53">
        <f>IF('G MTTS'!V425=0," ",'G MTTS'!V425*$A$3)</f>
        <v>5</v>
      </c>
      <c r="I428" s="53">
        <f>IF('G MTTS'!W425=0," ",'G MTTS'!W425*$A$3)</f>
        <v>5</v>
      </c>
      <c r="J428" s="53">
        <f>IF('G MTTS'!Z425=0," ",'G MTTS'!Z425*$A$3)</f>
        <v>5</v>
      </c>
      <c r="K428" s="54">
        <f>'G MTTS'!AF425</f>
        <v>40000</v>
      </c>
      <c r="L428" s="54">
        <f>'G MTTS'!X425</f>
        <v>0</v>
      </c>
      <c r="M428" s="54">
        <f>'G MTTS'!AA425</f>
        <v>100000</v>
      </c>
      <c r="N428" s="55">
        <f>'G MTTS'!AG425</f>
        <v>8</v>
      </c>
      <c r="O428" s="55">
        <f>'G MTTS'!AH425</f>
        <v>7</v>
      </c>
      <c r="P428" s="55">
        <f>'G MTTS'!AI425</f>
        <v>7</v>
      </c>
      <c r="Q428" s="56">
        <f>'G MTTS'!AJ425</f>
        <v>15</v>
      </c>
      <c r="R428" s="46">
        <f t="shared" si="36"/>
        <v>0.423622685185185</v>
      </c>
      <c r="S428" s="47" t="str">
        <f t="shared" si="38"/>
        <v>MICRO</v>
      </c>
    </row>
    <row r="429" ht="29.25" customHeight="1" outlineLevel="1" spans="1:19">
      <c r="A429" s="60" t="s">
        <v>521</v>
      </c>
      <c r="B429" s="36">
        <f>'G MTTS'!B426</f>
        <v>0.375011574074074</v>
      </c>
      <c r="C429" s="37" t="str">
        <f>'G MTTS'!J426</f>
        <v>750 Bounty</v>
      </c>
      <c r="D429" s="38" t="str">
        <f>'G MTTS'!M426</f>
        <v>Side Event</v>
      </c>
      <c r="E429" s="39" t="str">
        <f>'G MTTS'!N426</f>
        <v>NLH</v>
      </c>
      <c r="F429" s="40" t="str">
        <f>'G MTTS'!O426</f>
        <v>Progressive KO 1/3</v>
      </c>
      <c r="G429" s="41">
        <f>IF('G MTTS'!Q426=0," ",'G MTTS'!Q426*$A$3)</f>
        <v>750</v>
      </c>
      <c r="H429" s="42">
        <f>IF('G MTTS'!V426=0," ",'G MTTS'!V426*$A$3)</f>
        <v>7.5</v>
      </c>
      <c r="I429" s="42">
        <f>IF('G MTTS'!W426=0," ",'G MTTS'!W426*$A$3)</f>
        <v>7.5</v>
      </c>
      <c r="J429" s="42" t="str">
        <f>IF('G MTTS'!Z426=0," ",'G MTTS'!Z426*$A$3)</f>
        <v> </v>
      </c>
      <c r="K429" s="43">
        <f>'G MTTS'!AF426</f>
        <v>50000</v>
      </c>
      <c r="L429" s="43">
        <f>'G MTTS'!X426</f>
        <v>60000</v>
      </c>
      <c r="M429" s="43" t="str">
        <f>'G MTTS'!AA426</f>
        <v>REENTRY</v>
      </c>
      <c r="N429" s="44">
        <f>'G MTTS'!AG426</f>
        <v>8</v>
      </c>
      <c r="O429" s="44">
        <f>'G MTTS'!AH426</f>
        <v>8</v>
      </c>
      <c r="P429" s="44">
        <f>'G MTTS'!AI426</f>
        <v>8</v>
      </c>
      <c r="Q429" s="45">
        <f>'G MTTS'!AJ426</f>
        <v>15</v>
      </c>
      <c r="R429" s="46">
        <f t="shared" si="36"/>
        <v>0.465289351851852</v>
      </c>
      <c r="S429" s="47" t="str">
        <f t="shared" si="38"/>
        <v>MICRO</v>
      </c>
    </row>
    <row r="430" ht="29.25" customHeight="1" outlineLevel="1" spans="1:19">
      <c r="B430" s="36">
        <f>'G MTTS'!B427</f>
        <v>0.375011574074074</v>
      </c>
      <c r="C430" s="48" t="str">
        <f>'G MTTS'!J427</f>
        <v>500 Omax</v>
      </c>
      <c r="D430" s="49" t="str">
        <f>'G MTTS'!M427</f>
        <v>Side Event</v>
      </c>
      <c r="E430" s="50" t="str">
        <f>'G MTTS'!N427</f>
        <v>PLO4</v>
      </c>
      <c r="F430" s="51" t="str">
        <f>'G MTTS'!O427</f>
        <v>OFF</v>
      </c>
      <c r="G430" s="52">
        <f>IF('G MTTS'!Q427=0," ",'G MTTS'!Q427*$A$3)</f>
        <v>500</v>
      </c>
      <c r="H430" s="53">
        <f>IF('G MTTS'!V427=0," ",'G MTTS'!V427*$A$3)</f>
        <v>5</v>
      </c>
      <c r="I430" s="53">
        <f>IF('G MTTS'!W427=0," ",'G MTTS'!W427*$A$3)</f>
        <v>5</v>
      </c>
      <c r="J430" s="53">
        <f>IF('G MTTS'!Z427=0," ",'G MTTS'!Z427*$A$3)</f>
        <v>5</v>
      </c>
      <c r="K430" s="54">
        <f>'G MTTS'!AF427</f>
        <v>40000</v>
      </c>
      <c r="L430" s="54">
        <f>'G MTTS'!X427</f>
        <v>0</v>
      </c>
      <c r="M430" s="54">
        <f>'G MTTS'!AA427</f>
        <v>80000</v>
      </c>
      <c r="N430" s="55">
        <f>'G MTTS'!AG427</f>
        <v>7</v>
      </c>
      <c r="O430" s="55">
        <f>'G MTTS'!AH427</f>
        <v>7</v>
      </c>
      <c r="P430" s="55">
        <f>'G MTTS'!AI427</f>
        <v>6</v>
      </c>
      <c r="Q430" s="56">
        <f>'G MTTS'!AJ427</f>
        <v>13</v>
      </c>
      <c r="R430" s="46">
        <f t="shared" si="36"/>
        <v>0.441678240740741</v>
      </c>
      <c r="S430" s="47" t="str">
        <f t="shared" si="38"/>
        <v>MICRO</v>
      </c>
    </row>
    <row r="431" ht="29.25" customHeight="1" outlineLevel="1" spans="1:19">
      <c r="B431" s="36">
        <f>'G MTTS'!B428</f>
        <v>0.416678240740741</v>
      </c>
      <c r="C431" s="37" t="str">
        <f>'G MTTS'!J428</f>
        <v>#AS 5K Battle</v>
      </c>
      <c r="D431" s="38" t="str">
        <f>'G MTTS'!M428</f>
        <v>Side Event</v>
      </c>
      <c r="E431" s="39" t="str">
        <f>'G MTTS'!N428</f>
        <v>NLH</v>
      </c>
      <c r="F431" s="40" t="str">
        <f>'G MTTS'!O428</f>
        <v>Regular KO 1/2</v>
      </c>
      <c r="G431" s="41">
        <f>IF('G MTTS'!Q428=0," ",'G MTTS'!Q428*$A$3)</f>
        <v>5000</v>
      </c>
      <c r="H431" s="42">
        <f>IF('G MTTS'!V428=0," ",'G MTTS'!V428*$A$3)</f>
        <v>30</v>
      </c>
      <c r="I431" s="42">
        <f>IF('G MTTS'!W428=0," ",'G MTTS'!W428*$A$3)</f>
        <v>30</v>
      </c>
      <c r="J431" s="42" t="str">
        <f>IF('G MTTS'!Z428=0," ",'G MTTS'!Z428*$A$3)</f>
        <v> </v>
      </c>
      <c r="K431" s="43">
        <f>'G MTTS'!AF428</f>
        <v>40000</v>
      </c>
      <c r="L431" s="43">
        <f>'G MTTS'!X428</f>
        <v>0</v>
      </c>
      <c r="M431" s="43" t="str">
        <f>'G MTTS'!AA428</f>
        <v>REENTRY</v>
      </c>
      <c r="N431" s="44">
        <f>'G MTTS'!AG428</f>
        <v>10</v>
      </c>
      <c r="O431" s="44">
        <f>'G MTTS'!AH428</f>
        <v>8</v>
      </c>
      <c r="P431" s="44">
        <f>'G MTTS'!AI428</f>
        <v>8</v>
      </c>
      <c r="Q431" s="45">
        <f>'G MTTS'!AJ428</f>
        <v>14</v>
      </c>
      <c r="R431" s="46">
        <f t="shared" si="36"/>
        <v>0.520844907407407</v>
      </c>
      <c r="S431" s="47" t="str">
        <f t="shared" si="38"/>
        <v>LOW</v>
      </c>
    </row>
    <row r="432" ht="29.25" customHeight="1" outlineLevel="1" spans="1:19">
      <c r="A432" s="60" t="s">
        <v>521</v>
      </c>
      <c r="B432" s="36">
        <f>'G MTTS'!B429</f>
        <v>0.416678240740741</v>
      </c>
      <c r="C432" s="48" t="str">
        <f>'G MTTS'!J429</f>
        <v>1K Plus</v>
      </c>
      <c r="D432" s="49" t="str">
        <f>'G MTTS'!M429</f>
        <v>Side Event</v>
      </c>
      <c r="E432" s="50" t="str">
        <f>'G MTTS'!N429</f>
        <v>NLH</v>
      </c>
      <c r="F432" s="51" t="str">
        <f>'G MTTS'!O429</f>
        <v>OFF</v>
      </c>
      <c r="G432" s="52">
        <f>IF('G MTTS'!Q429=0," ",'G MTTS'!Q429*$A$3)</f>
        <v>1000</v>
      </c>
      <c r="H432" s="53">
        <f>IF('G MTTS'!V429=0," ",'G MTTS'!V429*$A$3)</f>
        <v>2</v>
      </c>
      <c r="I432" s="53">
        <f>IF('G MTTS'!W429=0," ",'G MTTS'!W429*$A$3)</f>
        <v>2</v>
      </c>
      <c r="J432" s="53">
        <f>IF('G MTTS'!Z429=0," ",'G MTTS'!Z429*$A$3)</f>
        <v>3</v>
      </c>
      <c r="K432" s="54">
        <f>'G MTTS'!AF429</f>
        <v>40000</v>
      </c>
      <c r="L432" s="54">
        <f>'G MTTS'!X429</f>
        <v>0</v>
      </c>
      <c r="M432" s="54">
        <f>'G MTTS'!AA429</f>
        <v>80000</v>
      </c>
      <c r="N432" s="55">
        <f>'G MTTS'!AG429</f>
        <v>7</v>
      </c>
      <c r="O432" s="55">
        <f>'G MTTS'!AH429</f>
        <v>6</v>
      </c>
      <c r="P432" s="55">
        <f>'G MTTS'!AI429</f>
        <v>6</v>
      </c>
      <c r="Q432" s="56">
        <f>'G MTTS'!AJ429</f>
        <v>15</v>
      </c>
      <c r="R432" s="46">
        <f t="shared" si="36"/>
        <v>0.49306712962963</v>
      </c>
      <c r="S432" s="47" t="str">
        <f t="shared" si="38"/>
        <v>MICRO</v>
      </c>
    </row>
    <row r="433" ht="29.25" customHeight="1" outlineLevel="1" spans="1:19">
      <c r="B433" s="36">
        <f>'G MTTS'!B430</f>
        <v>0.437511574074074</v>
      </c>
      <c r="C433" s="37" t="str">
        <f>'G MTTS'!J430</f>
        <v>#AS 2K Omax</v>
      </c>
      <c r="D433" s="38" t="str">
        <f>'G MTTS'!M430</f>
        <v>Side Event</v>
      </c>
      <c r="E433" s="39" t="str">
        <f>'G MTTS'!N430</f>
        <v>PLO5</v>
      </c>
      <c r="F433" s="40" t="str">
        <f>'G MTTS'!O430</f>
        <v>OFF</v>
      </c>
      <c r="G433" s="41">
        <f>IF('G MTTS'!Q430=0," ",'G MTTS'!Q430*$A$3)</f>
        <v>2000</v>
      </c>
      <c r="H433" s="42">
        <f>IF('G MTTS'!V430=0," ",'G MTTS'!V430*$A$3)</f>
        <v>15</v>
      </c>
      <c r="I433" s="42">
        <f>IF('G MTTS'!W430=0," ",'G MTTS'!W430*$A$3)</f>
        <v>15</v>
      </c>
      <c r="J433" s="42">
        <f>IF('G MTTS'!Z430=0," ",'G MTTS'!Z430*$A$3)</f>
        <v>15</v>
      </c>
      <c r="K433" s="43">
        <f>'G MTTS'!AF430</f>
        <v>40000</v>
      </c>
      <c r="L433" s="43">
        <f>'G MTTS'!X430</f>
        <v>0</v>
      </c>
      <c r="M433" s="43">
        <f>'G MTTS'!AA430</f>
        <v>100000</v>
      </c>
      <c r="N433" s="44">
        <f>'G MTTS'!AG430</f>
        <v>8</v>
      </c>
      <c r="O433" s="44">
        <f>'G MTTS'!AH430</f>
        <v>7</v>
      </c>
      <c r="P433" s="44">
        <f>'G MTTS'!AI430</f>
        <v>7</v>
      </c>
      <c r="Q433" s="45">
        <f>'G MTTS'!AJ430</f>
        <v>13</v>
      </c>
      <c r="R433" s="46">
        <f t="shared" si="36"/>
        <v>0.513206018518519</v>
      </c>
      <c r="S433" s="47" t="str">
        <f t="shared" si="38"/>
        <v>MICRO</v>
      </c>
    </row>
    <row r="434" ht="29.25" customHeight="1" outlineLevel="1" spans="1:19">
      <c r="A434" s="60" t="s">
        <v>521</v>
      </c>
      <c r="B434" s="36">
        <f>'G MTTS'!B431</f>
        <v>0.458344907407407</v>
      </c>
      <c r="C434" s="48" t="str">
        <f>'G MTTS'!J431</f>
        <v>#AS 15K Plus+SPS</v>
      </c>
      <c r="D434" s="49" t="str">
        <f>'G MTTS'!M431</f>
        <v>Side Event</v>
      </c>
      <c r="E434" s="50" t="str">
        <f>'G MTTS'!N431</f>
        <v>NLH</v>
      </c>
      <c r="F434" s="51" t="str">
        <f>'G MTTS'!O431</f>
        <v>OFF</v>
      </c>
      <c r="G434" s="52">
        <f>IF('G MTTS'!Q431=0," ",'G MTTS'!Q431*$A$3)</f>
        <v>16000</v>
      </c>
      <c r="H434" s="53">
        <f>IF('G MTTS'!V431=0," ",'G MTTS'!V431*$A$3)</f>
        <v>15</v>
      </c>
      <c r="I434" s="53">
        <f>IF('G MTTS'!W431=0," ",'G MTTS'!W431*$A$3)</f>
        <v>15</v>
      </c>
      <c r="J434" s="53">
        <f>IF('G MTTS'!Z431=0," ",'G MTTS'!Z431*$A$3)</f>
        <v>15</v>
      </c>
      <c r="K434" s="54">
        <f>'G MTTS'!AF431</f>
        <v>40000</v>
      </c>
      <c r="L434" s="54">
        <f>'G MTTS'!X431</f>
        <v>0</v>
      </c>
      <c r="M434" s="54">
        <f>'G MTTS'!AA431</f>
        <v>120000</v>
      </c>
      <c r="N434" s="55">
        <f>'G MTTS'!AG431</f>
        <v>10</v>
      </c>
      <c r="O434" s="55">
        <f>'G MTTS'!AH431</f>
        <v>8</v>
      </c>
      <c r="P434" s="55">
        <f>'G MTTS'!AI431</f>
        <v>8</v>
      </c>
      <c r="Q434" s="56">
        <f>'G MTTS'!AJ431</f>
        <v>14</v>
      </c>
      <c r="R434" s="46">
        <f t="shared" si="36"/>
        <v>0.562511574074074</v>
      </c>
      <c r="S434" s="47" t="str">
        <f t="shared" si="38"/>
        <v>MICRO</v>
      </c>
    </row>
    <row r="435" ht="29.25" customHeight="1" outlineLevel="1" spans="1:19">
      <c r="B435" s="36">
        <f>'G MTTS'!B432</f>
        <v>0.458344907407407</v>
      </c>
      <c r="C435" s="37" t="str">
        <f>'G MTTS'!J432</f>
        <v>600 Omax</v>
      </c>
      <c r="D435" s="38" t="str">
        <f>'G MTTS'!M432</f>
        <v>Side Event</v>
      </c>
      <c r="E435" s="39" t="str">
        <f>'G MTTS'!N432</f>
        <v>PLO4</v>
      </c>
      <c r="F435" s="40" t="str">
        <f>'G MTTS'!O432</f>
        <v>OFF</v>
      </c>
      <c r="G435" s="41">
        <f>IF('G MTTS'!Q432=0," ",'G MTTS'!Q432*$A$3)</f>
        <v>600</v>
      </c>
      <c r="H435" s="42">
        <f>IF('G MTTS'!V432=0," ",'G MTTS'!V432*$A$3)</f>
        <v>4</v>
      </c>
      <c r="I435" s="42">
        <f>IF('G MTTS'!W432=0," ",'G MTTS'!W432*$A$3)</f>
        <v>4</v>
      </c>
      <c r="J435" s="42">
        <f>IF('G MTTS'!Z432=0," ",'G MTTS'!Z432*$A$3)</f>
        <v>5</v>
      </c>
      <c r="K435" s="43">
        <f>'G MTTS'!AF432</f>
        <v>40000</v>
      </c>
      <c r="L435" s="43">
        <f>'G MTTS'!X432</f>
        <v>0</v>
      </c>
      <c r="M435" s="43">
        <f>'G MTTS'!AA432</f>
        <v>100000</v>
      </c>
      <c r="N435" s="44">
        <f>'G MTTS'!AG432</f>
        <v>8</v>
      </c>
      <c r="O435" s="44">
        <f>'G MTTS'!AH432</f>
        <v>7</v>
      </c>
      <c r="P435" s="44">
        <f>'G MTTS'!AI432</f>
        <v>7</v>
      </c>
      <c r="Q435" s="45">
        <f>'G MTTS'!AJ432</f>
        <v>15</v>
      </c>
      <c r="R435" s="46">
        <f t="shared" si="36"/>
        <v>0.548622685185185</v>
      </c>
      <c r="S435" s="47" t="str">
        <f t="shared" si="38"/>
        <v>MICRO</v>
      </c>
    </row>
    <row r="436" ht="29.25" customHeight="1" outlineLevel="1" spans="1:19">
      <c r="B436" s="36">
        <f>'G MTTS'!B433</f>
        <v>0.458344907407407</v>
      </c>
      <c r="C436" s="48" t="str">
        <f>'G MTTS'!J433</f>
        <v>Sit&amp;go 200p max.</v>
      </c>
      <c r="D436" s="49" t="str">
        <f>'G MTTS'!M433</f>
        <v>Side Event</v>
      </c>
      <c r="E436" s="50" t="str">
        <f>'G MTTS'!N433</f>
        <v>NLH</v>
      </c>
      <c r="F436" s="51" t="str">
        <f>'G MTTS'!O433</f>
        <v>OFF</v>
      </c>
      <c r="G436" s="52">
        <f>IF('G MTTS'!Q433=0," ",'G MTTS'!Q433*$A$3)</f>
        <v>200</v>
      </c>
      <c r="H436" s="53">
        <f>IF('G MTTS'!V433=0," ",'G MTTS'!V433*$A$3)</f>
        <v>3</v>
      </c>
      <c r="I436" s="53">
        <f>IF('G MTTS'!W433=0," ",'G MTTS'!W433*$A$3)</f>
        <v>3</v>
      </c>
      <c r="J436" s="53">
        <f>IF('G MTTS'!Z433=0," ",'G MTTS'!Z433*$A$3)</f>
        <v>3</v>
      </c>
      <c r="K436" s="54">
        <f>'G MTTS'!AF433</f>
        <v>20000</v>
      </c>
      <c r="L436" s="54">
        <f>'G MTTS'!X433</f>
        <v>0</v>
      </c>
      <c r="M436" s="54">
        <f>'G MTTS'!AA433</f>
        <v>30000</v>
      </c>
      <c r="N436" s="55">
        <f>'G MTTS'!AG433</f>
        <v>5</v>
      </c>
      <c r="O436" s="55">
        <f>'G MTTS'!AH433</f>
        <v>5</v>
      </c>
      <c r="P436" s="55">
        <f>'G MTTS'!AI433</f>
        <v>5</v>
      </c>
      <c r="Q436" s="56">
        <f>'G MTTS'!AJ433</f>
        <v>15</v>
      </c>
      <c r="R436" s="46">
        <f t="shared" si="36"/>
        <v>0.513900462962963</v>
      </c>
      <c r="S436" s="47" t="str">
        <f t="shared" si="38"/>
        <v>MICRO</v>
      </c>
    </row>
    <row r="437" ht="29.25" customHeight="1" outlineLevel="1" spans="1:19">
      <c r="A437" s="60" t="s">
        <v>521</v>
      </c>
      <c r="B437" s="36">
        <f>'G MTTS'!B434</f>
        <v>0.500011574074074</v>
      </c>
      <c r="C437" s="37" t="str">
        <f>'G MTTS'!J434</f>
        <v>#AS 3K Big Mystery</v>
      </c>
      <c r="D437" s="38" t="str">
        <f>'G MTTS'!M434</f>
        <v>Side Event</v>
      </c>
      <c r="E437" s="39" t="str">
        <f>'G MTTS'!N434</f>
        <v>NLH</v>
      </c>
      <c r="F437" s="40" t="str">
        <f>'G MTTS'!O434</f>
        <v>Mystery Bounty 1/2</v>
      </c>
      <c r="G437" s="41">
        <f>IF('G MTTS'!Q434=0," ",'G MTTS'!Q434*$A$3)</f>
        <v>3000</v>
      </c>
      <c r="H437" s="42">
        <f>IF('G MTTS'!V434=0," ",'G MTTS'!V434*$A$3)</f>
        <v>10</v>
      </c>
      <c r="I437" s="42">
        <f>IF('G MTTS'!W434=0," ",'G MTTS'!W434*$A$3)</f>
        <v>10</v>
      </c>
      <c r="J437" s="42" t="str">
        <f>IF('G MTTS'!Z434=0," ",'G MTTS'!Z434*$A$3)</f>
        <v> </v>
      </c>
      <c r="K437" s="43">
        <f>'G MTTS'!AF434</f>
        <v>50000</v>
      </c>
      <c r="L437" s="43">
        <f>'G MTTS'!X434</f>
        <v>0</v>
      </c>
      <c r="M437" s="43" t="str">
        <f>'G MTTS'!AA434</f>
        <v>REENTRY</v>
      </c>
      <c r="N437" s="44">
        <f>'G MTTS'!AG434</f>
        <v>10</v>
      </c>
      <c r="O437" s="44">
        <f>'G MTTS'!AH434</f>
        <v>8</v>
      </c>
      <c r="P437" s="44">
        <f>'G MTTS'!AI434</f>
        <v>8</v>
      </c>
      <c r="Q437" s="45">
        <f>'G MTTS'!AJ434</f>
        <v>13</v>
      </c>
      <c r="R437" s="46">
        <f t="shared" si="36"/>
        <v>0.597233796296296</v>
      </c>
      <c r="S437" s="47" t="str">
        <f t="shared" si="38"/>
        <v>MICRO</v>
      </c>
    </row>
    <row r="438" ht="29.25" customHeight="1" outlineLevel="1" spans="1:19">
      <c r="B438" s="36">
        <f>'G MTTS'!B435</f>
        <v>0.500011574074074</v>
      </c>
      <c r="C438" s="48" t="str">
        <f>'G MTTS'!J435</f>
        <v>1.5K Plus</v>
      </c>
      <c r="D438" s="49" t="str">
        <f>'G MTTS'!M435</f>
        <v>Side Event</v>
      </c>
      <c r="E438" s="50" t="str">
        <f>'G MTTS'!N435</f>
        <v>NLH</v>
      </c>
      <c r="F438" s="51" t="str">
        <f>'G MTTS'!O435</f>
        <v>OFF</v>
      </c>
      <c r="G438" s="52">
        <f>IF('G MTTS'!Q435=0," ",'G MTTS'!Q435*$A$3)</f>
        <v>1500</v>
      </c>
      <c r="H438" s="53">
        <f>IF('G MTTS'!V435=0," ",'G MTTS'!V435*$A$3)</f>
        <v>3</v>
      </c>
      <c r="I438" s="53">
        <f>IF('G MTTS'!W435=0," ",'G MTTS'!W435*$A$3)</f>
        <v>3</v>
      </c>
      <c r="J438" s="53">
        <f>IF('G MTTS'!Z435=0," ",'G MTTS'!Z435*$A$3)</f>
        <v>4</v>
      </c>
      <c r="K438" s="54">
        <f>'G MTTS'!AF435</f>
        <v>40000</v>
      </c>
      <c r="L438" s="54">
        <f>'G MTTS'!X435</f>
        <v>0</v>
      </c>
      <c r="M438" s="54">
        <f>'G MTTS'!AA435</f>
        <v>100000</v>
      </c>
      <c r="N438" s="55">
        <f>'G MTTS'!AG435</f>
        <v>7</v>
      </c>
      <c r="O438" s="55">
        <f>'G MTTS'!AH435</f>
        <v>6</v>
      </c>
      <c r="P438" s="55">
        <f>'G MTTS'!AI435</f>
        <v>6</v>
      </c>
      <c r="Q438" s="56">
        <f>'G MTTS'!AJ435</f>
        <v>15</v>
      </c>
      <c r="R438" s="46">
        <f t="shared" si="36"/>
        <v>0.576400462962963</v>
      </c>
      <c r="S438" s="47" t="str">
        <f t="shared" si="38"/>
        <v>MICRO</v>
      </c>
    </row>
    <row r="439" ht="29.25" customHeight="1" outlineLevel="1" spans="1:19">
      <c r="B439" s="36">
        <f>'G MTTS'!B436</f>
        <v>0.500011574074074</v>
      </c>
      <c r="C439" s="37" t="str">
        <f>'G MTTS'!J436</f>
        <v>#AS 8K Reentry</v>
      </c>
      <c r="D439" s="38" t="str">
        <f>'G MTTS'!M436</f>
        <v>Side Event</v>
      </c>
      <c r="E439" s="39" t="str">
        <f>'G MTTS'!N436</f>
        <v>NLH</v>
      </c>
      <c r="F439" s="40" t="str">
        <f>'G MTTS'!O436</f>
        <v>OFF</v>
      </c>
      <c r="G439" s="41">
        <f>IF('G MTTS'!Q436=0," ",'G MTTS'!Q436*$A$3)</f>
        <v>8000</v>
      </c>
      <c r="H439" s="42">
        <f>IF('G MTTS'!V436=0," ",'G MTTS'!V436*$A$3)</f>
        <v>75</v>
      </c>
      <c r="I439" s="42">
        <f>IF('G MTTS'!W436=0," ",'G MTTS'!W436*$A$3)</f>
        <v>75</v>
      </c>
      <c r="J439" s="42" t="str">
        <f>IF('G MTTS'!Z436=0," ",'G MTTS'!Z436*$A$3)</f>
        <v> </v>
      </c>
      <c r="K439" s="43">
        <f>'G MTTS'!AF436</f>
        <v>80000</v>
      </c>
      <c r="L439" s="43">
        <f>'G MTTS'!X436</f>
        <v>0</v>
      </c>
      <c r="M439" s="43" t="str">
        <f>'G MTTS'!AA436</f>
        <v>REENTRY</v>
      </c>
      <c r="N439" s="44">
        <f>'G MTTS'!AG436</f>
        <v>10</v>
      </c>
      <c r="O439" s="44">
        <f>'G MTTS'!AH436</f>
        <v>10</v>
      </c>
      <c r="P439" s="44">
        <f>'G MTTS'!AI436</f>
        <v>10</v>
      </c>
      <c r="Q439" s="45">
        <f>'G MTTS'!AJ436</f>
        <v>15</v>
      </c>
      <c r="R439" s="46">
        <f t="shared" si="36"/>
        <v>0.611122685185185</v>
      </c>
      <c r="S439" s="47" t="str">
        <f t="shared" si="38"/>
        <v>LOW</v>
      </c>
    </row>
    <row r="440" ht="29.25" customHeight="1" outlineLevel="1" spans="1:19">
      <c r="A440" s="60"/>
      <c r="B440" s="36">
        <f>'G MTTS'!B437</f>
        <v>0.520844907407407</v>
      </c>
      <c r="C440" s="48" t="str">
        <f>'G MTTS'!J437</f>
        <v>#AS 8K OmaX PKO</v>
      </c>
      <c r="D440" s="49" t="str">
        <f>'G MTTS'!M437</f>
        <v>Side Event</v>
      </c>
      <c r="E440" s="50" t="str">
        <f>'G MTTS'!N437</f>
        <v>PLO5</v>
      </c>
      <c r="F440" s="51" t="str">
        <f>'G MTTS'!O437</f>
        <v>Progressive KO 1/2</v>
      </c>
      <c r="G440" s="52">
        <f>IF('G MTTS'!Q437=0," ",'G MTTS'!Q437*$A$3)</f>
        <v>8000</v>
      </c>
      <c r="H440" s="53">
        <f>IF('G MTTS'!V437=0," ",'G MTTS'!V437*$A$3)</f>
        <v>60</v>
      </c>
      <c r="I440" s="53">
        <f>IF('G MTTS'!W437=0," ",'G MTTS'!W437*$A$3)</f>
        <v>60</v>
      </c>
      <c r="J440" s="53" t="str">
        <f>IF('G MTTS'!Z437=0," ",'G MTTS'!Z437*$A$3)</f>
        <v> </v>
      </c>
      <c r="K440" s="54">
        <f>'G MTTS'!AF437</f>
        <v>40000</v>
      </c>
      <c r="L440" s="54">
        <f>'G MTTS'!X437</f>
        <v>0</v>
      </c>
      <c r="M440" s="54" t="str">
        <f>'G MTTS'!AA437</f>
        <v>REENTRY</v>
      </c>
      <c r="N440" s="55">
        <f>'G MTTS'!AG437</f>
        <v>12</v>
      </c>
      <c r="O440" s="55">
        <f>'G MTTS'!AH437</f>
        <v>10</v>
      </c>
      <c r="P440" s="55">
        <f>'G MTTS'!AI437</f>
        <v>10</v>
      </c>
      <c r="Q440" s="56">
        <f>'G MTTS'!AJ437</f>
        <v>14</v>
      </c>
      <c r="R440" s="46">
        <f t="shared" si="36"/>
        <v>0.644456018518519</v>
      </c>
      <c r="S440" s="47" t="str">
        <f t="shared" si="38"/>
        <v>LOW</v>
      </c>
    </row>
    <row r="441" ht="29.25" customHeight="1" outlineLevel="1" spans="1:19">
      <c r="B441" s="36">
        <f>'G MTTS'!B438</f>
        <v>0.541678240740741</v>
      </c>
      <c r="C441" s="37" t="str">
        <f>'G MTTS'!J438</f>
        <v>#AS 10K Battle</v>
      </c>
      <c r="D441" s="38" t="str">
        <f>'G MTTS'!M438</f>
        <v>Side Event</v>
      </c>
      <c r="E441" s="39" t="str">
        <f>'G MTTS'!N438</f>
        <v>NLH</v>
      </c>
      <c r="F441" s="40" t="str">
        <f>'G MTTS'!O438</f>
        <v>Regular KO 1/2</v>
      </c>
      <c r="G441" s="41">
        <f>IF('G MTTS'!Q438=0," ",'G MTTS'!Q438*$A$3)</f>
        <v>10000</v>
      </c>
      <c r="H441" s="42">
        <f>IF('G MTTS'!V438=0," ",'G MTTS'!V438*$A$3)</f>
        <v>25</v>
      </c>
      <c r="I441" s="42">
        <f>IF('G MTTS'!W438=0," ",'G MTTS'!W438*$A$3)</f>
        <v>25</v>
      </c>
      <c r="J441" s="42" t="str">
        <f>IF('G MTTS'!Z438=0," ",'G MTTS'!Z438*$A$3)</f>
        <v> </v>
      </c>
      <c r="K441" s="43">
        <f>'G MTTS'!AF438</f>
        <v>80000</v>
      </c>
      <c r="L441" s="43">
        <f>'G MTTS'!X438</f>
        <v>0</v>
      </c>
      <c r="M441" s="43" t="str">
        <f>'G MTTS'!AA438</f>
        <v>REENTRY</v>
      </c>
      <c r="N441" s="44">
        <f>'G MTTS'!AG438</f>
        <v>12</v>
      </c>
      <c r="O441" s="44">
        <f>'G MTTS'!AH438</f>
        <v>10</v>
      </c>
      <c r="P441" s="44">
        <f>'G MTTS'!AI438</f>
        <v>10</v>
      </c>
      <c r="Q441" s="45">
        <f>'G MTTS'!AJ438</f>
        <v>15</v>
      </c>
      <c r="R441" s="46">
        <f t="shared" si="36"/>
        <v>0.677094907407407</v>
      </c>
      <c r="S441" s="47" t="str">
        <f t="shared" si="38"/>
        <v>MICRO</v>
      </c>
    </row>
    <row r="442" ht="29.25" customHeight="1" outlineLevel="1" spans="1:19">
      <c r="A442" s="60" t="s">
        <v>521</v>
      </c>
      <c r="B442" s="36">
        <f>'G MTTS'!B439</f>
        <v>0.541678240740741</v>
      </c>
      <c r="C442" s="48" t="str">
        <f>'G MTTS'!J439</f>
        <v>500 Omax PKO</v>
      </c>
      <c r="D442" s="49" t="str">
        <f>'G MTTS'!M439</f>
        <v>Side Event</v>
      </c>
      <c r="E442" s="50" t="str">
        <f>'G MTTS'!N439</f>
        <v>PLO4</v>
      </c>
      <c r="F442" s="51" t="str">
        <f>'G MTTS'!O439</f>
        <v>Progressive KO 1/2</v>
      </c>
      <c r="G442" s="52">
        <f>IF('G MTTS'!Q439=0," ",'G MTTS'!Q439*$A$3)</f>
        <v>500</v>
      </c>
      <c r="H442" s="53">
        <f>IF('G MTTS'!V439=0," ",'G MTTS'!V439*$A$3)</f>
        <v>3</v>
      </c>
      <c r="I442" s="53">
        <f>IF('G MTTS'!W439=0," ",'G MTTS'!W439*$A$3)</f>
        <v>3</v>
      </c>
      <c r="J442" s="53" t="str">
        <f>IF('G MTTS'!Z439=0," ",'G MTTS'!Z439*$A$3)</f>
        <v> </v>
      </c>
      <c r="K442" s="54">
        <f>'G MTTS'!AF439</f>
        <v>50000</v>
      </c>
      <c r="L442" s="54">
        <f>'G MTTS'!X439</f>
        <v>0</v>
      </c>
      <c r="M442" s="54" t="str">
        <f>'G MTTS'!AA439</f>
        <v>REENTRY</v>
      </c>
      <c r="N442" s="55">
        <f>'G MTTS'!AG439</f>
        <v>8</v>
      </c>
      <c r="O442" s="55">
        <f>'G MTTS'!AH439</f>
        <v>7</v>
      </c>
      <c r="P442" s="55">
        <f>'G MTTS'!AI439</f>
        <v>7</v>
      </c>
      <c r="Q442" s="56">
        <f>'G MTTS'!AJ439</f>
        <v>15</v>
      </c>
      <c r="R442" s="46">
        <f t="shared" si="36"/>
        <v>0.631956018518519</v>
      </c>
      <c r="S442" s="47" t="str">
        <f t="shared" si="38"/>
        <v>MICRO</v>
      </c>
    </row>
    <row r="443" ht="29.25" customHeight="1" outlineLevel="1" spans="1:19">
      <c r="B443" s="36">
        <f>'G MTTS'!B440</f>
        <v>0.552094907407407</v>
      </c>
      <c r="C443" s="37" t="str">
        <f>'G MTTS'!J440</f>
        <v>#AS 5K Freeze</v>
      </c>
      <c r="D443" s="38" t="str">
        <f>'G MTTS'!M440</f>
        <v>Side Event</v>
      </c>
      <c r="E443" s="39" t="str">
        <f>'G MTTS'!N440</f>
        <v>NLH</v>
      </c>
      <c r="F443" s="40" t="str">
        <f>'G MTTS'!O440</f>
        <v>OFF</v>
      </c>
      <c r="G443" s="41">
        <f>IF('G MTTS'!Q440=0," ",'G MTTS'!Q440*$A$3)</f>
        <v>5000</v>
      </c>
      <c r="H443" s="42">
        <f>IF('G MTTS'!V440=0," ",'G MTTS'!V440*$A$3)</f>
        <v>40</v>
      </c>
      <c r="I443" s="42" t="str">
        <f>IF('G MTTS'!W440=0," ",'G MTTS'!W440*$A$3)</f>
        <v> </v>
      </c>
      <c r="J443" s="42" t="str">
        <f>IF('G MTTS'!Z440=0," ",'G MTTS'!Z440*$A$3)</f>
        <v> </v>
      </c>
      <c r="K443" s="43">
        <f>'G MTTS'!AF440</f>
        <v>50000</v>
      </c>
      <c r="L443" s="43">
        <f>'G MTTS'!X440</f>
        <v>0</v>
      </c>
      <c r="M443" s="43" t="str">
        <f>'G MTTS'!AA440</f>
        <v>FREEZE</v>
      </c>
      <c r="N443" s="44">
        <f>'G MTTS'!AG440</f>
        <v>12</v>
      </c>
      <c r="O443" s="44">
        <f>'G MTTS'!AH440</f>
        <v>10</v>
      </c>
      <c r="P443" s="44">
        <f>'G MTTS'!AI440</f>
        <v>10</v>
      </c>
      <c r="Q443" s="45">
        <f>'G MTTS'!AJ440</f>
        <v>15</v>
      </c>
      <c r="R443" s="46">
        <f t="shared" si="36"/>
        <v>0.687511574074074</v>
      </c>
      <c r="S443" s="47" t="str">
        <f t="shared" si="38"/>
        <v>LOW</v>
      </c>
    </row>
    <row r="444" ht="29.25" customHeight="1" outlineLevel="1" spans="1:19">
      <c r="A444" s="60" t="s">
        <v>521</v>
      </c>
      <c r="B444" s="36">
        <f>'G MTTS'!B441</f>
        <v>0.562511574074074</v>
      </c>
      <c r="C444" s="48" t="str">
        <f>'G MTTS'!J441</f>
        <v>#AS 5K Plus</v>
      </c>
      <c r="D444" s="49" t="str">
        <f>'G MTTS'!M441</f>
        <v>Side Event</v>
      </c>
      <c r="E444" s="50" t="str">
        <f>'G MTTS'!N441</f>
        <v>NLH</v>
      </c>
      <c r="F444" s="51" t="str">
        <f>'G MTTS'!O441</f>
        <v>OFF</v>
      </c>
      <c r="G444" s="52">
        <f>IF('G MTTS'!Q441=0," ",'G MTTS'!Q441*$A$3)</f>
        <v>5000</v>
      </c>
      <c r="H444" s="53">
        <f>IF('G MTTS'!V441=0," ",'G MTTS'!V441*$A$3)</f>
        <v>10</v>
      </c>
      <c r="I444" s="53">
        <f>IF('G MTTS'!W441=0," ",'G MTTS'!W441*$A$3)</f>
        <v>10</v>
      </c>
      <c r="J444" s="53">
        <f>IF('G MTTS'!Z441=0," ",'G MTTS'!Z441*$A$3)</f>
        <v>15</v>
      </c>
      <c r="K444" s="54">
        <f>'G MTTS'!AF441</f>
        <v>40000</v>
      </c>
      <c r="L444" s="54">
        <f>'G MTTS'!X441</f>
        <v>0</v>
      </c>
      <c r="M444" s="54">
        <f>'G MTTS'!AA441</f>
        <v>120000</v>
      </c>
      <c r="N444" s="55">
        <f>'G MTTS'!AG441</f>
        <v>8</v>
      </c>
      <c r="O444" s="55">
        <f>'G MTTS'!AH441</f>
        <v>7</v>
      </c>
      <c r="P444" s="55">
        <f>'G MTTS'!AI441</f>
        <v>7</v>
      </c>
      <c r="Q444" s="56">
        <f>'G MTTS'!AJ441</f>
        <v>15</v>
      </c>
      <c r="R444" s="46">
        <f t="shared" si="36"/>
        <v>0.652789351851852</v>
      </c>
      <c r="S444" s="47" t="str">
        <f t="shared" si="38"/>
        <v>MICRO</v>
      </c>
    </row>
    <row r="445" ht="29.25" customHeight="1" outlineLevel="1" spans="1:19">
      <c r="B445" s="36">
        <f>'G MTTS'!B442</f>
        <v>0.583344907407407</v>
      </c>
      <c r="C445" s="37" t="str">
        <f>'G MTTS'!J442</f>
        <v>Sit&amp;go 200p max.</v>
      </c>
      <c r="D445" s="38" t="str">
        <f>'G MTTS'!M442</f>
        <v>Side Event</v>
      </c>
      <c r="E445" s="39" t="str">
        <f>'G MTTS'!N442</f>
        <v>NLH</v>
      </c>
      <c r="F445" s="40" t="str">
        <f>'G MTTS'!O442</f>
        <v>OFF</v>
      </c>
      <c r="G445" s="41">
        <f>IF('G MTTS'!Q442=0," ",'G MTTS'!Q442*$A$3)</f>
        <v>200</v>
      </c>
      <c r="H445" s="42">
        <f>IF('G MTTS'!V442=0," ",'G MTTS'!V442*$A$3)</f>
        <v>3</v>
      </c>
      <c r="I445" s="42">
        <f>IF('G MTTS'!W442=0," ",'G MTTS'!W442*$A$3)</f>
        <v>3</v>
      </c>
      <c r="J445" s="42">
        <f>IF('G MTTS'!Z442=0," ",'G MTTS'!Z442*$A$3)</f>
        <v>3</v>
      </c>
      <c r="K445" s="43">
        <f>'G MTTS'!AF442</f>
        <v>20000</v>
      </c>
      <c r="L445" s="43">
        <f>'G MTTS'!X442</f>
        <v>0</v>
      </c>
      <c r="M445" s="43">
        <f>'G MTTS'!AA442</f>
        <v>30000</v>
      </c>
      <c r="N445" s="44">
        <f>'G MTTS'!AG442</f>
        <v>5</v>
      </c>
      <c r="O445" s="44">
        <f>'G MTTS'!AH442</f>
        <v>5</v>
      </c>
      <c r="P445" s="44">
        <f>'G MTTS'!AI442</f>
        <v>5</v>
      </c>
      <c r="Q445" s="45">
        <f>'G MTTS'!AJ442</f>
        <v>15</v>
      </c>
      <c r="R445" s="46">
        <f t="shared" si="36"/>
        <v>0.638900462962963</v>
      </c>
      <c r="S445" s="47" t="str">
        <f t="shared" si="38"/>
        <v>MICRO</v>
      </c>
    </row>
    <row r="446" ht="29.25" customHeight="1" outlineLevel="1" spans="1:19">
      <c r="B446" s="36">
        <f>'G MTTS'!B443</f>
        <v>0.583344907407407</v>
      </c>
      <c r="C446" s="48" t="str">
        <f>'G MTTS'!J443</f>
        <v>1K Omax</v>
      </c>
      <c r="D446" s="49" t="str">
        <f>'G MTTS'!M443</f>
        <v>Side Event</v>
      </c>
      <c r="E446" s="50" t="str">
        <f>'G MTTS'!N443</f>
        <v>PLO6</v>
      </c>
      <c r="F446" s="51" t="str">
        <f>'G MTTS'!O443</f>
        <v>OFF</v>
      </c>
      <c r="G446" s="52">
        <f>IF('G MTTS'!Q443=0," ",'G MTTS'!Q443*$A$3)</f>
        <v>1000</v>
      </c>
      <c r="H446" s="53">
        <f>IF('G MTTS'!V443=0," ",'G MTTS'!V443*$A$3)</f>
        <v>10</v>
      </c>
      <c r="I446" s="53">
        <f>IF('G MTTS'!W443=0," ",'G MTTS'!W443*$A$3)</f>
        <v>10</v>
      </c>
      <c r="J446" s="53">
        <f>IF('G MTTS'!Z443=0," ",'G MTTS'!Z443*$A$3)</f>
        <v>10</v>
      </c>
      <c r="K446" s="54">
        <f>'G MTTS'!AF443</f>
        <v>30000</v>
      </c>
      <c r="L446" s="54">
        <f>'G MTTS'!X443</f>
        <v>0</v>
      </c>
      <c r="M446" s="54">
        <f>'G MTTS'!AA443</f>
        <v>60000</v>
      </c>
      <c r="N446" s="55">
        <f>'G MTTS'!AG443</f>
        <v>8</v>
      </c>
      <c r="O446" s="55">
        <f>'G MTTS'!AH443</f>
        <v>8</v>
      </c>
      <c r="P446" s="55">
        <f>'G MTTS'!AI443</f>
        <v>8</v>
      </c>
      <c r="Q446" s="56">
        <f>'G MTTS'!AJ443</f>
        <v>11</v>
      </c>
      <c r="R446" s="46">
        <f t="shared" si="36"/>
        <v>0.647928240740741</v>
      </c>
      <c r="S446" s="47" t="str">
        <f t="shared" si="38"/>
        <v>MICRO</v>
      </c>
    </row>
    <row r="447" ht="29.25" customHeight="1" outlineLevel="1" spans="1:19">
      <c r="A447" s="60" t="s">
        <v>521</v>
      </c>
      <c r="B447" s="36">
        <f>'G MTTS'!B444</f>
        <v>0.583344907407407</v>
      </c>
      <c r="C447" s="37" t="str">
        <f>'G MTTS'!J444</f>
        <v>#AS 5K Mini Plus</v>
      </c>
      <c r="D447" s="38" t="str">
        <f>'G MTTS'!M444</f>
        <v>Side Event</v>
      </c>
      <c r="E447" s="39" t="str">
        <f>'G MTTS'!N444</f>
        <v>NLH</v>
      </c>
      <c r="F447" s="40" t="str">
        <f>'G MTTS'!O444</f>
        <v>OFF</v>
      </c>
      <c r="G447" s="41">
        <f>IF('G MTTS'!Q444=0," ",'G MTTS'!Q444*$A$3)</f>
        <v>5000</v>
      </c>
      <c r="H447" s="42">
        <f>IF('G MTTS'!V444=0," ",'G MTTS'!V444*$A$3)</f>
        <v>3</v>
      </c>
      <c r="I447" s="42">
        <f>IF('G MTTS'!W444=0," ",'G MTTS'!W444*$A$3)</f>
        <v>3</v>
      </c>
      <c r="J447" s="42">
        <f>IF('G MTTS'!Z444=0," ",'G MTTS'!Z444*$A$3)</f>
        <v>3</v>
      </c>
      <c r="K447" s="43">
        <f>'G MTTS'!AF444</f>
        <v>40000</v>
      </c>
      <c r="L447" s="43">
        <f>'G MTTS'!X444</f>
        <v>0</v>
      </c>
      <c r="M447" s="43">
        <f>'G MTTS'!AA444</f>
        <v>100000</v>
      </c>
      <c r="N447" s="44">
        <f>'G MTTS'!AG444</f>
        <v>8</v>
      </c>
      <c r="O447" s="44">
        <f>'G MTTS'!AH444</f>
        <v>7</v>
      </c>
      <c r="P447" s="44">
        <f>'G MTTS'!AI444</f>
        <v>7</v>
      </c>
      <c r="Q447" s="45">
        <f>'G MTTS'!AJ444</f>
        <v>15</v>
      </c>
      <c r="R447" s="46">
        <f t="shared" si="36"/>
        <v>0.673622685185185</v>
      </c>
      <c r="S447" s="47" t="str">
        <f t="shared" si="38"/>
        <v>MICRO</v>
      </c>
    </row>
    <row r="448" ht="29.25" customHeight="1" outlineLevel="1" spans="1:19">
      <c r="B448" s="36">
        <f>'G MTTS'!B445</f>
        <v>0.625011574074074</v>
      </c>
      <c r="C448" s="48" t="str">
        <f>'G MTTS'!J445</f>
        <v>#AS 20K Plus+SPS</v>
      </c>
      <c r="D448" s="49" t="str">
        <f>'G MTTS'!M445</f>
        <v>Side Event</v>
      </c>
      <c r="E448" s="50" t="str">
        <f>'G MTTS'!N445</f>
        <v>NLH</v>
      </c>
      <c r="F448" s="51" t="str">
        <f>'G MTTS'!O445</f>
        <v>OFF</v>
      </c>
      <c r="G448" s="52">
        <f>IF('G MTTS'!Q445=0," ",'G MTTS'!Q445*$A$3)</f>
        <v>21000</v>
      </c>
      <c r="H448" s="53">
        <f>IF('G MTTS'!V445=0," ",'G MTTS'!V445*$A$3)</f>
        <v>15</v>
      </c>
      <c r="I448" s="53">
        <f>IF('G MTTS'!W445=0," ",'G MTTS'!W445*$A$3)</f>
        <v>15</v>
      </c>
      <c r="J448" s="53">
        <f>IF('G MTTS'!Z445=0," ",'G MTTS'!Z445*$A$3)</f>
        <v>15</v>
      </c>
      <c r="K448" s="54">
        <f>'G MTTS'!AF445</f>
        <v>40000</v>
      </c>
      <c r="L448" s="54">
        <f>'G MTTS'!X445</f>
        <v>0</v>
      </c>
      <c r="M448" s="54">
        <f>'G MTTS'!AA445</f>
        <v>160000</v>
      </c>
      <c r="N448" s="55">
        <f>'G MTTS'!AG445</f>
        <v>10</v>
      </c>
      <c r="O448" s="55">
        <f>'G MTTS'!AH445</f>
        <v>8</v>
      </c>
      <c r="P448" s="55">
        <f>'G MTTS'!AI445</f>
        <v>8</v>
      </c>
      <c r="Q448" s="56">
        <f>'G MTTS'!AJ445</f>
        <v>13</v>
      </c>
      <c r="R448" s="46">
        <f t="shared" si="36"/>
        <v>0.722233796296296</v>
      </c>
      <c r="S448" s="47" t="str">
        <f t="shared" si="38"/>
        <v>MICRO</v>
      </c>
    </row>
    <row r="449" ht="29.25" customHeight="1" outlineLevel="1" spans="1:19">
      <c r="B449" s="36">
        <f>'G MTTS'!B446</f>
        <v>0.625011574074074</v>
      </c>
      <c r="C449" s="37" t="str">
        <f>'G MTTS'!J446</f>
        <v>#AS 2K Omax K.O</v>
      </c>
      <c r="D449" s="38" t="str">
        <f>'G MTTS'!M446</f>
        <v>Side Event</v>
      </c>
      <c r="E449" s="39" t="str">
        <f>'G MTTS'!N446</f>
        <v>PLO5</v>
      </c>
      <c r="F449" s="40" t="str">
        <f>'G MTTS'!O446</f>
        <v>Regular KO 1/3</v>
      </c>
      <c r="G449" s="41">
        <f>IF('G MTTS'!Q446=0," ",'G MTTS'!Q446*$A$3)</f>
        <v>2000</v>
      </c>
      <c r="H449" s="42">
        <f>IF('G MTTS'!V446=0," ",'G MTTS'!V446*$A$3)</f>
        <v>20</v>
      </c>
      <c r="I449" s="42">
        <f>IF('G MTTS'!W446=0," ",'G MTTS'!W446*$A$3)</f>
        <v>20</v>
      </c>
      <c r="J449" s="42" t="str">
        <f>IF('G MTTS'!Z446=0," ",'G MTTS'!Z446*$A$3)</f>
        <v> </v>
      </c>
      <c r="K449" s="43">
        <f>'G MTTS'!AF446</f>
        <v>50000</v>
      </c>
      <c r="L449" s="43">
        <f>'G MTTS'!X446</f>
        <v>0</v>
      </c>
      <c r="M449" s="43" t="str">
        <f>'G MTTS'!AA446</f>
        <v>REENTRY</v>
      </c>
      <c r="N449" s="44">
        <f>'G MTTS'!AG446</f>
        <v>10</v>
      </c>
      <c r="O449" s="44">
        <f>'G MTTS'!AH446</f>
        <v>8</v>
      </c>
      <c r="P449" s="44">
        <f>'G MTTS'!AI446</f>
        <v>8</v>
      </c>
      <c r="Q449" s="45">
        <f>'G MTTS'!AJ446</f>
        <v>15</v>
      </c>
      <c r="R449" s="46">
        <f t="shared" si="36"/>
        <v>0.736122685185185</v>
      </c>
      <c r="S449" s="47" t="str">
        <f t="shared" si="38"/>
        <v>MICRO</v>
      </c>
    </row>
    <row r="450" ht="29.25" customHeight="1" outlineLevel="1" spans="1:19">
      <c r="A450" s="60" t="s">
        <v>521</v>
      </c>
      <c r="B450" s="36">
        <f>'G MTTS'!B447</f>
        <v>0.666678240740741</v>
      </c>
      <c r="C450" s="48" t="str">
        <f>'G MTTS'!J447</f>
        <v>500 Omax</v>
      </c>
      <c r="D450" s="49" t="str">
        <f>'G MTTS'!M447</f>
        <v>Side Event</v>
      </c>
      <c r="E450" s="50" t="str">
        <f>'G MTTS'!N447</f>
        <v>PLO4</v>
      </c>
      <c r="F450" s="51" t="str">
        <f>'G MTTS'!O447</f>
        <v>OFF</v>
      </c>
      <c r="G450" s="52">
        <f>IF('G MTTS'!Q447=0," ",'G MTTS'!Q447*$A$3)</f>
        <v>500</v>
      </c>
      <c r="H450" s="53">
        <f>IF('G MTTS'!V447=0," ",'G MTTS'!V447*$A$3)</f>
        <v>4</v>
      </c>
      <c r="I450" s="53">
        <f>IF('G MTTS'!W447=0," ",'G MTTS'!W447*$A$3)</f>
        <v>4</v>
      </c>
      <c r="J450" s="53">
        <f>IF('G MTTS'!Z447=0," ",'G MTTS'!Z447*$A$3)</f>
        <v>4</v>
      </c>
      <c r="K450" s="54">
        <f>'G MTTS'!AF447</f>
        <v>40000</v>
      </c>
      <c r="L450" s="54">
        <f>'G MTTS'!X447</f>
        <v>0</v>
      </c>
      <c r="M450" s="54">
        <f>'G MTTS'!AA447</f>
        <v>80000</v>
      </c>
      <c r="N450" s="55">
        <f>'G MTTS'!AG447</f>
        <v>8</v>
      </c>
      <c r="O450" s="55">
        <f>'G MTTS'!AH447</f>
        <v>7</v>
      </c>
      <c r="P450" s="55">
        <f>'G MTTS'!AI447</f>
        <v>7</v>
      </c>
      <c r="Q450" s="56">
        <f>'G MTTS'!AJ447</f>
        <v>12</v>
      </c>
      <c r="R450" s="46">
        <f t="shared" si="36"/>
        <v>0.73681712962963</v>
      </c>
      <c r="S450" s="47" t="str">
        <f t="shared" si="38"/>
        <v>MICRO</v>
      </c>
    </row>
    <row r="451" ht="29.25" customHeight="1" outlineLevel="1" spans="1:19">
      <c r="B451" s="36">
        <f>'G MTTS'!B448</f>
        <v>0.666678240740741</v>
      </c>
      <c r="C451" s="37" t="str">
        <f>'G MTTS'!J448</f>
        <v>1K Plus</v>
      </c>
      <c r="D451" s="38" t="str">
        <f>'G MTTS'!M448</f>
        <v>Side Event</v>
      </c>
      <c r="E451" s="39" t="str">
        <f>'G MTTS'!N448</f>
        <v>NLH</v>
      </c>
      <c r="F451" s="40" t="str">
        <f>'G MTTS'!O448</f>
        <v>OFF</v>
      </c>
      <c r="G451" s="41">
        <f>IF('G MTTS'!Q448=0," ",'G MTTS'!Q448*$A$3)</f>
        <v>1000</v>
      </c>
      <c r="H451" s="42">
        <f>IF('G MTTS'!V448=0," ",'G MTTS'!V448*$A$3)</f>
        <v>2</v>
      </c>
      <c r="I451" s="42">
        <f>IF('G MTTS'!W448=0," ",'G MTTS'!W448*$A$3)</f>
        <v>2</v>
      </c>
      <c r="J451" s="42">
        <f>IF('G MTTS'!Z448=0," ",'G MTTS'!Z448*$A$3)</f>
        <v>3</v>
      </c>
      <c r="K451" s="43">
        <f>'G MTTS'!AF448</f>
        <v>20000</v>
      </c>
      <c r="L451" s="43">
        <f>'G MTTS'!X448</f>
        <v>0</v>
      </c>
      <c r="M451" s="43">
        <f>'G MTTS'!AA448</f>
        <v>40000</v>
      </c>
      <c r="N451" s="44">
        <f>'G MTTS'!AG448</f>
        <v>8</v>
      </c>
      <c r="O451" s="44">
        <f>'G MTTS'!AH448</f>
        <v>7</v>
      </c>
      <c r="P451" s="44">
        <f>'G MTTS'!AI448</f>
        <v>7</v>
      </c>
      <c r="Q451" s="45">
        <f>'G MTTS'!AJ448</f>
        <v>12</v>
      </c>
      <c r="R451" s="46">
        <f t="shared" si="36"/>
        <v>0.73681712962963</v>
      </c>
      <c r="S451" s="47" t="str">
        <f t="shared" si="38"/>
        <v>MICRO</v>
      </c>
    </row>
    <row r="452" ht="29.25" customHeight="1" outlineLevel="1" spans="1:19">
      <c r="A452" s="60" t="s">
        <v>521</v>
      </c>
      <c r="B452" s="36">
        <f>'G MTTS'!B449</f>
        <v>0.708344907407407</v>
      </c>
      <c r="C452" s="48" t="str">
        <f>'G MTTS'!J449</f>
        <v>#AS 10K Freeze PKO</v>
      </c>
      <c r="D452" s="49" t="str">
        <f>'G MTTS'!M449</f>
        <v>Side Event</v>
      </c>
      <c r="E452" s="50" t="str">
        <f>'G MTTS'!N449</f>
        <v>NLH</v>
      </c>
      <c r="F452" s="51" t="str">
        <f>'G MTTS'!O449</f>
        <v>Progressive KO 1/3</v>
      </c>
      <c r="G452" s="52">
        <f>IF('G MTTS'!Q449=0," ",'G MTTS'!Q449*$A$3)</f>
        <v>10000</v>
      </c>
      <c r="H452" s="53">
        <f>IF('G MTTS'!V449=0," ",'G MTTS'!V449*$A$3)</f>
        <v>60</v>
      </c>
      <c r="I452" s="53" t="str">
        <f>IF('G MTTS'!W449=0," ",'G MTTS'!W449*$A$3)</f>
        <v> </v>
      </c>
      <c r="J452" s="53" t="str">
        <f>IF('G MTTS'!Z449=0," ",'G MTTS'!Z449*$A$3)</f>
        <v> </v>
      </c>
      <c r="K452" s="54">
        <f>'G MTTS'!AF449</f>
        <v>60000</v>
      </c>
      <c r="L452" s="54">
        <f>'G MTTS'!X449</f>
        <v>0</v>
      </c>
      <c r="M452" s="54" t="str">
        <f>'G MTTS'!AA449</f>
        <v>FREEZE</v>
      </c>
      <c r="N452" s="55">
        <f>'G MTTS'!AG449</f>
        <v>10</v>
      </c>
      <c r="O452" s="55">
        <f>'G MTTS'!AH449</f>
        <v>10</v>
      </c>
      <c r="P452" s="55">
        <f>'G MTTS'!AI449</f>
        <v>10</v>
      </c>
      <c r="Q452" s="56">
        <f>'G MTTS'!AJ449</f>
        <v>15</v>
      </c>
      <c r="R452" s="46">
        <f t="shared" si="36"/>
        <v>0.819456018518518</v>
      </c>
      <c r="S452" s="47" t="str">
        <f t="shared" si="38"/>
        <v>LOW</v>
      </c>
    </row>
    <row r="453" ht="29.25" customHeight="1" outlineLevel="1" spans="1:19">
      <c r="B453" s="36">
        <f>'G MTTS'!B450</f>
        <v>0.708344907407407</v>
      </c>
      <c r="C453" s="37" t="str">
        <f>'G MTTS'!J450</f>
        <v>#AS 12.5K OmaX PKO</v>
      </c>
      <c r="D453" s="38" t="str">
        <f>'G MTTS'!M450</f>
        <v>Side Event</v>
      </c>
      <c r="E453" s="39" t="str">
        <f>'G MTTS'!N450</f>
        <v>PLO5</v>
      </c>
      <c r="F453" s="40" t="str">
        <f>'G MTTS'!O450</f>
        <v>Progressive KO 1/2</v>
      </c>
      <c r="G453" s="41">
        <f>IF('G MTTS'!Q450=0," ",'G MTTS'!Q450*$A$3)</f>
        <v>12500</v>
      </c>
      <c r="H453" s="42">
        <f>IF('G MTTS'!V450=0," ",'G MTTS'!V450*$A$3)</f>
        <v>150</v>
      </c>
      <c r="I453" s="42">
        <f>IF('G MTTS'!W450=0," ",'G MTTS'!W450*$A$3)</f>
        <v>150</v>
      </c>
      <c r="J453" s="42" t="str">
        <f>IF('G MTTS'!Z450=0," ",'G MTTS'!Z450*$A$3)</f>
        <v> </v>
      </c>
      <c r="K453" s="43">
        <f>'G MTTS'!AF450</f>
        <v>50000</v>
      </c>
      <c r="L453" s="43">
        <f>'G MTTS'!X450</f>
        <v>0</v>
      </c>
      <c r="M453" s="43" t="str">
        <f>'G MTTS'!AA450</f>
        <v>REENTRY</v>
      </c>
      <c r="N453" s="44">
        <f>'G MTTS'!AG450</f>
        <v>10</v>
      </c>
      <c r="O453" s="44">
        <f>'G MTTS'!AH450</f>
        <v>10</v>
      </c>
      <c r="P453" s="44">
        <f>'G MTTS'!AI450</f>
        <v>10</v>
      </c>
      <c r="Q453" s="45">
        <f>'G MTTS'!AJ450</f>
        <v>15</v>
      </c>
      <c r="R453" s="46">
        <f t="shared" si="36"/>
        <v>0.819456018518518</v>
      </c>
      <c r="S453" s="47" t="str">
        <f t="shared" si="38"/>
        <v>MEDIUM</v>
      </c>
    </row>
    <row r="454" ht="29.25" customHeight="1" outlineLevel="1" spans="1:19">
      <c r="B454" s="36">
        <f>'G MTTS'!B451</f>
        <v>0.708344907407407</v>
      </c>
      <c r="C454" s="48" t="str">
        <f>'G MTTS'!J451</f>
        <v>Sit&amp;go 200p max.</v>
      </c>
      <c r="D454" s="49" t="str">
        <f>'G MTTS'!M451</f>
        <v>Side Event</v>
      </c>
      <c r="E454" s="50" t="str">
        <f>'G MTTS'!N451</f>
        <v>NLH</v>
      </c>
      <c r="F454" s="51" t="str">
        <f>'G MTTS'!O451</f>
        <v>OFF</v>
      </c>
      <c r="G454" s="52">
        <f>IF('G MTTS'!Q451=0," ",'G MTTS'!Q451*$A$3)</f>
        <v>200</v>
      </c>
      <c r="H454" s="53">
        <f>IF('G MTTS'!V451=0," ",'G MTTS'!V451*$A$3)</f>
        <v>3</v>
      </c>
      <c r="I454" s="53">
        <f>IF('G MTTS'!W451=0," ",'G MTTS'!W451*$A$3)</f>
        <v>3</v>
      </c>
      <c r="J454" s="53">
        <f>IF('G MTTS'!Z451=0," ",'G MTTS'!Z451*$A$3)</f>
        <v>3</v>
      </c>
      <c r="K454" s="54">
        <f>'G MTTS'!AF451</f>
        <v>20000</v>
      </c>
      <c r="L454" s="54">
        <f>'G MTTS'!X451</f>
        <v>0</v>
      </c>
      <c r="M454" s="54">
        <f>'G MTTS'!AA451</f>
        <v>30000</v>
      </c>
      <c r="N454" s="55">
        <f>'G MTTS'!AG451</f>
        <v>5</v>
      </c>
      <c r="O454" s="55">
        <f>'G MTTS'!AH451</f>
        <v>5</v>
      </c>
      <c r="P454" s="55">
        <f>'G MTTS'!AI451</f>
        <v>5</v>
      </c>
      <c r="Q454" s="56">
        <f>'G MTTS'!AJ451</f>
        <v>15</v>
      </c>
      <c r="R454" s="46">
        <f t="shared" si="36"/>
        <v>0.763900462962963</v>
      </c>
      <c r="S454" s="47" t="str">
        <f t="shared" si="38"/>
        <v>MICRO</v>
      </c>
    </row>
    <row r="455" ht="29.25" customHeight="1" outlineLevel="1" spans="1:19">
      <c r="A455" s="60" t="s">
        <v>521</v>
      </c>
      <c r="B455" s="36">
        <f>'G MTTS'!B452</f>
        <v>0.718761574074074</v>
      </c>
      <c r="C455" s="37" t="str">
        <f>'G MTTS'!J452</f>
        <v>800 Omax PKO</v>
      </c>
      <c r="D455" s="38" t="str">
        <f>'G MTTS'!M452</f>
        <v>Side Event</v>
      </c>
      <c r="E455" s="39" t="str">
        <f>'G MTTS'!N452</f>
        <v>PLO6</v>
      </c>
      <c r="F455" s="40" t="str">
        <f>'G MTTS'!O452</f>
        <v>Progressive KO 1/3</v>
      </c>
      <c r="G455" s="41">
        <f>IF('G MTTS'!Q452=0," ",'G MTTS'!Q452*$A$3)</f>
        <v>800</v>
      </c>
      <c r="H455" s="42">
        <f>IF('G MTTS'!V452=0," ",'G MTTS'!V452*$A$3)</f>
        <v>5</v>
      </c>
      <c r="I455" s="42">
        <f>IF('G MTTS'!W452=0," ",'G MTTS'!W452*$A$3)</f>
        <v>5</v>
      </c>
      <c r="J455" s="42" t="str">
        <f>IF('G MTTS'!Z452=0," ",'G MTTS'!Z452*$A$3)</f>
        <v> </v>
      </c>
      <c r="K455" s="43">
        <f>'G MTTS'!AF452</f>
        <v>50000</v>
      </c>
      <c r="L455" s="43">
        <f>'G MTTS'!X452</f>
        <v>0</v>
      </c>
      <c r="M455" s="43" t="str">
        <f>'G MTTS'!AA452</f>
        <v>REENTRY</v>
      </c>
      <c r="N455" s="44">
        <f>'G MTTS'!AG452</f>
        <v>8</v>
      </c>
      <c r="O455" s="44">
        <f>'G MTTS'!AH452</f>
        <v>7</v>
      </c>
      <c r="P455" s="44">
        <f>'G MTTS'!AI452</f>
        <v>7</v>
      </c>
      <c r="Q455" s="45">
        <f>'G MTTS'!AJ452</f>
        <v>15</v>
      </c>
      <c r="R455" s="46">
        <f t="shared" si="36"/>
        <v>0.809039351851852</v>
      </c>
      <c r="S455" s="47" t="str">
        <f t="shared" si="38"/>
        <v>MICRO</v>
      </c>
    </row>
    <row r="456" ht="29.25" customHeight="1" outlineLevel="1" spans="1:19">
      <c r="B456" s="36">
        <f>'G MTTS'!B453</f>
        <v>0.729178240740741</v>
      </c>
      <c r="C456" s="48" t="str">
        <f>'G MTTS'!J453</f>
        <v>#AS 5K Bounty</v>
      </c>
      <c r="D456" s="49" t="str">
        <f>'G MTTS'!M453</f>
        <v>Side Event</v>
      </c>
      <c r="E456" s="50" t="str">
        <f>'G MTTS'!N453</f>
        <v>NLH</v>
      </c>
      <c r="F456" s="51" t="str">
        <f>'G MTTS'!O453</f>
        <v>Progressive KO 1/2</v>
      </c>
      <c r="G456" s="52">
        <f>IF('G MTTS'!Q453=0," ",'G MTTS'!Q453*$A$3)</f>
        <v>5000</v>
      </c>
      <c r="H456" s="53">
        <f>IF('G MTTS'!V453=0," ",'G MTTS'!V453*$A$3)</f>
        <v>10</v>
      </c>
      <c r="I456" s="53">
        <f>IF('G MTTS'!W453=0," ",'G MTTS'!W453*$A$3)</f>
        <v>10</v>
      </c>
      <c r="J456" s="53" t="str">
        <f>IF('G MTTS'!Z453=0," ",'G MTTS'!Z453*$A$3)</f>
        <v> </v>
      </c>
      <c r="K456" s="54">
        <f>'G MTTS'!AF453</f>
        <v>60000</v>
      </c>
      <c r="L456" s="54">
        <f>'G MTTS'!X453</f>
        <v>0</v>
      </c>
      <c r="M456" s="54" t="str">
        <f>'G MTTS'!AA453</f>
        <v>REENTRY</v>
      </c>
      <c r="N456" s="55">
        <f>'G MTTS'!AG453</f>
        <v>10</v>
      </c>
      <c r="O456" s="55">
        <f>'G MTTS'!AH453</f>
        <v>8</v>
      </c>
      <c r="P456" s="55">
        <f>'G MTTS'!AI453</f>
        <v>8</v>
      </c>
      <c r="Q456" s="56">
        <f>'G MTTS'!AJ453</f>
        <v>14</v>
      </c>
      <c r="R456" s="46">
        <f t="shared" si="36"/>
        <v>0.833344907407407</v>
      </c>
      <c r="S456" s="47" t="str">
        <f t="shared" si="38"/>
        <v>MICRO</v>
      </c>
    </row>
    <row r="457" ht="29.25" customHeight="1" outlineLevel="1" spans="1:19">
      <c r="B457" s="36">
        <f>'G MTTS'!B454</f>
        <v>0.770844907407407</v>
      </c>
      <c r="C457" s="37" t="str">
        <f>'G MTTS'!J454</f>
        <v>#AS 8K Mini Plus+SPS</v>
      </c>
      <c r="D457" s="38" t="str">
        <f>'G MTTS'!M454</f>
        <v>Side Event</v>
      </c>
      <c r="E457" s="39" t="str">
        <f>'G MTTS'!N454</f>
        <v>NLH</v>
      </c>
      <c r="F457" s="40" t="str">
        <f>'G MTTS'!O454</f>
        <v>OFF</v>
      </c>
      <c r="G457" s="41">
        <f>IF('G MTTS'!Q454=0," ",'G MTTS'!Q454*$A$3)</f>
        <v>9000</v>
      </c>
      <c r="H457" s="42">
        <f>IF('G MTTS'!V454=0," ",'G MTTS'!V454*$A$3)</f>
        <v>3</v>
      </c>
      <c r="I457" s="42">
        <f>IF('G MTTS'!W454=0," ",'G MTTS'!W454*$A$3)</f>
        <v>3</v>
      </c>
      <c r="J457" s="42">
        <f>IF('G MTTS'!Z454=0," ",'G MTTS'!Z454*$A$3)</f>
        <v>3</v>
      </c>
      <c r="K457" s="43">
        <f>'G MTTS'!AF454</f>
        <v>40000</v>
      </c>
      <c r="L457" s="43">
        <f>'G MTTS'!X454</f>
        <v>0</v>
      </c>
      <c r="M457" s="43">
        <f>'G MTTS'!AA454</f>
        <v>160000</v>
      </c>
      <c r="N457" s="44">
        <f>'G MTTS'!AG454</f>
        <v>8</v>
      </c>
      <c r="O457" s="44">
        <f>'G MTTS'!AH454</f>
        <v>7</v>
      </c>
      <c r="P457" s="44">
        <f>'G MTTS'!AI454</f>
        <v>7</v>
      </c>
      <c r="Q457" s="45">
        <f>'G MTTS'!AJ454</f>
        <v>15</v>
      </c>
      <c r="R457" s="46">
        <f t="shared" si="36"/>
        <v>0.861122685185185</v>
      </c>
      <c r="S457" s="47" t="str">
        <f t="shared" si="38"/>
        <v>MICRO</v>
      </c>
    </row>
    <row r="458" ht="29.25" customHeight="1" outlineLevel="1" spans="1:19">
      <c r="A458" s="60" t="s">
        <v>521</v>
      </c>
      <c r="B458" s="36">
        <f>'G MTTS'!B455</f>
        <v>0.770844907407407</v>
      </c>
      <c r="C458" s="48" t="str">
        <f>'G MTTS'!J455</f>
        <v>#AS 4K Deep Freeze</v>
      </c>
      <c r="D458" s="49" t="str">
        <f>'G MTTS'!M455</f>
        <v>Side Event</v>
      </c>
      <c r="E458" s="50" t="str">
        <f>'G MTTS'!N455</f>
        <v>NLH</v>
      </c>
      <c r="F458" s="51" t="str">
        <f>'G MTTS'!O455</f>
        <v>OFF</v>
      </c>
      <c r="G458" s="52">
        <f>IF('G MTTS'!Q455=0," ",'G MTTS'!Q455*$A$3)</f>
        <v>4000</v>
      </c>
      <c r="H458" s="53">
        <f>IF('G MTTS'!V455=0," ",'G MTTS'!V455*$A$3)</f>
        <v>25</v>
      </c>
      <c r="I458" s="53" t="str">
        <f>IF('G MTTS'!W455=0," ",'G MTTS'!W455*$A$3)</f>
        <v> </v>
      </c>
      <c r="J458" s="53" t="str">
        <f>IF('G MTTS'!Z455=0," ",'G MTTS'!Z455*$A$3)</f>
        <v> </v>
      </c>
      <c r="K458" s="54">
        <f>'G MTTS'!AF455</f>
        <v>50000</v>
      </c>
      <c r="L458" s="54">
        <f>'G MTTS'!X455</f>
        <v>0</v>
      </c>
      <c r="M458" s="54" t="str">
        <f>'G MTTS'!AA455</f>
        <v>FREEZE</v>
      </c>
      <c r="N458" s="55">
        <f>'G MTTS'!AG455</f>
        <v>10</v>
      </c>
      <c r="O458" s="55">
        <f>'G MTTS'!AH455</f>
        <v>10</v>
      </c>
      <c r="P458" s="55">
        <f>'G MTTS'!AI455</f>
        <v>10</v>
      </c>
      <c r="Q458" s="56">
        <f>'G MTTS'!AJ455</f>
        <v>15</v>
      </c>
      <c r="R458" s="46">
        <f t="shared" si="36"/>
        <v>0.881956018518518</v>
      </c>
      <c r="S458" s="47" t="str">
        <f t="shared" si="38"/>
        <v>MICRO</v>
      </c>
    </row>
    <row r="459" ht="29.25" customHeight="1" outlineLevel="1" spans="1:19">
      <c r="B459" s="36">
        <f>'G MTTS'!B456</f>
        <v>0.791678240740741</v>
      </c>
      <c r="C459" s="37" t="str">
        <f>'G MTTS'!J456</f>
        <v>#AS 2K Omax K.O</v>
      </c>
      <c r="D459" s="38" t="str">
        <f>'G MTTS'!M456</f>
        <v>Side Event</v>
      </c>
      <c r="E459" s="39" t="str">
        <f>'G MTTS'!N456</f>
        <v>PLO5</v>
      </c>
      <c r="F459" s="40" t="str">
        <f>'G MTTS'!O456</f>
        <v>Regular KO 1/3</v>
      </c>
      <c r="G459" s="41">
        <f>IF('G MTTS'!Q456=0," ",'G MTTS'!Q456*$A$3)</f>
        <v>2000</v>
      </c>
      <c r="H459" s="42">
        <f>IF('G MTTS'!V456=0," ",'G MTTS'!V456*$A$3)</f>
        <v>10</v>
      </c>
      <c r="I459" s="42">
        <f>IF('G MTTS'!W456=0," ",'G MTTS'!W456*$A$3)</f>
        <v>10</v>
      </c>
      <c r="J459" s="42" t="str">
        <f>IF('G MTTS'!Z456=0," ",'G MTTS'!Z456*$A$3)</f>
        <v> </v>
      </c>
      <c r="K459" s="43">
        <f>'G MTTS'!AF456</f>
        <v>50000</v>
      </c>
      <c r="L459" s="43">
        <f>'G MTTS'!X456</f>
        <v>0</v>
      </c>
      <c r="M459" s="43" t="str">
        <f>'G MTTS'!AA456</f>
        <v>REENTRY</v>
      </c>
      <c r="N459" s="44">
        <f>'G MTTS'!AG456</f>
        <v>10</v>
      </c>
      <c r="O459" s="44">
        <f>'G MTTS'!AH456</f>
        <v>8</v>
      </c>
      <c r="P459" s="44">
        <f>'G MTTS'!AI456</f>
        <v>8</v>
      </c>
      <c r="Q459" s="45">
        <f>'G MTTS'!AJ456</f>
        <v>15</v>
      </c>
      <c r="R459" s="46">
        <f t="shared" si="36"/>
        <v>0.902789351851852</v>
      </c>
      <c r="S459" s="47" t="str">
        <f t="shared" si="38"/>
        <v>MICRO</v>
      </c>
    </row>
    <row r="460" ht="29.25" customHeight="1" outlineLevel="1" spans="1:19">
      <c r="B460" s="36">
        <f>'G MTTS'!B457</f>
        <v>0.791678240740741</v>
      </c>
      <c r="C460" s="48" t="str">
        <f>'G MTTS'!J457</f>
        <v>#AS 4K Little Mystery</v>
      </c>
      <c r="D460" s="49" t="str">
        <f>'G MTTS'!M457</f>
        <v>Side Event</v>
      </c>
      <c r="E460" s="50" t="str">
        <f>'G MTTS'!N457</f>
        <v>NLH</v>
      </c>
      <c r="F460" s="51" t="str">
        <f>'G MTTS'!O457</f>
        <v>Mystery Bounty 1/2</v>
      </c>
      <c r="G460" s="52">
        <f>IF('G MTTS'!Q457=0," ",'G MTTS'!Q457*$A$3)</f>
        <v>4000</v>
      </c>
      <c r="H460" s="53">
        <f>IF('G MTTS'!V457=0," ",'G MTTS'!V457*$A$3)</f>
        <v>5</v>
      </c>
      <c r="I460" s="53">
        <f>IF('G MTTS'!W457=0," ",'G MTTS'!W457*$A$3)</f>
        <v>5</v>
      </c>
      <c r="J460" s="53" t="str">
        <f>IF('G MTTS'!Z457=0," ",'G MTTS'!Z457*$A$3)</f>
        <v> </v>
      </c>
      <c r="K460" s="54">
        <f>'G MTTS'!AF457</f>
        <v>30000</v>
      </c>
      <c r="L460" s="54">
        <f>'G MTTS'!X457</f>
        <v>0</v>
      </c>
      <c r="M460" s="54" t="str">
        <f>'G MTTS'!AA457</f>
        <v>REENTRY</v>
      </c>
      <c r="N460" s="55">
        <f>'G MTTS'!AG457</f>
        <v>10</v>
      </c>
      <c r="O460" s="55">
        <f>'G MTTS'!AH457</f>
        <v>8</v>
      </c>
      <c r="P460" s="55">
        <f>'G MTTS'!AI457</f>
        <v>8</v>
      </c>
      <c r="Q460" s="56">
        <f>'G MTTS'!AJ457</f>
        <v>13</v>
      </c>
      <c r="R460" s="46">
        <f t="shared" si="36"/>
        <v>0.888900462962963</v>
      </c>
      <c r="S460" s="47" t="str">
        <f t="shared" si="38"/>
        <v>MICRO</v>
      </c>
    </row>
    <row r="461" ht="29.25" customHeight="1" outlineLevel="1" spans="1:19">
      <c r="A461" s="60" t="s">
        <v>521</v>
      </c>
      <c r="B461" s="36">
        <f>'G MTTS'!B458</f>
        <v>0.791678240740741</v>
      </c>
      <c r="C461" s="37" t="str">
        <f>'G MTTS'!J458</f>
        <v>Start Free+SPS</v>
      </c>
      <c r="D461" s="38" t="str">
        <f>'G MTTS'!M458</f>
        <v>Side Event</v>
      </c>
      <c r="E461" s="39" t="str">
        <f>'G MTTS'!N458</f>
        <v>NLH</v>
      </c>
      <c r="F461" s="40" t="str">
        <f>'G MTTS'!O458</f>
        <v>OFF</v>
      </c>
      <c r="G461" s="41">
        <f>IF('G MTTS'!Q458=0," ",'G MTTS'!Q458*$A$3)</f>
        <v>500</v>
      </c>
      <c r="H461" s="42" t="str">
        <f>IF('G MTTS'!V458=0," ",'G MTTS'!V458*$A$3)</f>
        <v> </v>
      </c>
      <c r="I461" s="42">
        <f>IF('G MTTS'!W458=0," ",'G MTTS'!W458*$A$3)</f>
        <v>3</v>
      </c>
      <c r="J461" s="42">
        <f>IF('G MTTS'!Z458=0," ",'G MTTS'!Z458*$A$3)</f>
        <v>5</v>
      </c>
      <c r="K461" s="43">
        <f>'G MTTS'!AF458</f>
        <v>5000</v>
      </c>
      <c r="L461" s="43">
        <f>'G MTTS'!X458</f>
        <v>15000</v>
      </c>
      <c r="M461" s="43">
        <f>'G MTTS'!AA458</f>
        <v>30000</v>
      </c>
      <c r="N461" s="44">
        <f>'G MTTS'!AG458</f>
        <v>6</v>
      </c>
      <c r="O461" s="44">
        <f>'G MTTS'!AH458</f>
        <v>5</v>
      </c>
      <c r="P461" s="44">
        <f>'G MTTS'!AI458</f>
        <v>5</v>
      </c>
      <c r="Q461" s="45">
        <f>'G MTTS'!AJ458</f>
        <v>15</v>
      </c>
      <c r="R461" s="46">
        <f t="shared" si="36"/>
        <v>0.857650462962963</v>
      </c>
      <c r="S461" s="47" t="str">
        <f t="shared" si="38"/>
        <v>SUPER HIGH</v>
      </c>
    </row>
    <row r="462" ht="29.25" customHeight="1" outlineLevel="1" spans="1:19">
      <c r="B462" s="36">
        <f>'G MTTS'!B459</f>
        <v>0.812511574074074</v>
      </c>
      <c r="C462" s="48" t="str">
        <f>'G MTTS'!J459</f>
        <v>Sit&amp;go 200p max.</v>
      </c>
      <c r="D462" s="49" t="str">
        <f>'G MTTS'!M459</f>
        <v>Side Event</v>
      </c>
      <c r="E462" s="50" t="str">
        <f>'G MTTS'!N459</f>
        <v>NLH</v>
      </c>
      <c r="F462" s="51" t="str">
        <f>'G MTTS'!O459</f>
        <v>OFF</v>
      </c>
      <c r="G462" s="52">
        <f>IF('G MTTS'!Q459=0," ",'G MTTS'!Q459*$A$3)</f>
        <v>200</v>
      </c>
      <c r="H462" s="53">
        <f>IF('G MTTS'!V459=0," ",'G MTTS'!V459*$A$3)</f>
        <v>3</v>
      </c>
      <c r="I462" s="53">
        <f>IF('G MTTS'!W459=0," ",'G MTTS'!W459*$A$3)</f>
        <v>3</v>
      </c>
      <c r="J462" s="53">
        <f>IF('G MTTS'!Z459=0," ",'G MTTS'!Z459*$A$3)</f>
        <v>3</v>
      </c>
      <c r="K462" s="54">
        <f>'G MTTS'!AF459</f>
        <v>20000</v>
      </c>
      <c r="L462" s="54">
        <f>'G MTTS'!X459</f>
        <v>0</v>
      </c>
      <c r="M462" s="54">
        <f>'G MTTS'!AA459</f>
        <v>30000</v>
      </c>
      <c r="N462" s="55">
        <f>'G MTTS'!AG459</f>
        <v>5</v>
      </c>
      <c r="O462" s="55">
        <f>'G MTTS'!AH459</f>
        <v>5</v>
      </c>
      <c r="P462" s="55">
        <f>'G MTTS'!AI459</f>
        <v>5</v>
      </c>
      <c r="Q462" s="56">
        <f>'G MTTS'!AJ459</f>
        <v>15</v>
      </c>
      <c r="R462" s="46">
        <f t="shared" si="36"/>
        <v>0.86806712962963</v>
      </c>
      <c r="S462" s="47" t="str">
        <f t="shared" si="38"/>
        <v>MICRO</v>
      </c>
    </row>
    <row r="463" ht="29.25" customHeight="1" outlineLevel="1" spans="1:19">
      <c r="B463" s="36">
        <f>'G MTTS'!B460</f>
        <v>0.833344907407407</v>
      </c>
      <c r="C463" s="37" t="str">
        <f>'G MTTS'!J460</f>
        <v>1K Omax</v>
      </c>
      <c r="D463" s="38" t="str">
        <f>'G MTTS'!M460</f>
        <v>Side Event</v>
      </c>
      <c r="E463" s="39" t="str">
        <f>'G MTTS'!N460</f>
        <v>PLO6</v>
      </c>
      <c r="F463" s="40" t="str">
        <f>'G MTTS'!O460</f>
        <v>OFF</v>
      </c>
      <c r="G463" s="41">
        <f>IF('G MTTS'!Q460=0," ",'G MTTS'!Q460*$A$3)</f>
        <v>1000</v>
      </c>
      <c r="H463" s="42">
        <f>IF('G MTTS'!V460=0," ",'G MTTS'!V460*$A$3)</f>
        <v>10</v>
      </c>
      <c r="I463" s="42">
        <f>IF('G MTTS'!W460=0," ",'G MTTS'!W460*$A$3)</f>
        <v>10</v>
      </c>
      <c r="J463" s="42">
        <f>IF('G MTTS'!Z460=0," ",'G MTTS'!Z460*$A$3)</f>
        <v>10</v>
      </c>
      <c r="K463" s="43">
        <f>'G MTTS'!AF460</f>
        <v>40000</v>
      </c>
      <c r="L463" s="43">
        <f>'G MTTS'!X460</f>
        <v>0</v>
      </c>
      <c r="M463" s="43">
        <f>'G MTTS'!AA460</f>
        <v>100000</v>
      </c>
      <c r="N463" s="44">
        <f>'G MTTS'!AG460</f>
        <v>10</v>
      </c>
      <c r="O463" s="44">
        <f>'G MTTS'!AH460</f>
        <v>8</v>
      </c>
      <c r="P463" s="44">
        <f>'G MTTS'!AI460</f>
        <v>8</v>
      </c>
      <c r="Q463" s="45">
        <f>'G MTTS'!AJ460</f>
        <v>12</v>
      </c>
      <c r="R463" s="46">
        <f t="shared" si="36"/>
        <v>0.923622685185185</v>
      </c>
      <c r="S463" s="47" t="str">
        <f t="shared" si="38"/>
        <v>MICRO</v>
      </c>
    </row>
    <row r="464" ht="29.25" customHeight="1" outlineLevel="1" spans="1:19">
      <c r="A464" s="60" t="s">
        <v>521</v>
      </c>
      <c r="B464" s="36">
        <f>'G MTTS'!B461</f>
        <v>0.833344907407407</v>
      </c>
      <c r="C464" s="48" t="str">
        <f>'G MTTS'!J461</f>
        <v>#AS 10K Bounty</v>
      </c>
      <c r="D464" s="49" t="str">
        <f>'G MTTS'!M461</f>
        <v>Side Event</v>
      </c>
      <c r="E464" s="50" t="str">
        <f>'G MTTS'!N461</f>
        <v>NLH</v>
      </c>
      <c r="F464" s="51" t="str">
        <f>'G MTTS'!O461</f>
        <v>Progressive KO 1/2</v>
      </c>
      <c r="G464" s="52">
        <f>IF('G MTTS'!Q461=0," ",'G MTTS'!Q461*$A$3)</f>
        <v>10000</v>
      </c>
      <c r="H464" s="53">
        <f>IF('G MTTS'!V461=0," ",'G MTTS'!V461*$A$3)</f>
        <v>35</v>
      </c>
      <c r="I464" s="53">
        <f>IF('G MTTS'!W461=0," ",'G MTTS'!W461*$A$3)</f>
        <v>35</v>
      </c>
      <c r="J464" s="53" t="str">
        <f>IF('G MTTS'!Z461=0," ",'G MTTS'!Z461*$A$3)</f>
        <v> </v>
      </c>
      <c r="K464" s="54">
        <f>'G MTTS'!AF461</f>
        <v>60000</v>
      </c>
      <c r="L464" s="54">
        <f>'G MTTS'!X461</f>
        <v>0</v>
      </c>
      <c r="M464" s="54" t="str">
        <f>'G MTTS'!AA461</f>
        <v>REENTRY</v>
      </c>
      <c r="N464" s="55">
        <f>'G MTTS'!AG461</f>
        <v>10</v>
      </c>
      <c r="O464" s="55">
        <f>'G MTTS'!AH461</f>
        <v>8</v>
      </c>
      <c r="P464" s="55">
        <f>'G MTTS'!AI461</f>
        <v>8</v>
      </c>
      <c r="Q464" s="56">
        <f>'G MTTS'!AJ461</f>
        <v>15</v>
      </c>
      <c r="R464" s="46">
        <f t="shared" si="36"/>
        <v>0.944456018518518</v>
      </c>
      <c r="S464" s="47" t="str">
        <f t="shared" si="38"/>
        <v>LOW</v>
      </c>
    </row>
    <row r="465" ht="29.25" customHeight="1" outlineLevel="1" spans="1:19">
      <c r="B465" s="36">
        <f>'G MTTS'!B462</f>
        <v>0.833344907407407</v>
      </c>
      <c r="C465" s="37" t="str">
        <f>'G MTTS'!J462</f>
        <v>#AS 30K Plus+SPS</v>
      </c>
      <c r="D465" s="38" t="str">
        <f>'G MTTS'!M462</f>
        <v>Side Event</v>
      </c>
      <c r="E465" s="39" t="str">
        <f>'G MTTS'!N462</f>
        <v>NLH</v>
      </c>
      <c r="F465" s="40" t="str">
        <f>'G MTTS'!O462</f>
        <v>OFF</v>
      </c>
      <c r="G465" s="41">
        <f>IF('G MTTS'!Q462=0," ",'G MTTS'!Q462*$A$3)</f>
        <v>31000</v>
      </c>
      <c r="H465" s="42">
        <f>IF('G MTTS'!V462=0," ",'G MTTS'!V462*$A$3)</f>
        <v>20</v>
      </c>
      <c r="I465" s="42">
        <f>IF('G MTTS'!W462=0," ",'G MTTS'!W462*$A$3)</f>
        <v>20</v>
      </c>
      <c r="J465" s="42">
        <f>IF('G MTTS'!Z462=0," ",'G MTTS'!Z462*$A$3)</f>
        <v>20</v>
      </c>
      <c r="K465" s="43">
        <f>'G MTTS'!AF462</f>
        <v>40000</v>
      </c>
      <c r="L465" s="43">
        <f>'G MTTS'!X462</f>
        <v>0</v>
      </c>
      <c r="M465" s="43">
        <f>'G MTTS'!AA462</f>
        <v>120000</v>
      </c>
      <c r="N465" s="44">
        <f>'G MTTS'!AG462</f>
        <v>10</v>
      </c>
      <c r="O465" s="44">
        <f>'G MTTS'!AH462</f>
        <v>8</v>
      </c>
      <c r="P465" s="44">
        <f>'G MTTS'!AI462</f>
        <v>8</v>
      </c>
      <c r="Q465" s="45">
        <f>'G MTTS'!AJ462</f>
        <v>13</v>
      </c>
      <c r="R465" s="46">
        <f t="shared" si="36"/>
        <v>0.93056712962963</v>
      </c>
      <c r="S465" s="47" t="str">
        <f t="shared" si="38"/>
        <v>MICRO</v>
      </c>
    </row>
    <row r="466" ht="29.25" customHeight="1" outlineLevel="1" spans="1:19">
      <c r="B466" s="36">
        <f>'G MTTS'!B463</f>
        <v>0.854178240740741</v>
      </c>
      <c r="C466" s="48" t="str">
        <f>'G MTTS'!J463</f>
        <v>500 Mini Bounty</v>
      </c>
      <c r="D466" s="49" t="str">
        <f>'G MTTS'!M463</f>
        <v>Side Event</v>
      </c>
      <c r="E466" s="50" t="str">
        <f>'G MTTS'!N463</f>
        <v>NLH</v>
      </c>
      <c r="F466" s="51" t="str">
        <f>'G MTTS'!O463</f>
        <v>Progressive KO 1/3</v>
      </c>
      <c r="G466" s="52">
        <f>IF('G MTTS'!Q463=0," ",'G MTTS'!Q463*$A$3)</f>
        <v>500</v>
      </c>
      <c r="H466" s="53">
        <f>IF('G MTTS'!V463=0," ",'G MTTS'!V463*$A$3)</f>
        <v>4</v>
      </c>
      <c r="I466" s="53">
        <f>IF('G MTTS'!W463=0," ",'G MTTS'!W463*$A$3)</f>
        <v>4</v>
      </c>
      <c r="J466" s="53" t="str">
        <f>IF('G MTTS'!Z463=0," ",'G MTTS'!Z463*$A$3)</f>
        <v> </v>
      </c>
      <c r="K466" s="54">
        <f>'G MTTS'!AF463</f>
        <v>50000</v>
      </c>
      <c r="L466" s="54">
        <f>'G MTTS'!X463</f>
        <v>0</v>
      </c>
      <c r="M466" s="54" t="str">
        <f>'G MTTS'!AA463</f>
        <v>REENTRY</v>
      </c>
      <c r="N466" s="55">
        <f>'G MTTS'!AG463</f>
        <v>7</v>
      </c>
      <c r="O466" s="55">
        <f>'G MTTS'!AH463</f>
        <v>6</v>
      </c>
      <c r="P466" s="55">
        <f>'G MTTS'!AI463</f>
        <v>6</v>
      </c>
      <c r="Q466" s="56">
        <f>'G MTTS'!AJ463</f>
        <v>15</v>
      </c>
      <c r="R466" s="46">
        <f t="shared" si="36"/>
        <v>0.93056712962963</v>
      </c>
      <c r="S466" s="47" t="str">
        <f t="shared" si="38"/>
        <v>MICRO</v>
      </c>
    </row>
    <row r="467" ht="29.25" customHeight="1" outlineLevel="1" spans="1:19">
      <c r="B467" s="36">
        <f>'G MTTS'!B464</f>
        <v>0.875011574074074</v>
      </c>
      <c r="C467" s="37" t="str">
        <f>'G MTTS'!J464</f>
        <v>#AS 12K Mystery</v>
      </c>
      <c r="D467" s="38" t="str">
        <f>'G MTTS'!M464</f>
        <v>Side Event</v>
      </c>
      <c r="E467" s="39" t="str">
        <f>'G MTTS'!N464</f>
        <v>NLH</v>
      </c>
      <c r="F467" s="40" t="str">
        <f>'G MTTS'!O464</f>
        <v>Mystery Bounty 1/3</v>
      </c>
      <c r="G467" s="41">
        <f>IF('G MTTS'!Q464=0," ",'G MTTS'!Q464*$A$3)</f>
        <v>12000</v>
      </c>
      <c r="H467" s="42">
        <f>IF('G MTTS'!V464=0," ",'G MTTS'!V464*$A$3)</f>
        <v>40</v>
      </c>
      <c r="I467" s="42">
        <f>IF('G MTTS'!W464=0," ",'G MTTS'!W464*$A$3)</f>
        <v>40</v>
      </c>
      <c r="J467" s="42" t="str">
        <f>IF('G MTTS'!Z464=0," ",'G MTTS'!Z464*$A$3)</f>
        <v> </v>
      </c>
      <c r="K467" s="43">
        <f>'G MTTS'!AF464</f>
        <v>60000</v>
      </c>
      <c r="L467" s="43">
        <f>'G MTTS'!X464</f>
        <v>0</v>
      </c>
      <c r="M467" s="43" t="str">
        <f>'G MTTS'!AA464</f>
        <v>REENTRY</v>
      </c>
      <c r="N467" s="44">
        <f>'G MTTS'!AG464</f>
        <v>10</v>
      </c>
      <c r="O467" s="44">
        <f>'G MTTS'!AH464</f>
        <v>8</v>
      </c>
      <c r="P467" s="44">
        <f>'G MTTS'!AI464</f>
        <v>8</v>
      </c>
      <c r="Q467" s="45">
        <f>'G MTTS'!AJ464</f>
        <v>14</v>
      </c>
      <c r="R467" s="46">
        <f t="shared" si="36"/>
        <v>0.979178240740741</v>
      </c>
      <c r="S467" s="47" t="str">
        <f t="shared" si="38"/>
        <v>LOW</v>
      </c>
    </row>
    <row r="468" ht="29.25" customHeight="1" outlineLevel="1" spans="1:19">
      <c r="A468" s="60" t="s">
        <v>521</v>
      </c>
      <c r="B468" s="36">
        <f>'G MTTS'!B465</f>
        <v>0.875011574074074</v>
      </c>
      <c r="C468" s="48" t="str">
        <f>'G MTTS'!J465</f>
        <v>#AS 25K Freeze</v>
      </c>
      <c r="D468" s="49" t="str">
        <f>'G MTTS'!M465</f>
        <v>Side Event</v>
      </c>
      <c r="E468" s="50" t="str">
        <f>'G MTTS'!N465</f>
        <v>NLH</v>
      </c>
      <c r="F468" s="51" t="str">
        <f>'G MTTS'!O465</f>
        <v>OFF</v>
      </c>
      <c r="G468" s="52">
        <f>IF('G MTTS'!Q465=0," ",'G MTTS'!Q465*$A$3)</f>
        <v>25000</v>
      </c>
      <c r="H468" s="53">
        <f>IF('G MTTS'!V465=0," ",'G MTTS'!V465*$A$3)</f>
        <v>150</v>
      </c>
      <c r="I468" s="53" t="str">
        <f>IF('G MTTS'!W465=0," ",'G MTTS'!W465*$A$3)</f>
        <v> </v>
      </c>
      <c r="J468" s="53" t="str">
        <f>IF('G MTTS'!Z465=0," ",'G MTTS'!Z465*$A$3)</f>
        <v> </v>
      </c>
      <c r="K468" s="54">
        <f>'G MTTS'!AF465</f>
        <v>40000</v>
      </c>
      <c r="L468" s="54">
        <f>'G MTTS'!X465</f>
        <v>0</v>
      </c>
      <c r="M468" s="54" t="str">
        <f>'G MTTS'!AA465</f>
        <v>FREEZE</v>
      </c>
      <c r="N468" s="55">
        <f>'G MTTS'!AG465</f>
        <v>10</v>
      </c>
      <c r="O468" s="55">
        <f>'G MTTS'!AH465</f>
        <v>10</v>
      </c>
      <c r="P468" s="55">
        <f>'G MTTS'!AI465</f>
        <v>10</v>
      </c>
      <c r="Q468" s="56">
        <f>'G MTTS'!AJ465</f>
        <v>14</v>
      </c>
      <c r="R468" s="46">
        <f t="shared" si="36"/>
        <v>0.979178240740741</v>
      </c>
      <c r="S468" s="47" t="str">
        <f t="shared" si="38"/>
        <v>MEDIUM</v>
      </c>
    </row>
    <row r="469" ht="29.25" customHeight="1" outlineLevel="1" spans="1:19">
      <c r="B469" s="36">
        <f>'G MTTS'!B466</f>
        <v>0.875011574074074</v>
      </c>
      <c r="C469" s="37" t="str">
        <f>'G MTTS'!J466</f>
        <v>#AS 1.2K Omax</v>
      </c>
      <c r="D469" s="38" t="str">
        <f>'G MTTS'!M466</f>
        <v>Side Event</v>
      </c>
      <c r="E469" s="39" t="str">
        <f>'G MTTS'!N466</f>
        <v>PLO5</v>
      </c>
      <c r="F469" s="40" t="str">
        <f>'G MTTS'!O466</f>
        <v>OFF</v>
      </c>
      <c r="G469" s="41">
        <f>IF('G MTTS'!Q466=0," ",'G MTTS'!Q466*$A$3)</f>
        <v>1200</v>
      </c>
      <c r="H469" s="42">
        <f>IF('G MTTS'!V466=0," ",'G MTTS'!V466*$A$3)</f>
        <v>5</v>
      </c>
      <c r="I469" s="42">
        <f>IF('G MTTS'!W466=0," ",'G MTTS'!W466*$A$3)</f>
        <v>5</v>
      </c>
      <c r="J469" s="42">
        <f>IF('G MTTS'!Z466=0," ",'G MTTS'!Z466*$A$3)</f>
        <v>5</v>
      </c>
      <c r="K469" s="43">
        <f>'G MTTS'!AF466</f>
        <v>40000</v>
      </c>
      <c r="L469" s="43">
        <f>'G MTTS'!X466</f>
        <v>0</v>
      </c>
      <c r="M469" s="43">
        <f>'G MTTS'!AA466</f>
        <v>100000</v>
      </c>
      <c r="N469" s="44">
        <f>'G MTTS'!AG466</f>
        <v>8</v>
      </c>
      <c r="O469" s="44">
        <f>'G MTTS'!AH466</f>
        <v>7</v>
      </c>
      <c r="P469" s="44">
        <f>'G MTTS'!AI466</f>
        <v>7</v>
      </c>
      <c r="Q469" s="45">
        <f>'G MTTS'!AJ466</f>
        <v>12</v>
      </c>
      <c r="R469" s="46">
        <f t="shared" si="36"/>
        <v>0.945150462962963</v>
      </c>
      <c r="S469" s="47" t="str">
        <f t="shared" si="38"/>
        <v>MICRO</v>
      </c>
    </row>
    <row r="470" ht="29.25" customHeight="1" outlineLevel="1" spans="1:19">
      <c r="A470" s="60" t="s">
        <v>521</v>
      </c>
      <c r="B470" s="36">
        <f>'G MTTS'!B467</f>
        <v>0.875011574074074</v>
      </c>
      <c r="C470" s="48" t="str">
        <f>'G MTTS'!J467</f>
        <v>#AS 7.5K Plus</v>
      </c>
      <c r="D470" s="49" t="str">
        <f>'G MTTS'!M467</f>
        <v>Side Event</v>
      </c>
      <c r="E470" s="50" t="str">
        <f>'G MTTS'!N467</f>
        <v>NLH</v>
      </c>
      <c r="F470" s="51" t="str">
        <f>'G MTTS'!O467</f>
        <v>OFF</v>
      </c>
      <c r="G470" s="52">
        <f>IF('G MTTS'!Q467=0," ",'G MTTS'!Q467*$A$3)</f>
        <v>7500</v>
      </c>
      <c r="H470" s="53">
        <f>IF('G MTTS'!V467=0," ",'G MTTS'!V467*$A$3)</f>
        <v>5</v>
      </c>
      <c r="I470" s="53">
        <f>IF('G MTTS'!W467=0," ",'G MTTS'!W467*$A$3)</f>
        <v>5</v>
      </c>
      <c r="J470" s="53">
        <f>IF('G MTTS'!Z467=0," ",'G MTTS'!Z467*$A$3)</f>
        <v>5</v>
      </c>
      <c r="K470" s="54">
        <f>'G MTTS'!AF467</f>
        <v>30000</v>
      </c>
      <c r="L470" s="54">
        <f>'G MTTS'!X467</f>
        <v>0</v>
      </c>
      <c r="M470" s="54">
        <f>'G MTTS'!AA467</f>
        <v>120000</v>
      </c>
      <c r="N470" s="55">
        <f>'G MTTS'!AG467</f>
        <v>7</v>
      </c>
      <c r="O470" s="55">
        <f>'G MTTS'!AH467</f>
        <v>6</v>
      </c>
      <c r="P470" s="55">
        <f>'G MTTS'!AI467</f>
        <v>6</v>
      </c>
      <c r="Q470" s="56">
        <f>'G MTTS'!AJ467</f>
        <v>13</v>
      </c>
      <c r="R470" s="46">
        <f t="shared" si="36"/>
        <v>0.941678240740741</v>
      </c>
      <c r="S470" s="47" t="str">
        <f t="shared" si="38"/>
        <v>MICRO</v>
      </c>
    </row>
    <row r="471" ht="29.25" customHeight="1" outlineLevel="1" spans="1:19">
      <c r="B471" s="36">
        <f>'G MTTS'!B468</f>
        <v>0.888888888888889</v>
      </c>
      <c r="C471" s="37" t="str">
        <f>'G MTTS'!J468</f>
        <v>750 Plus</v>
      </c>
      <c r="D471" s="38" t="str">
        <f>'G MTTS'!M468</f>
        <v>Side Event</v>
      </c>
      <c r="E471" s="39" t="str">
        <f>'G MTTS'!N468</f>
        <v>NLH</v>
      </c>
      <c r="F471" s="40" t="str">
        <f>'G MTTS'!O468</f>
        <v>OFF</v>
      </c>
      <c r="G471" s="41">
        <f>IF('G MTTS'!Q468=0," ",'G MTTS'!Q468*$A$3)</f>
        <v>750</v>
      </c>
      <c r="H471" s="42">
        <f>IF('G MTTS'!V468=0," ",'G MTTS'!V468*$A$3)</f>
        <v>1</v>
      </c>
      <c r="I471" s="42">
        <f>IF('G MTTS'!W468=0," ",'G MTTS'!W468*$A$3)</f>
        <v>1</v>
      </c>
      <c r="J471" s="42">
        <f>IF('G MTTS'!Z468=0," ",'G MTTS'!Z468*$A$3)</f>
        <v>2</v>
      </c>
      <c r="K471" s="43">
        <f>'G MTTS'!AF468</f>
        <v>30000</v>
      </c>
      <c r="L471" s="43">
        <f>'G MTTS'!X468</f>
        <v>0</v>
      </c>
      <c r="M471" s="43">
        <f>'G MTTS'!AA468</f>
        <v>90000</v>
      </c>
      <c r="N471" s="44">
        <f>'G MTTS'!AG468</f>
        <v>6</v>
      </c>
      <c r="O471" s="44">
        <f>'G MTTS'!AH468</f>
        <v>5</v>
      </c>
      <c r="P471" s="44">
        <f>'G MTTS'!AI468</f>
        <v>5</v>
      </c>
      <c r="Q471" s="45">
        <f>'G MTTS'!AJ468</f>
        <v>13</v>
      </c>
      <c r="R471" s="46">
        <f t="shared" si="36"/>
        <v>0.946527777777778</v>
      </c>
      <c r="S471" s="47" t="str">
        <f t="shared" si="38"/>
        <v>MICRO</v>
      </c>
    </row>
    <row r="472" ht="29.25" customHeight="1" outlineLevel="1" spans="1:19">
      <c r="B472" s="36">
        <f>'G MTTS'!B469</f>
        <v>0.916678240740741</v>
      </c>
      <c r="C472" s="48" t="str">
        <f>'G MTTS'!J469</f>
        <v>#AS 10K Battle PKO</v>
      </c>
      <c r="D472" s="49" t="str">
        <f>'G MTTS'!M469</f>
        <v>Side Event</v>
      </c>
      <c r="E472" s="50" t="str">
        <f>'G MTTS'!N469</f>
        <v>NLH</v>
      </c>
      <c r="F472" s="51" t="str">
        <f>'G MTTS'!O469</f>
        <v>Progressive KO 1/2</v>
      </c>
      <c r="G472" s="52">
        <f>IF('G MTTS'!Q469=0," ",'G MTTS'!Q469*$A$3)</f>
        <v>10000</v>
      </c>
      <c r="H472" s="53">
        <f>IF('G MTTS'!V469=0," ",'G MTTS'!V469*$A$3)</f>
        <v>110</v>
      </c>
      <c r="I472" s="53">
        <f>IF('G MTTS'!W469=0," ",'G MTTS'!W469*$A$3)</f>
        <v>110</v>
      </c>
      <c r="J472" s="53" t="str">
        <f>IF('G MTTS'!Z469=0," ",'G MTTS'!Z469*$A$3)</f>
        <v> </v>
      </c>
      <c r="K472" s="54">
        <f>'G MTTS'!AF469</f>
        <v>50000</v>
      </c>
      <c r="L472" s="54">
        <f>'G MTTS'!X469</f>
        <v>0</v>
      </c>
      <c r="M472" s="54" t="str">
        <f>'G MTTS'!AA469</f>
        <v>REENTRY</v>
      </c>
      <c r="N472" s="55">
        <f>'G MTTS'!AG469</f>
        <v>8</v>
      </c>
      <c r="O472" s="55">
        <f>'G MTTS'!AH469</f>
        <v>8</v>
      </c>
      <c r="P472" s="55">
        <f>'G MTTS'!AI469</f>
        <v>8</v>
      </c>
      <c r="Q472" s="56">
        <f>'G MTTS'!AJ469</f>
        <v>15</v>
      </c>
      <c r="R472" s="46">
        <f t="shared" si="36"/>
        <v>1.00695601851852</v>
      </c>
      <c r="S472" s="47" t="str">
        <f t="shared" si="38"/>
        <v>MEDIUM</v>
      </c>
    </row>
    <row r="473" ht="29.25" customHeight="1" outlineLevel="1" spans="1:19">
      <c r="A473" s="60" t="s">
        <v>521</v>
      </c>
      <c r="B473" s="36">
        <f>'G MTTS'!B470</f>
        <v>0.916678240740741</v>
      </c>
      <c r="C473" s="37" t="str">
        <f>'G MTTS'!J470</f>
        <v>#AS 20K Plus+SPS</v>
      </c>
      <c r="D473" s="38" t="str">
        <f>'G MTTS'!M470</f>
        <v>Side Event</v>
      </c>
      <c r="E473" s="39" t="str">
        <f>'G MTTS'!N470</f>
        <v>NLH</v>
      </c>
      <c r="F473" s="40" t="str">
        <f>'G MTTS'!O470</f>
        <v>OFF</v>
      </c>
      <c r="G473" s="41">
        <f>IF('G MTTS'!Q470=0," ",'G MTTS'!Q470*$A$3)</f>
        <v>21000</v>
      </c>
      <c r="H473" s="42">
        <f>IF('G MTTS'!V470=0," ",'G MTTS'!V470*$A$3)</f>
        <v>15</v>
      </c>
      <c r="I473" s="42">
        <f>IF('G MTTS'!W470=0," ",'G MTTS'!W470*$A$3)</f>
        <v>15</v>
      </c>
      <c r="J473" s="42">
        <f>IF('G MTTS'!Z470=0," ",'G MTTS'!Z470*$A$3)</f>
        <v>15</v>
      </c>
      <c r="K473" s="43">
        <f>'G MTTS'!AF470</f>
        <v>40000</v>
      </c>
      <c r="L473" s="43">
        <f>'G MTTS'!X470</f>
        <v>0</v>
      </c>
      <c r="M473" s="43">
        <f>'G MTTS'!AA470</f>
        <v>160000</v>
      </c>
      <c r="N473" s="44">
        <f>'G MTTS'!AG470</f>
        <v>8</v>
      </c>
      <c r="O473" s="44">
        <f>'G MTTS'!AH470</f>
        <v>7</v>
      </c>
      <c r="P473" s="44">
        <f>'G MTTS'!AI470</f>
        <v>7</v>
      </c>
      <c r="Q473" s="45">
        <f>'G MTTS'!AJ470</f>
        <v>13</v>
      </c>
      <c r="R473" s="46">
        <f t="shared" si="36"/>
        <v>0.992372685185185</v>
      </c>
      <c r="S473" s="47" t="str">
        <f t="shared" si="38"/>
        <v>MICRO</v>
      </c>
    </row>
    <row r="474" ht="29.25" customHeight="1" outlineLevel="1" spans="1:19">
      <c r="B474" s="36">
        <f>'G MTTS'!B471</f>
        <v>0.916678240740741</v>
      </c>
      <c r="C474" s="48" t="str">
        <f>'G MTTS'!J471</f>
        <v>#AS 12K OmaX Turbo</v>
      </c>
      <c r="D474" s="49" t="str">
        <f>'G MTTS'!M471</f>
        <v>Side Event</v>
      </c>
      <c r="E474" s="50" t="str">
        <f>'G MTTS'!N471</f>
        <v>PLO5</v>
      </c>
      <c r="F474" s="51" t="str">
        <f>'G MTTS'!O471</f>
        <v>Progressive KO 1/2</v>
      </c>
      <c r="G474" s="52">
        <f>IF('G MTTS'!Q471=0," ",'G MTTS'!Q471*$A$3)</f>
        <v>12000</v>
      </c>
      <c r="H474" s="53">
        <f>IF('G MTTS'!V471=0," ",'G MTTS'!V471*$A$3)</f>
        <v>55</v>
      </c>
      <c r="I474" s="53">
        <f>IF('G MTTS'!W471=0," ",'G MTTS'!W471*$A$3)</f>
        <v>55</v>
      </c>
      <c r="J474" s="53" t="str">
        <f>IF('G MTTS'!Z471=0," ",'G MTTS'!Z471*$A$3)</f>
        <v> </v>
      </c>
      <c r="K474" s="54">
        <f>'G MTTS'!AF471</f>
        <v>60000</v>
      </c>
      <c r="L474" s="54">
        <f>'G MTTS'!X471</f>
        <v>0</v>
      </c>
      <c r="M474" s="54" t="str">
        <f>'G MTTS'!AA471</f>
        <v>REENTRY</v>
      </c>
      <c r="N474" s="55">
        <f>'G MTTS'!AG471</f>
        <v>7</v>
      </c>
      <c r="O474" s="55">
        <f>'G MTTS'!AH471</f>
        <v>6</v>
      </c>
      <c r="P474" s="55">
        <f>'G MTTS'!AI471</f>
        <v>6</v>
      </c>
      <c r="Q474" s="56">
        <f>'G MTTS'!AJ471</f>
        <v>14</v>
      </c>
      <c r="R474" s="46">
        <f t="shared" si="36"/>
        <v>0.988206018518519</v>
      </c>
      <c r="S474" s="47" t="str">
        <f t="shared" si="38"/>
        <v>LOW</v>
      </c>
    </row>
    <row r="475" ht="29.25" customHeight="1" outlineLevel="1" spans="1:19">
      <c r="B475" s="36">
        <f>'G MTTS'!B472</f>
        <v>0.927094907407407</v>
      </c>
      <c r="C475" s="37" t="str">
        <f>'G MTTS'!J472</f>
        <v>Sit&amp;go 200p max.</v>
      </c>
      <c r="D475" s="38" t="str">
        <f>'G MTTS'!M472</f>
        <v>Side Event</v>
      </c>
      <c r="E475" s="39" t="str">
        <f>'G MTTS'!N472</f>
        <v>NLH</v>
      </c>
      <c r="F475" s="40" t="str">
        <f>'G MTTS'!O472</f>
        <v>OFF</v>
      </c>
      <c r="G475" s="41">
        <f>IF('G MTTS'!Q472=0," ",'G MTTS'!Q472*$A$3)</f>
        <v>250</v>
      </c>
      <c r="H475" s="42">
        <f>IF('G MTTS'!V472=0," ",'G MTTS'!V472*$A$3)</f>
        <v>3</v>
      </c>
      <c r="I475" s="42">
        <f>IF('G MTTS'!W472=0," ",'G MTTS'!W472*$A$3)</f>
        <v>3</v>
      </c>
      <c r="J475" s="42">
        <f>IF('G MTTS'!Z472=0," ",'G MTTS'!Z472*$A$3)</f>
        <v>3</v>
      </c>
      <c r="K475" s="43">
        <f>'G MTTS'!AF472</f>
        <v>20000</v>
      </c>
      <c r="L475" s="43">
        <f>'G MTTS'!X472</f>
        <v>0</v>
      </c>
      <c r="M475" s="43">
        <f>'G MTTS'!AA472</f>
        <v>30000</v>
      </c>
      <c r="N475" s="44">
        <f>'G MTTS'!AG472</f>
        <v>5</v>
      </c>
      <c r="O475" s="44">
        <f>'G MTTS'!AH472</f>
        <v>5</v>
      </c>
      <c r="P475" s="44">
        <f>'G MTTS'!AI472</f>
        <v>5</v>
      </c>
      <c r="Q475" s="45">
        <f>'G MTTS'!AJ472</f>
        <v>15</v>
      </c>
      <c r="R475" s="46">
        <f t="shared" si="36"/>
        <v>0.982650462962963</v>
      </c>
      <c r="S475" s="47" t="str">
        <f t="shared" si="38"/>
        <v>MICRO</v>
      </c>
    </row>
    <row r="476" ht="29.25" customHeight="1" outlineLevel="1" spans="1:19">
      <c r="A476" s="60" t="s">
        <v>521</v>
      </c>
      <c r="B476" s="36">
        <f>'G MTTS'!B473</f>
        <v>0.958344907407407</v>
      </c>
      <c r="C476" s="48" t="str">
        <f>'G MTTS'!J473</f>
        <v>#AS 1.2K Battle</v>
      </c>
      <c r="D476" s="49" t="str">
        <f>'G MTTS'!M473</f>
        <v>Side Event</v>
      </c>
      <c r="E476" s="50" t="str">
        <f>'G MTTS'!N473</f>
        <v>NLH</v>
      </c>
      <c r="F476" s="51" t="str">
        <f>'G MTTS'!O473</f>
        <v>Regular KO 1/2</v>
      </c>
      <c r="G476" s="52">
        <f>IF('G MTTS'!Q473=0," ",'G MTTS'!Q473*$A$3)</f>
        <v>1200</v>
      </c>
      <c r="H476" s="53">
        <f>IF('G MTTS'!V473=0," ",'G MTTS'!V473*$A$3)</f>
        <v>20</v>
      </c>
      <c r="I476" s="53">
        <f>IF('G MTTS'!W473=0," ",'G MTTS'!W473*$A$3)</f>
        <v>20</v>
      </c>
      <c r="J476" s="53" t="str">
        <f>IF('G MTTS'!Z473=0," ",'G MTTS'!Z473*$A$3)</f>
        <v> </v>
      </c>
      <c r="K476" s="54">
        <f>'G MTTS'!AF473</f>
        <v>30000</v>
      </c>
      <c r="L476" s="54">
        <f>'G MTTS'!X473</f>
        <v>0</v>
      </c>
      <c r="M476" s="54" t="str">
        <f>'G MTTS'!AA473</f>
        <v>REENTRY</v>
      </c>
      <c r="N476" s="55">
        <f>'G MTTS'!AG473</f>
        <v>7</v>
      </c>
      <c r="O476" s="55">
        <f>'G MTTS'!AH473</f>
        <v>6</v>
      </c>
      <c r="P476" s="55">
        <f>'G MTTS'!AI473</f>
        <v>6</v>
      </c>
      <c r="Q476" s="56">
        <f>'G MTTS'!AJ473</f>
        <v>13</v>
      </c>
      <c r="R476" s="46">
        <f t="shared" si="36"/>
        <v>1.02501157407407</v>
      </c>
      <c r="S476" s="47" t="str">
        <f t="shared" si="38"/>
        <v>MICRO</v>
      </c>
    </row>
    <row r="477" ht="29.25" customHeight="1" outlineLevel="1" spans="1:19">
      <c r="B477" s="36">
        <f>'G MTTS'!B474</f>
        <v>0.958344907407407</v>
      </c>
      <c r="C477" s="37" t="str">
        <f>'G MTTS'!J474</f>
        <v>#AS 4K Plus</v>
      </c>
      <c r="D477" s="38" t="str">
        <f>'G MTTS'!M474</f>
        <v>Side Event</v>
      </c>
      <c r="E477" s="39" t="str">
        <f>'G MTTS'!N474</f>
        <v>NLH</v>
      </c>
      <c r="F477" s="40" t="str">
        <f>'G MTTS'!O474</f>
        <v>OFF</v>
      </c>
      <c r="G477" s="41">
        <f>IF('G MTTS'!Q474=0," ",'G MTTS'!Q474*$A$3)</f>
        <v>4000</v>
      </c>
      <c r="H477" s="42">
        <f>IF('G MTTS'!V474=0," ",'G MTTS'!V474*$A$3)</f>
        <v>4</v>
      </c>
      <c r="I477" s="42">
        <f>IF('G MTTS'!W474=0," ",'G MTTS'!W474*$A$3)</f>
        <v>4</v>
      </c>
      <c r="J477" s="42">
        <f>IF('G MTTS'!Z474=0," ",'G MTTS'!Z474*$A$3)</f>
        <v>4</v>
      </c>
      <c r="K477" s="43">
        <f>'G MTTS'!AF474</f>
        <v>20000</v>
      </c>
      <c r="L477" s="43">
        <f>'G MTTS'!X474</f>
        <v>0</v>
      </c>
      <c r="M477" s="43">
        <f>'G MTTS'!AA474</f>
        <v>60000</v>
      </c>
      <c r="N477" s="44">
        <f>'G MTTS'!AG474</f>
        <v>6</v>
      </c>
      <c r="O477" s="44">
        <f>'G MTTS'!AH474</f>
        <v>5</v>
      </c>
      <c r="P477" s="44">
        <f>'G MTTS'!AI474</f>
        <v>5</v>
      </c>
      <c r="Q477" s="45">
        <f>'G MTTS'!AJ474</f>
        <v>12</v>
      </c>
      <c r="R477" s="46">
        <f t="shared" si="36"/>
        <v>1.01181712962963</v>
      </c>
      <c r="S477" s="47" t="str">
        <f t="shared" si="38"/>
        <v>MICRO</v>
      </c>
    </row>
    <row r="478" ht="29.25" customHeight="1" outlineLevel="1" spans="1:19">
      <c r="B478" s="36">
        <f>'G MTTS'!B475</f>
        <v>0.958344907407407</v>
      </c>
      <c r="C478" s="48" t="str">
        <f>'G MTTS'!J475</f>
        <v>400 Plus</v>
      </c>
      <c r="D478" s="49" t="str">
        <f>'G MTTS'!M475</f>
        <v>Side Event</v>
      </c>
      <c r="E478" s="50" t="str">
        <f>'G MTTS'!N475</f>
        <v>NLH</v>
      </c>
      <c r="F478" s="51" t="str">
        <f>'G MTTS'!O475</f>
        <v>OFF</v>
      </c>
      <c r="G478" s="52">
        <f>IF('G MTTS'!Q475=0," ",'G MTTS'!Q475*$A$3)</f>
        <v>400</v>
      </c>
      <c r="H478" s="53">
        <f>IF('G MTTS'!V475=0," ",'G MTTS'!V475*$A$3)</f>
        <v>1</v>
      </c>
      <c r="I478" s="53">
        <f>IF('G MTTS'!W475=0," ",'G MTTS'!W475*$A$3)</f>
        <v>1</v>
      </c>
      <c r="J478" s="53">
        <f>IF('G MTTS'!Z475=0," ",'G MTTS'!Z475*$A$3)</f>
        <v>1</v>
      </c>
      <c r="K478" s="54">
        <f>'G MTTS'!AF475</f>
        <v>20000</v>
      </c>
      <c r="L478" s="54">
        <f>'G MTTS'!X475</f>
        <v>0</v>
      </c>
      <c r="M478" s="54">
        <f>'G MTTS'!AA475</f>
        <v>50000</v>
      </c>
      <c r="N478" s="55">
        <f>'G MTTS'!AG475</f>
        <v>5</v>
      </c>
      <c r="O478" s="55">
        <f>'G MTTS'!AH475</f>
        <v>5</v>
      </c>
      <c r="P478" s="55">
        <f>'G MTTS'!AI475</f>
        <v>5</v>
      </c>
      <c r="Q478" s="56">
        <f>'G MTTS'!AJ475</f>
        <v>12</v>
      </c>
      <c r="R478" s="46">
        <f t="shared" si="36"/>
        <v>1.0034837962963</v>
      </c>
      <c r="S478" s="47" t="str">
        <f t="shared" si="38"/>
        <v>MICRO</v>
      </c>
    </row>
    <row r="479" ht="29.25" customHeight="1" outlineLevel="1" spans="1:19">
      <c r="A479" s="60" t="s">
        <v>521</v>
      </c>
      <c r="B479" s="36">
        <f>'G MTTS'!B476</f>
        <v>0.958344907407407</v>
      </c>
      <c r="C479" s="37" t="str">
        <f>'G MTTS'!J476</f>
        <v>#AS 10K OmaX Night</v>
      </c>
      <c r="D479" s="38" t="str">
        <f>'G MTTS'!M476</f>
        <v>Side Event</v>
      </c>
      <c r="E479" s="39" t="str">
        <f>'G MTTS'!N476</f>
        <v>PLO5</v>
      </c>
      <c r="F479" s="40" t="str">
        <f>'G MTTS'!O476</f>
        <v>Progressive KO 1/2</v>
      </c>
      <c r="G479" s="41">
        <f>IF('G MTTS'!Q476=0," ",'G MTTS'!Q476*$A$3)</f>
        <v>10000</v>
      </c>
      <c r="H479" s="42">
        <f>IF('G MTTS'!V476=0," ",'G MTTS'!V476*$A$3)</f>
        <v>150</v>
      </c>
      <c r="I479" s="42">
        <f>IF('G MTTS'!W476=0," ",'G MTTS'!W476*$A$3)</f>
        <v>150</v>
      </c>
      <c r="J479" s="42" t="str">
        <f>IF('G MTTS'!Z476=0," ",'G MTTS'!Z476*$A$3)</f>
        <v> </v>
      </c>
      <c r="K479" s="43">
        <f>'G MTTS'!AF476</f>
        <v>80000</v>
      </c>
      <c r="L479" s="43">
        <f>'G MTTS'!X476</f>
        <v>0</v>
      </c>
      <c r="M479" s="43" t="str">
        <f>'G MTTS'!AA476</f>
        <v>REENTRY</v>
      </c>
      <c r="N479" s="44">
        <f>'G MTTS'!AG476</f>
        <v>6</v>
      </c>
      <c r="O479" s="44">
        <f>'G MTTS'!AH476</f>
        <v>6</v>
      </c>
      <c r="P479" s="44">
        <f>'G MTTS'!AI476</f>
        <v>6</v>
      </c>
      <c r="Q479" s="45">
        <f>'G MTTS'!AJ476</f>
        <v>15</v>
      </c>
      <c r="R479" s="46">
        <f t="shared" si="36"/>
        <v>1.02431712962963</v>
      </c>
      <c r="S479" s="47" t="str">
        <f t="shared" si="38"/>
        <v>MEDIUM</v>
      </c>
    </row>
    <row r="480" ht="29.25" customHeight="1" outlineLevel="1" spans="1:19">
      <c r="B480" s="36">
        <f>'G MTTS'!B477</f>
        <v>0.965289351851852</v>
      </c>
      <c r="C480" s="48" t="str">
        <f>'G MTTS'!J477</f>
        <v>#AS 10K Bounty Night</v>
      </c>
      <c r="D480" s="49" t="str">
        <f>'G MTTS'!M477</f>
        <v>Side Event</v>
      </c>
      <c r="E480" s="50" t="str">
        <f>'G MTTS'!N477</f>
        <v>NLH</v>
      </c>
      <c r="F480" s="51" t="str">
        <f>'G MTTS'!O477</f>
        <v>Progressive KO 1/2</v>
      </c>
      <c r="G480" s="52">
        <f>IF('G MTTS'!Q477=0," ",'G MTTS'!Q477*$A$3)</f>
        <v>10000</v>
      </c>
      <c r="H480" s="53">
        <f>IF('G MTTS'!V477=0," ",'G MTTS'!V477*$A$3)</f>
        <v>55</v>
      </c>
      <c r="I480" s="53">
        <f>IF('G MTTS'!W477=0," ",'G MTTS'!W477*$A$3)</f>
        <v>55</v>
      </c>
      <c r="J480" s="53" t="str">
        <f>IF('G MTTS'!Z477=0," ",'G MTTS'!Z477*$A$3)</f>
        <v> </v>
      </c>
      <c r="K480" s="54">
        <f>'G MTTS'!AF477</f>
        <v>50000</v>
      </c>
      <c r="L480" s="54">
        <f>'G MTTS'!X477</f>
        <v>0</v>
      </c>
      <c r="M480" s="54" t="str">
        <f>'G MTTS'!AA477</f>
        <v>REENTRY</v>
      </c>
      <c r="N480" s="55">
        <f>'G MTTS'!AG477</f>
        <v>6</v>
      </c>
      <c r="O480" s="55">
        <f>'G MTTS'!AH477</f>
        <v>6</v>
      </c>
      <c r="P480" s="55">
        <f>'G MTTS'!AI477</f>
        <v>6</v>
      </c>
      <c r="Q480" s="56">
        <f>'G MTTS'!AJ477</f>
        <v>13</v>
      </c>
      <c r="R480" s="46">
        <f t="shared" si="36"/>
        <v>1.02292824074074</v>
      </c>
      <c r="S480" s="47" t="str">
        <f t="shared" si="38"/>
        <v>LOW</v>
      </c>
    </row>
    <row r="481" ht="29.25" customHeight="1" outlineLevel="1" spans="1:19">
      <c r="B481" s="36">
        <f>'G MTTS'!B478</f>
        <v>0.965289351851852</v>
      </c>
      <c r="C481" s="37" t="str">
        <f>'G MTTS'!J478</f>
        <v>400 Omax</v>
      </c>
      <c r="D481" s="38" t="str">
        <f>'G MTTS'!M478</f>
        <v>Side Event</v>
      </c>
      <c r="E481" s="39" t="str">
        <f>'G MTTS'!N478</f>
        <v>PLO4</v>
      </c>
      <c r="F481" s="40" t="str">
        <f>'G MTTS'!O478</f>
        <v>OFF</v>
      </c>
      <c r="G481" s="41">
        <f>IF('G MTTS'!Q478=0," ",'G MTTS'!Q478*$A$3)</f>
        <v>400</v>
      </c>
      <c r="H481" s="42">
        <f>IF('G MTTS'!V478=0," ",'G MTTS'!V478*$A$3)</f>
        <v>3</v>
      </c>
      <c r="I481" s="42">
        <f>IF('G MTTS'!W478=0," ",'G MTTS'!W478*$A$3)</f>
        <v>3</v>
      </c>
      <c r="J481" s="42">
        <f>IF('G MTTS'!Z478=0," ",'G MTTS'!Z478*$A$3)</f>
        <v>3</v>
      </c>
      <c r="K481" s="43">
        <f>'G MTTS'!AF478</f>
        <v>40000</v>
      </c>
      <c r="L481" s="43">
        <f>'G MTTS'!X478</f>
        <v>0</v>
      </c>
      <c r="M481" s="43">
        <f>'G MTTS'!AA478</f>
        <v>100000</v>
      </c>
      <c r="N481" s="44">
        <f>'G MTTS'!AG478</f>
        <v>6</v>
      </c>
      <c r="O481" s="44">
        <f>'G MTTS'!AH478</f>
        <v>5</v>
      </c>
      <c r="P481" s="44">
        <f>'G MTTS'!AI478</f>
        <v>5</v>
      </c>
      <c r="Q481" s="45">
        <f>'G MTTS'!AJ478</f>
        <v>12</v>
      </c>
      <c r="R481" s="46">
        <f t="shared" si="36"/>
        <v>1.01876157407407</v>
      </c>
      <c r="S481" s="47" t="str">
        <f t="shared" si="38"/>
        <v>MICRO</v>
      </c>
    </row>
    <row r="482" ht="29.25" customHeight="1" outlineLevel="1" spans="1:19">
      <c r="A482" s="60" t="s">
        <v>521</v>
      </c>
      <c r="B482" s="36">
        <f>'G MTTS'!B479</f>
        <v>0.979178240740741</v>
      </c>
      <c r="C482" s="48" t="str">
        <f>'G MTTS'!J479</f>
        <v>#AS 1.2K Mystery</v>
      </c>
      <c r="D482" s="49" t="str">
        <f>'G MTTS'!M479</f>
        <v>Side Event</v>
      </c>
      <c r="E482" s="50" t="str">
        <f>'G MTTS'!N479</f>
        <v>NLH</v>
      </c>
      <c r="F482" s="51" t="str">
        <f>'G MTTS'!O479</f>
        <v>Mystery Bounty 1/3</v>
      </c>
      <c r="G482" s="52">
        <f>IF('G MTTS'!Q479=0," ",'G MTTS'!Q479*$A$3)</f>
        <v>1200</v>
      </c>
      <c r="H482" s="53">
        <f>IF('G MTTS'!V479=0," ",'G MTTS'!V479*$A$3)</f>
        <v>10</v>
      </c>
      <c r="I482" s="53">
        <f>IF('G MTTS'!W479=0," ",'G MTTS'!W479*$A$3)</f>
        <v>10</v>
      </c>
      <c r="J482" s="53" t="str">
        <f>IF('G MTTS'!Z479=0," ",'G MTTS'!Z479*$A$3)</f>
        <v> </v>
      </c>
      <c r="K482" s="54">
        <f>'G MTTS'!AF479</f>
        <v>30000</v>
      </c>
      <c r="L482" s="54">
        <f>'G MTTS'!X479</f>
        <v>0</v>
      </c>
      <c r="M482" s="54" t="str">
        <f>'G MTTS'!AA479</f>
        <v>REENTRY</v>
      </c>
      <c r="N482" s="55">
        <f>'G MTTS'!AG479</f>
        <v>5</v>
      </c>
      <c r="O482" s="55">
        <f>'G MTTS'!AH479</f>
        <v>5</v>
      </c>
      <c r="P482" s="55">
        <f>'G MTTS'!AI479</f>
        <v>5</v>
      </c>
      <c r="Q482" s="56">
        <f>'G MTTS'!AJ479</f>
        <v>13</v>
      </c>
      <c r="R482" s="46">
        <f t="shared" si="36"/>
        <v>1.02778935185185</v>
      </c>
      <c r="S482" s="47" t="str">
        <f t="shared" si="38"/>
        <v>MICRO</v>
      </c>
    </row>
    <row r="483" ht="29.25" customHeight="1" outlineLevel="1" spans="1:19">
      <c r="B483" s="36">
        <f>'G MTTS'!B480</f>
        <v>0.979178240740741</v>
      </c>
      <c r="C483" s="37" t="str">
        <f>'G MTTS'!J480</f>
        <v>#AS 15K Sonic</v>
      </c>
      <c r="D483" s="38" t="str">
        <f>'G MTTS'!M480</f>
        <v>Side Event</v>
      </c>
      <c r="E483" s="39" t="str">
        <f>'G MTTS'!N480</f>
        <v>NLH</v>
      </c>
      <c r="F483" s="40" t="str">
        <f>'G MTTS'!O480</f>
        <v>OFF</v>
      </c>
      <c r="G483" s="41">
        <f>IF('G MTTS'!Q480=0," ",'G MTTS'!Q480*$A$3)</f>
        <v>15000</v>
      </c>
      <c r="H483" s="42">
        <f>IF('G MTTS'!V480=0," ",'G MTTS'!V480*$A$3)</f>
        <v>150</v>
      </c>
      <c r="I483" s="42">
        <f>IF('G MTTS'!W480=0," ",'G MTTS'!W480*$A$3)</f>
        <v>150</v>
      </c>
      <c r="J483" s="42" t="str">
        <f>IF('G MTTS'!Z480=0," ",'G MTTS'!Z480*$A$3)</f>
        <v> </v>
      </c>
      <c r="K483" s="43">
        <f>'G MTTS'!AF480</f>
        <v>50000</v>
      </c>
      <c r="L483" s="43">
        <f>'G MTTS'!X480</f>
        <v>0</v>
      </c>
      <c r="M483" s="43" t="str">
        <f>'G MTTS'!AA480</f>
        <v>REENTRY</v>
      </c>
      <c r="N483" s="44">
        <f>'G MTTS'!AG480</f>
        <v>5</v>
      </c>
      <c r="O483" s="44">
        <f>'G MTTS'!AH480</f>
        <v>5</v>
      </c>
      <c r="P483" s="44">
        <f>'G MTTS'!AI480</f>
        <v>5</v>
      </c>
      <c r="Q483" s="45">
        <f>'G MTTS'!AJ480</f>
        <v>13</v>
      </c>
      <c r="R483" s="46">
        <f t="shared" si="36"/>
        <v>1.02778935185185</v>
      </c>
      <c r="S483" s="47" t="str">
        <f t="shared" si="38"/>
        <v>MEDIUM</v>
      </c>
    </row>
    <row r="484" ht="29.25" customHeight="1" outlineLevel="1" spans="1:19">
      <c r="B484" s="153"/>
      <c r="C484" s="154"/>
      <c r="D484" s="155"/>
      <c r="E484" s="156"/>
      <c r="F484" s="157"/>
      <c r="G484" s="158"/>
      <c r="H484" s="159"/>
      <c r="I484" s="159"/>
      <c r="J484" s="159"/>
      <c r="K484" s="160"/>
      <c r="L484" s="160"/>
      <c r="M484" s="160"/>
      <c r="N484" s="161"/>
      <c r="O484" s="161"/>
      <c r="P484" s="161"/>
      <c r="Q484" s="162"/>
      <c r="R484" s="46"/>
      <c r="S484" s="47" t="str">
        <f t="shared" si="38"/>
        <v> </v>
      </c>
    </row>
    <row r="485" ht="29.25" customHeight="1" outlineLevel="1" spans="1:19">
      <c r="A485" s="96" t="s">
        <v>193</v>
      </c>
      <c r="B485" s="22"/>
      <c r="C485" s="96" t="s">
        <v>514</v>
      </c>
      <c r="Q485" s="22"/>
      <c r="R485" s="46" t="str">
        <f t="shared" ref="R485:R486" si="39">IF(B485=0," ",TIME(,ROUNDDOWN(N485*Q485/60,0)*5+(N485*Q485),)+B485)</f>
        <v> </v>
      </c>
      <c r="S485" s="47" t="str">
        <f t="shared" si="38"/>
        <v> </v>
      </c>
    </row>
    <row r="486" ht="29.25" customHeight="1" outlineLevel="1" spans="1:19">
      <c r="A486" s="97" t="str">
        <f>'G MTTS'!J482</f>
        <v>#AS Reentry</v>
      </c>
      <c r="B486" s="98">
        <f>'G MTTS'!B482</f>
        <v>0.416678240740741</v>
      </c>
      <c r="C486" s="99" t="str">
        <f>'G MTTS'!L482</f>
        <v>4 Seats Reentry</v>
      </c>
      <c r="D486" s="120" t="str">
        <f>'G MTTS'!M482</f>
        <v>SAT</v>
      </c>
      <c r="E486" s="101" t="str">
        <f>'G MTTS'!N482</f>
        <v>NLH</v>
      </c>
      <c r="F486" s="102" t="str">
        <f>'G MTTS'!O482</f>
        <v>OFF</v>
      </c>
      <c r="G486" s="103">
        <f>IF('G MTTS'!Q482=0," ",'G MTTS'!Q482*$A$3)</f>
        <v>300</v>
      </c>
      <c r="H486" s="104">
        <f>IF('G MTTS'!V482=0," ",'G MTTS'!V482*A$3)</f>
        <v>4</v>
      </c>
      <c r="I486" s="104">
        <f>IF('G MTTS'!W482=0," ",'G MTTS'!W482*$A$3)</f>
        <v>4</v>
      </c>
      <c r="J486" s="104">
        <f>IF('G MTTS'!Z482=0," ",'G MTTS'!Z482*$A$3)</f>
        <v>4</v>
      </c>
      <c r="K486" s="105">
        <f>'G MTTS'!AF482</f>
        <v>10000</v>
      </c>
      <c r="L486" s="105">
        <f>'G MTTS'!X482</f>
        <v>0</v>
      </c>
      <c r="M486" s="105">
        <f>'G MTTS'!AA482</f>
        <v>20000</v>
      </c>
      <c r="N486" s="106">
        <f>'G MTTS'!AG482</f>
        <v>4</v>
      </c>
      <c r="O486" s="106">
        <f>'G MTTS'!AH482</f>
        <v>4</v>
      </c>
      <c r="P486" s="106">
        <f>'G MTTS'!AI482</f>
        <v>4</v>
      </c>
      <c r="Q486" s="107">
        <f>'G MTTS'!AJ482</f>
        <v>9</v>
      </c>
      <c r="R486" s="46">
        <f t="shared" si="39"/>
        <v>0.441678240740741</v>
      </c>
      <c r="S486" s="47" t="str">
        <f t="shared" si="38"/>
        <v>MICRO</v>
      </c>
    </row>
    <row r="487" ht="29.25" customHeight="1" outlineLevel="1" spans="1:19">
      <c r="A487" s="135"/>
      <c r="B487" s="109"/>
      <c r="C487" s="110"/>
      <c r="D487" s="111"/>
      <c r="E487" s="112"/>
      <c r="F487" s="113"/>
      <c r="G487" s="114"/>
      <c r="H487" s="115"/>
      <c r="I487" s="115"/>
      <c r="J487" s="115"/>
      <c r="K487" s="116"/>
      <c r="L487" s="116"/>
      <c r="M487" s="116"/>
      <c r="N487" s="117"/>
      <c r="O487" s="117"/>
      <c r="P487" s="117"/>
      <c r="Q487" s="118"/>
      <c r="R487" s="46"/>
      <c r="S487" s="47"/>
    </row>
    <row r="488" ht="29.25" customHeight="1" outlineLevel="1" spans="1:19">
      <c r="A488" s="119" t="str">
        <f>'G MTTS'!J484</f>
        <v>#AS OmaX PKO</v>
      </c>
      <c r="B488" s="98">
        <f>'G MTTS'!B484</f>
        <v>0.437511574074074</v>
      </c>
      <c r="C488" s="99" t="str">
        <f>'G MTTS'!L484</f>
        <v>5 Seats OmaX PKO</v>
      </c>
      <c r="D488" s="120" t="str">
        <f>'G MTTS'!M484</f>
        <v>SAT</v>
      </c>
      <c r="E488" s="101" t="str">
        <f>'G MTTS'!N484</f>
        <v>PLO5</v>
      </c>
      <c r="F488" s="102" t="str">
        <f>'G MTTS'!O484</f>
        <v>OFF</v>
      </c>
      <c r="G488" s="103">
        <f>IF('G MTTS'!Q484=0," ",'G MTTS'!Q484*$A$3)</f>
        <v>300</v>
      </c>
      <c r="H488" s="104">
        <f>IF('G MTTS'!V484=0," ",'G MTTS'!V484*A$3)</f>
        <v>3</v>
      </c>
      <c r="I488" s="104">
        <f>IF('G MTTS'!W484=0," ",'G MTTS'!W484*$A$3)</f>
        <v>3</v>
      </c>
      <c r="J488" s="104">
        <f>IF('G MTTS'!Z484=0," ",'G MTTS'!Z484*$A$3)</f>
        <v>4</v>
      </c>
      <c r="K488" s="105">
        <f>'G MTTS'!AF484</f>
        <v>10000</v>
      </c>
      <c r="L488" s="105">
        <f>'G MTTS'!X484</f>
        <v>0</v>
      </c>
      <c r="M488" s="105">
        <f>'G MTTS'!AA484</f>
        <v>20000</v>
      </c>
      <c r="N488" s="106">
        <f>'G MTTS'!AG484</f>
        <v>4</v>
      </c>
      <c r="O488" s="106">
        <f>'G MTTS'!AH484</f>
        <v>4</v>
      </c>
      <c r="P488" s="106">
        <f>'G MTTS'!AI484</f>
        <v>4</v>
      </c>
      <c r="Q488" s="107">
        <f>'G MTTS'!AJ484</f>
        <v>9</v>
      </c>
      <c r="R488" s="46">
        <f t="shared" ref="R488:R523" si="40">IF(B488=0," ",TIME(,ROUNDDOWN(N488*Q488/60,0)*5+(N488*Q488),)+B488)</f>
        <v>0.462511574074074</v>
      </c>
      <c r="S488" s="47" t="str">
        <f>IFERROR(IF(H488=0," ",IF(H488&lt;=25,"MICRO",IF(H488&lt;=99,"LOW",IF(H488&lt;=499,"MEDIUM",IF(H488&lt;=2500,"HIGH",IF(H488&gt;2500,"SUPER HIGH",)))))),"")</f>
        <v>MICRO</v>
      </c>
    </row>
    <row r="489" ht="29.25" customHeight="1" outlineLevel="1" spans="1:19">
      <c r="A489" s="135"/>
      <c r="B489" s="109"/>
      <c r="C489" s="110"/>
      <c r="D489" s="111"/>
      <c r="E489" s="112"/>
      <c r="F489" s="113"/>
      <c r="G489" s="114"/>
      <c r="H489" s="115"/>
      <c r="I489" s="115"/>
      <c r="J489" s="115"/>
      <c r="K489" s="116"/>
      <c r="L489" s="116"/>
      <c r="M489" s="116"/>
      <c r="N489" s="117"/>
      <c r="O489" s="117"/>
      <c r="P489" s="117"/>
      <c r="Q489" s="118"/>
      <c r="R489" s="46" t="str">
        <f t="shared" si="40"/>
        <v> </v>
      </c>
      <c r="S489" s="47"/>
    </row>
    <row r="490" ht="29.25" customHeight="1" outlineLevel="1" spans="1:19">
      <c r="A490" s="121" t="str">
        <f>'G MTTS'!J486</f>
        <v>#AS WarmUp</v>
      </c>
      <c r="B490" s="122">
        <f>'G MTTS'!B486</f>
        <v>0.437511574074074</v>
      </c>
      <c r="C490" s="123" t="str">
        <f>'G MTTS'!L486</f>
        <v>5 Seats WarmUp</v>
      </c>
      <c r="D490" s="120" t="str">
        <f>'G MTTS'!M486</f>
        <v>SAT</v>
      </c>
      <c r="E490" s="101" t="str">
        <f>'G MTTS'!N486</f>
        <v>NLH</v>
      </c>
      <c r="F490" s="102" t="str">
        <f>'G MTTS'!O486</f>
        <v>OFF</v>
      </c>
      <c r="G490" s="103">
        <f>IF('G MTTS'!Q486=0," ",'G MTTS'!Q486*$A$3)</f>
        <v>550</v>
      </c>
      <c r="H490" s="104">
        <f>IF('G MTTS'!V486=0," ",'G MTTS'!V486*A$3)</f>
        <v>6</v>
      </c>
      <c r="I490" s="104">
        <f>IF('G MTTS'!W486=0," ",'G MTTS'!W486*$A$3)</f>
        <v>6</v>
      </c>
      <c r="J490" s="104">
        <f>IF('G MTTS'!Z486=0," ",'G MTTS'!Z486*$A$3)</f>
        <v>6</v>
      </c>
      <c r="K490" s="105">
        <f>'G MTTS'!AF486</f>
        <v>10000</v>
      </c>
      <c r="L490" s="105">
        <f>'G MTTS'!X486</f>
        <v>0</v>
      </c>
      <c r="M490" s="105">
        <f>'G MTTS'!AA486</f>
        <v>20000</v>
      </c>
      <c r="N490" s="106">
        <f>'G MTTS'!AG486</f>
        <v>5</v>
      </c>
      <c r="O490" s="106">
        <f>'G MTTS'!AH486</f>
        <v>5</v>
      </c>
      <c r="P490" s="106">
        <f>'G MTTS'!AI486</f>
        <v>4</v>
      </c>
      <c r="Q490" s="107">
        <f>'G MTTS'!AJ486</f>
        <v>9</v>
      </c>
      <c r="R490" s="46">
        <f t="shared" si="40"/>
        <v>0.468761574074074</v>
      </c>
      <c r="S490" s="47" t="str">
        <f t="shared" ref="S490:S491" si="41">IFERROR(IF(H490=0," ",IF(H490&lt;=25,"MICRO",IF(H490&lt;=99,"LOW",IF(H490&lt;=499,"MEDIUM",IF(H490&lt;=2500,"HIGH",IF(H490&gt;2500,"SUPER HIGH",)))))),"")</f>
        <v>MICRO</v>
      </c>
    </row>
    <row r="491" ht="29.25" customHeight="1" outlineLevel="1" spans="1:19">
      <c r="A491" s="124"/>
      <c r="B491" s="125">
        <f>'G MTTS'!B487</f>
        <v>0.479178240740741</v>
      </c>
      <c r="C491" s="126" t="str">
        <f>'G MTTS'!L487</f>
        <v>5 Seats WarmUp</v>
      </c>
      <c r="D491" s="120" t="str">
        <f>'G MTTS'!M487</f>
        <v>SAT</v>
      </c>
      <c r="E491" s="101" t="str">
        <f>'G MTTS'!N487</f>
        <v>NLH</v>
      </c>
      <c r="F491" s="102" t="str">
        <f>'G MTTS'!O487</f>
        <v>OFF</v>
      </c>
      <c r="G491" s="103">
        <f>IF('G MTTS'!Q487=0," ",'G MTTS'!Q487*$A$3)</f>
        <v>550</v>
      </c>
      <c r="H491" s="104">
        <f>IF('G MTTS'!V487=0," ",'G MTTS'!V487*A$3)</f>
        <v>6</v>
      </c>
      <c r="I491" s="104">
        <f>IF('G MTTS'!W487=0," ",'G MTTS'!W487*$A$3)</f>
        <v>6</v>
      </c>
      <c r="J491" s="104">
        <f>IF('G MTTS'!Z487=0," ",'G MTTS'!Z487*$A$3)</f>
        <v>6</v>
      </c>
      <c r="K491" s="105">
        <f>'G MTTS'!AF487</f>
        <v>10000</v>
      </c>
      <c r="L491" s="105">
        <f>'G MTTS'!X487</f>
        <v>0</v>
      </c>
      <c r="M491" s="105">
        <f>'G MTTS'!AA487</f>
        <v>20000</v>
      </c>
      <c r="N491" s="106">
        <f>'G MTTS'!AG487</f>
        <v>4</v>
      </c>
      <c r="O491" s="106">
        <f>'G MTTS'!AH487</f>
        <v>4</v>
      </c>
      <c r="P491" s="106">
        <f>'G MTTS'!AI487</f>
        <v>4</v>
      </c>
      <c r="Q491" s="107">
        <f>'G MTTS'!AJ487</f>
        <v>9</v>
      </c>
      <c r="R491" s="46">
        <f t="shared" si="40"/>
        <v>0.504178240740741</v>
      </c>
      <c r="S491" s="47" t="str">
        <f t="shared" si="41"/>
        <v>MICRO</v>
      </c>
    </row>
    <row r="492" ht="29.25" customHeight="1" outlineLevel="1" spans="1:19">
      <c r="A492" s="135"/>
      <c r="B492" s="109"/>
      <c r="C492" s="110"/>
      <c r="D492" s="111"/>
      <c r="E492" s="112"/>
      <c r="F492" s="113"/>
      <c r="G492" s="114"/>
      <c r="H492" s="115"/>
      <c r="I492" s="115"/>
      <c r="J492" s="115"/>
      <c r="K492" s="116"/>
      <c r="L492" s="116"/>
      <c r="M492" s="116"/>
      <c r="N492" s="117"/>
      <c r="O492" s="117"/>
      <c r="P492" s="117"/>
      <c r="Q492" s="118"/>
      <c r="R492" s="46" t="str">
        <f t="shared" si="40"/>
        <v> </v>
      </c>
      <c r="S492" s="47"/>
    </row>
    <row r="493" ht="29.25" customHeight="1" outlineLevel="1" spans="1:19">
      <c r="A493" s="121" t="str">
        <f>'G MTTS'!J489</f>
        <v>#AS Battle HR+SPS</v>
      </c>
      <c r="B493" s="122">
        <f>'G MTTS'!B489</f>
        <v>0.541678240740741</v>
      </c>
      <c r="C493" s="123" t="str">
        <f>'G MTTS'!L489</f>
        <v>4 Seats Battle HR</v>
      </c>
      <c r="D493" s="120" t="str">
        <f>'G MTTS'!M489</f>
        <v>SAT</v>
      </c>
      <c r="E493" s="101" t="str">
        <f>'G MTTS'!N489</f>
        <v>NLH</v>
      </c>
      <c r="F493" s="102" t="str">
        <f>'G MTTS'!O489</f>
        <v>OFF</v>
      </c>
      <c r="G493" s="103">
        <f>IF('G MTTS'!Q489=0," ",'G MTTS'!Q489*$A$3)</f>
        <v>800</v>
      </c>
      <c r="H493" s="104">
        <f>IF('G MTTS'!V489=0," ",'G MTTS'!V489*A$3)</f>
        <v>15</v>
      </c>
      <c r="I493" s="104">
        <f>IF('G MTTS'!W489=0," ",'G MTTS'!W489*$A$3)</f>
        <v>15</v>
      </c>
      <c r="J493" s="104">
        <f>IF('G MTTS'!Z489=0," ",'G MTTS'!Z489*$A$3)</f>
        <v>15</v>
      </c>
      <c r="K493" s="105">
        <f>'G MTTS'!AF489</f>
        <v>10000</v>
      </c>
      <c r="L493" s="105">
        <f>'G MTTS'!X489</f>
        <v>0</v>
      </c>
      <c r="M493" s="105">
        <f>'G MTTS'!AA489</f>
        <v>20000</v>
      </c>
      <c r="N493" s="106">
        <f>'G MTTS'!AG489</f>
        <v>5</v>
      </c>
      <c r="O493" s="106">
        <f>'G MTTS'!AH489</f>
        <v>5</v>
      </c>
      <c r="P493" s="106">
        <f>'G MTTS'!AI489</f>
        <v>4</v>
      </c>
      <c r="Q493" s="107">
        <f>'G MTTS'!AJ489</f>
        <v>9</v>
      </c>
      <c r="R493" s="46">
        <f t="shared" si="40"/>
        <v>0.572928240740741</v>
      </c>
      <c r="S493" s="47" t="str">
        <f t="shared" ref="S493:S497" si="42">IFERROR(IF(H493=0," ",IF(H493&lt;=25,"MICRO",IF(H493&lt;=99,"LOW",IF(H493&lt;=499,"MEDIUM",IF(H493&lt;=2500,"HIGH",IF(H493&gt;2500,"SUPER HIGH",)))))),"")</f>
        <v>MICRO</v>
      </c>
    </row>
    <row r="494" ht="29.25" customHeight="1" outlineLevel="1" spans="1:19">
      <c r="A494" s="29"/>
      <c r="B494" s="128">
        <f>'G MTTS'!B490</f>
        <v>0.583344907407407</v>
      </c>
      <c r="C494" s="129" t="str">
        <f>'G MTTS'!L490</f>
        <v>6 Seats Battle HR</v>
      </c>
      <c r="D494" s="120" t="str">
        <f>'G MTTS'!M490</f>
        <v>SAT</v>
      </c>
      <c r="E494" s="101" t="str">
        <f>'G MTTS'!N490</f>
        <v>NLH</v>
      </c>
      <c r="F494" s="102" t="str">
        <f>'G MTTS'!O490</f>
        <v>OFF</v>
      </c>
      <c r="G494" s="103">
        <f>IF('G MTTS'!Q490=0," ",'G MTTS'!Q490*$A$3)</f>
        <v>1200</v>
      </c>
      <c r="H494" s="104">
        <f>IF('G MTTS'!V490=0," ",'G MTTS'!V490*A$3)</f>
        <v>15</v>
      </c>
      <c r="I494" s="104">
        <f>IF('G MTTS'!W490=0," ",'G MTTS'!W490*$A$3)</f>
        <v>15</v>
      </c>
      <c r="J494" s="104">
        <f>IF('G MTTS'!Z490=0," ",'G MTTS'!Z490*$A$3)</f>
        <v>15</v>
      </c>
      <c r="K494" s="105">
        <f>'G MTTS'!AF490</f>
        <v>10000</v>
      </c>
      <c r="L494" s="105">
        <f>'G MTTS'!X490</f>
        <v>0</v>
      </c>
      <c r="M494" s="105">
        <f>'G MTTS'!AA490</f>
        <v>20000</v>
      </c>
      <c r="N494" s="106">
        <f>'G MTTS'!AG490</f>
        <v>5</v>
      </c>
      <c r="O494" s="106">
        <f>'G MTTS'!AH490</f>
        <v>5</v>
      </c>
      <c r="P494" s="106">
        <f>'G MTTS'!AI490</f>
        <v>4</v>
      </c>
      <c r="Q494" s="107">
        <f>'G MTTS'!AJ490</f>
        <v>9</v>
      </c>
      <c r="R494" s="46">
        <f t="shared" si="40"/>
        <v>0.614594907407407</v>
      </c>
      <c r="S494" s="47" t="str">
        <f t="shared" si="42"/>
        <v>MICRO</v>
      </c>
    </row>
    <row r="495" ht="29.25" customHeight="1" outlineLevel="1" spans="1:19">
      <c r="A495" s="29"/>
      <c r="B495" s="128">
        <f>'G MTTS'!B491</f>
        <v>0.625011574074074</v>
      </c>
      <c r="C495" s="129" t="str">
        <f>'G MTTS'!L491</f>
        <v>7 Seats Battle HR</v>
      </c>
      <c r="D495" s="120" t="str">
        <f>'G MTTS'!M491</f>
        <v>SAT</v>
      </c>
      <c r="E495" s="101" t="str">
        <f>'G MTTS'!N491</f>
        <v>NLH</v>
      </c>
      <c r="F495" s="102" t="str">
        <f>'G MTTS'!O491</f>
        <v>OFF</v>
      </c>
      <c r="G495" s="103">
        <f>IF('G MTTS'!Q491=0," ",'G MTTS'!Q491*$A$3)</f>
        <v>1400</v>
      </c>
      <c r="H495" s="104">
        <f>IF('G MTTS'!V491=0," ",'G MTTS'!V491*A$3)</f>
        <v>15</v>
      </c>
      <c r="I495" s="104">
        <f>IF('G MTTS'!W491=0," ",'G MTTS'!W491*$A$3)</f>
        <v>15</v>
      </c>
      <c r="J495" s="104">
        <f>IF('G MTTS'!Z491=0," ",'G MTTS'!Z491*$A$3)</f>
        <v>15</v>
      </c>
      <c r="K495" s="105">
        <f>'G MTTS'!AF491</f>
        <v>10000</v>
      </c>
      <c r="L495" s="105">
        <f>'G MTTS'!X491</f>
        <v>0</v>
      </c>
      <c r="M495" s="105">
        <f>'G MTTS'!AA491</f>
        <v>20000</v>
      </c>
      <c r="N495" s="106">
        <f>'G MTTS'!AG491</f>
        <v>5</v>
      </c>
      <c r="O495" s="106">
        <f>'G MTTS'!AH491</f>
        <v>5</v>
      </c>
      <c r="P495" s="106">
        <f>'G MTTS'!AI491</f>
        <v>4</v>
      </c>
      <c r="Q495" s="107">
        <f>'G MTTS'!AJ491</f>
        <v>9</v>
      </c>
      <c r="R495" s="46">
        <f t="shared" si="40"/>
        <v>0.656261574074074</v>
      </c>
      <c r="S495" s="47" t="str">
        <f t="shared" si="42"/>
        <v>MICRO</v>
      </c>
    </row>
    <row r="496" ht="29.25" customHeight="1" outlineLevel="1" spans="1:19">
      <c r="A496" s="29"/>
      <c r="B496" s="128">
        <f>'G MTTS'!B492</f>
        <v>0.666678240740741</v>
      </c>
      <c r="C496" s="129" t="str">
        <f>'G MTTS'!L492</f>
        <v>8 Seats Battle HR</v>
      </c>
      <c r="D496" s="120" t="str">
        <f>'G MTTS'!M492</f>
        <v>SAT</v>
      </c>
      <c r="E496" s="101" t="str">
        <f>'G MTTS'!N492</f>
        <v>NLH</v>
      </c>
      <c r="F496" s="102" t="str">
        <f>'G MTTS'!O492</f>
        <v>OFF</v>
      </c>
      <c r="G496" s="103">
        <f>IF('G MTTS'!Q492=0," ",'G MTTS'!Q492*$A$3)</f>
        <v>1600</v>
      </c>
      <c r="H496" s="104">
        <f>IF('G MTTS'!V492=0," ",'G MTTS'!V492*A$3)</f>
        <v>15</v>
      </c>
      <c r="I496" s="104">
        <f>IF('G MTTS'!W492=0," ",'G MTTS'!W492*$A$3)</f>
        <v>15</v>
      </c>
      <c r="J496" s="104">
        <f>IF('G MTTS'!Z492=0," ",'G MTTS'!Z492*$A$3)</f>
        <v>15</v>
      </c>
      <c r="K496" s="105">
        <f>'G MTTS'!AF492</f>
        <v>10000</v>
      </c>
      <c r="L496" s="105">
        <f>'G MTTS'!X492</f>
        <v>0</v>
      </c>
      <c r="M496" s="105">
        <f>'G MTTS'!AA492</f>
        <v>20000</v>
      </c>
      <c r="N496" s="106">
        <f>'G MTTS'!AG492</f>
        <v>4</v>
      </c>
      <c r="O496" s="106">
        <f>'G MTTS'!AH492</f>
        <v>4</v>
      </c>
      <c r="P496" s="106">
        <f>'G MTTS'!AI492</f>
        <v>4</v>
      </c>
      <c r="Q496" s="107">
        <f>'G MTTS'!AJ492</f>
        <v>9</v>
      </c>
      <c r="R496" s="46">
        <f t="shared" si="40"/>
        <v>0.691678240740741</v>
      </c>
      <c r="S496" s="47" t="str">
        <f t="shared" si="42"/>
        <v>MICRO</v>
      </c>
    </row>
    <row r="497" ht="29.25" customHeight="1" outlineLevel="1" spans="1:19">
      <c r="A497" s="124"/>
      <c r="B497" s="125">
        <f>'G MTTS'!B493</f>
        <v>0.729178240740741</v>
      </c>
      <c r="C497" s="126" t="str">
        <f>'G MTTS'!L493</f>
        <v>15 Seats Battle HR</v>
      </c>
      <c r="D497" s="120" t="str">
        <f>'G MTTS'!M493</f>
        <v>SAT</v>
      </c>
      <c r="E497" s="101" t="str">
        <f>'G MTTS'!N493</f>
        <v>NLH</v>
      </c>
      <c r="F497" s="102" t="str">
        <f>'G MTTS'!O493</f>
        <v>OFF</v>
      </c>
      <c r="G497" s="103">
        <f>IF('G MTTS'!Q493=0," ",'G MTTS'!Q493*$A$3)</f>
        <v>3000</v>
      </c>
      <c r="H497" s="104">
        <f>IF('G MTTS'!V493=0," ",'G MTTS'!V493*A$3)</f>
        <v>15</v>
      </c>
      <c r="I497" s="104">
        <f>IF('G MTTS'!W493=0," ",'G MTTS'!W493*$A$3)</f>
        <v>15</v>
      </c>
      <c r="J497" s="104">
        <f>IF('G MTTS'!Z493=0," ",'G MTTS'!Z493*$A$3)</f>
        <v>20</v>
      </c>
      <c r="K497" s="105">
        <f>'G MTTS'!AF493</f>
        <v>10000</v>
      </c>
      <c r="L497" s="105">
        <f>'G MTTS'!X493</f>
        <v>0</v>
      </c>
      <c r="M497" s="105">
        <f>'G MTTS'!AA493</f>
        <v>20000</v>
      </c>
      <c r="N497" s="106">
        <f>'G MTTS'!AG493</f>
        <v>4</v>
      </c>
      <c r="O497" s="106">
        <f>'G MTTS'!AH493</f>
        <v>4</v>
      </c>
      <c r="P497" s="106">
        <f>'G MTTS'!AI493</f>
        <v>4</v>
      </c>
      <c r="Q497" s="107">
        <f>'G MTTS'!AJ493</f>
        <v>9</v>
      </c>
      <c r="R497" s="46">
        <f t="shared" si="40"/>
        <v>0.754178240740741</v>
      </c>
      <c r="S497" s="47" t="str">
        <f t="shared" si="42"/>
        <v>MICRO</v>
      </c>
    </row>
    <row r="498" ht="29.25" customHeight="1" outlineLevel="1" spans="1:19">
      <c r="A498" s="135"/>
      <c r="B498" s="109"/>
      <c r="C498" s="110"/>
      <c r="D498" s="111"/>
      <c r="E498" s="112"/>
      <c r="F498" s="113"/>
      <c r="G498" s="114"/>
      <c r="H498" s="115"/>
      <c r="I498" s="115"/>
      <c r="J498" s="115"/>
      <c r="K498" s="116"/>
      <c r="L498" s="116"/>
      <c r="M498" s="116"/>
      <c r="N498" s="117"/>
      <c r="O498" s="117"/>
      <c r="P498" s="117"/>
      <c r="Q498" s="118"/>
      <c r="R498" s="46" t="str">
        <f t="shared" si="40"/>
        <v> </v>
      </c>
      <c r="S498" s="47"/>
    </row>
    <row r="499" ht="29.25" customHeight="1" outlineLevel="1" spans="1:19">
      <c r="A499" s="119" t="str">
        <f>'G MTTS'!J495</f>
        <v>#AS Battle+SPS</v>
      </c>
      <c r="B499" s="98">
        <f>'G MTTS'!B495</f>
        <v>0.645844907407407</v>
      </c>
      <c r="C499" s="99" t="str">
        <f>'G MTTS'!L495</f>
        <v>8 Seats Battle</v>
      </c>
      <c r="D499" s="120" t="str">
        <f>'G MTTS'!M495</f>
        <v>SAT</v>
      </c>
      <c r="E499" s="101" t="str">
        <f>'G MTTS'!N495</f>
        <v>NLH</v>
      </c>
      <c r="F499" s="102" t="str">
        <f>'G MTTS'!O495</f>
        <v>OFF</v>
      </c>
      <c r="G499" s="103">
        <f>IF('G MTTS'!Q495=0," ",'G MTTS'!Q495*$A$3)</f>
        <v>440</v>
      </c>
      <c r="H499" s="104">
        <f>IF('G MTTS'!V495=0," ",'G MTTS'!V495*A$3)</f>
        <v>4</v>
      </c>
      <c r="I499" s="104">
        <f>IF('G MTTS'!W495=0," ",'G MTTS'!W495*$A$3)</f>
        <v>4</v>
      </c>
      <c r="J499" s="104">
        <f>IF('G MTTS'!Z495=0," ",'G MTTS'!Z495*$A$3)</f>
        <v>4</v>
      </c>
      <c r="K499" s="105">
        <f>'G MTTS'!AF495</f>
        <v>10000</v>
      </c>
      <c r="L499" s="105">
        <f>'G MTTS'!X495</f>
        <v>0</v>
      </c>
      <c r="M499" s="105">
        <f>'G MTTS'!AA495</f>
        <v>20000</v>
      </c>
      <c r="N499" s="106">
        <f>'G MTTS'!AG495</f>
        <v>5</v>
      </c>
      <c r="O499" s="106">
        <f>'G MTTS'!AH495</f>
        <v>5</v>
      </c>
      <c r="P499" s="106">
        <f>'G MTTS'!AI495</f>
        <v>4</v>
      </c>
      <c r="Q499" s="107">
        <f>'G MTTS'!AJ495</f>
        <v>9</v>
      </c>
      <c r="R499" s="46">
        <f t="shared" si="40"/>
        <v>0.677094907407407</v>
      </c>
      <c r="S499" s="47" t="str">
        <f>IFERROR(IF(H499=0," ",IF(H499&lt;=25,"MICRO",IF(H499&lt;=99,"LOW",IF(H499&lt;=499,"MEDIUM",IF(H499&lt;=2500,"HIGH",IF(H499&gt;2500,"SUPER HIGH",)))))),"")</f>
        <v>MICRO</v>
      </c>
    </row>
    <row r="500" ht="29.25" customHeight="1" outlineLevel="1" spans="1:19">
      <c r="A500" s="135"/>
      <c r="B500" s="109"/>
      <c r="C500" s="110"/>
      <c r="D500" s="111"/>
      <c r="E500" s="112"/>
      <c r="F500" s="113"/>
      <c r="G500" s="114"/>
      <c r="H500" s="115"/>
      <c r="I500" s="115"/>
      <c r="J500" s="115"/>
      <c r="K500" s="116"/>
      <c r="L500" s="116"/>
      <c r="M500" s="116"/>
      <c r="N500" s="117"/>
      <c r="O500" s="117"/>
      <c r="P500" s="117"/>
      <c r="Q500" s="118"/>
      <c r="R500" s="46" t="str">
        <f t="shared" si="40"/>
        <v> </v>
      </c>
      <c r="S500" s="47"/>
    </row>
    <row r="501" ht="29.25" customHeight="1" outlineLevel="1" spans="1:19">
      <c r="A501" s="119" t="str">
        <f>'G MTTS'!J497</f>
        <v>#AS OmaX PKO</v>
      </c>
      <c r="B501" s="98">
        <f>'G MTTS'!B497</f>
        <v>0.625011574074074</v>
      </c>
      <c r="C501" s="99" t="str">
        <f>'G MTTS'!L497</f>
        <v>4 Seats OmaX PKO</v>
      </c>
      <c r="D501" s="120" t="str">
        <f>'G MTTS'!M497</f>
        <v>SAT</v>
      </c>
      <c r="E501" s="101" t="str">
        <f>'G MTTS'!N497</f>
        <v>PLO5</v>
      </c>
      <c r="F501" s="102" t="str">
        <f>'G MTTS'!O497</f>
        <v>OFF</v>
      </c>
      <c r="G501" s="103">
        <f>IF('G MTTS'!Q497=0," ",'G MTTS'!Q497*$A$3)</f>
        <v>600</v>
      </c>
      <c r="H501" s="104">
        <f>IF('G MTTS'!V497=0," ",'G MTTS'!V497*A$3)</f>
        <v>9</v>
      </c>
      <c r="I501" s="104">
        <f>IF('G MTTS'!W497=0," ",'G MTTS'!W497*$A$3)</f>
        <v>9</v>
      </c>
      <c r="J501" s="104">
        <f>IF('G MTTS'!Z497=0," ",'G MTTS'!Z497*$A$3)</f>
        <v>9</v>
      </c>
      <c r="K501" s="105">
        <f>'G MTTS'!AF497</f>
        <v>10000</v>
      </c>
      <c r="L501" s="105">
        <f>'G MTTS'!X497</f>
        <v>0</v>
      </c>
      <c r="M501" s="105">
        <f>'G MTTS'!AA497</f>
        <v>20000</v>
      </c>
      <c r="N501" s="106">
        <f>'G MTTS'!AG497</f>
        <v>4</v>
      </c>
      <c r="O501" s="106">
        <f>'G MTTS'!AH497</f>
        <v>4</v>
      </c>
      <c r="P501" s="106">
        <f>'G MTTS'!AI497</f>
        <v>4</v>
      </c>
      <c r="Q501" s="107">
        <f>'G MTTS'!AJ497</f>
        <v>9</v>
      </c>
      <c r="R501" s="46">
        <f t="shared" si="40"/>
        <v>0.650011574074074</v>
      </c>
      <c r="S501" s="47" t="str">
        <f>IFERROR(IF(H501=0," ",IF(H501&lt;=25,"MICRO",IF(H501&lt;=99,"LOW",IF(H501&lt;=499,"MEDIUM",IF(H501&lt;=2500,"HIGH",IF(H501&gt;2500,"SUPER HIGH",)))))),"")</f>
        <v>MICRO</v>
      </c>
    </row>
    <row r="502" ht="29.25" customHeight="1" outlineLevel="1" spans="1:19">
      <c r="A502" s="135"/>
      <c r="B502" s="109"/>
      <c r="C502" s="110"/>
      <c r="D502" s="111"/>
      <c r="E502" s="112"/>
      <c r="F502" s="113"/>
      <c r="G502" s="114"/>
      <c r="H502" s="115"/>
      <c r="I502" s="115"/>
      <c r="J502" s="115"/>
      <c r="K502" s="116"/>
      <c r="L502" s="116"/>
      <c r="M502" s="116"/>
      <c r="N502" s="117"/>
      <c r="O502" s="117"/>
      <c r="P502" s="117"/>
      <c r="Q502" s="118"/>
      <c r="R502" s="46" t="str">
        <f t="shared" si="40"/>
        <v> </v>
      </c>
      <c r="S502" s="47"/>
    </row>
    <row r="503" ht="29.25" customHeight="1" outlineLevel="1" spans="1:19">
      <c r="A503" s="119" t="str">
        <f>'G MTTS'!J499</f>
        <v>#AS Mystery HR</v>
      </c>
      <c r="B503" s="98">
        <f>'G MTTS'!B499</f>
        <v>0.666678240740741</v>
      </c>
      <c r="C503" s="99" t="str">
        <f>'G MTTS'!L499</f>
        <v>6 Seats Mystery HR</v>
      </c>
      <c r="D503" s="120" t="str">
        <f>'G MTTS'!M499</f>
        <v>SAT</v>
      </c>
      <c r="E503" s="101" t="str">
        <f>'G MTTS'!N499</f>
        <v>NLH</v>
      </c>
      <c r="F503" s="102" t="str">
        <f>'G MTTS'!O499</f>
        <v>OFF</v>
      </c>
      <c r="G503" s="103">
        <f>IF('G MTTS'!Q499=0," ",'G MTTS'!Q499*$A$3)</f>
        <v>3300</v>
      </c>
      <c r="H503" s="104">
        <f>IF('G MTTS'!V499=0," ",'G MTTS'!V499*A$3)</f>
        <v>30</v>
      </c>
      <c r="I503" s="104">
        <f>IF('G MTTS'!W499=0," ",'G MTTS'!W499*$A$3)</f>
        <v>30</v>
      </c>
      <c r="J503" s="104">
        <f>IF('G MTTS'!Z499=0," ",'G MTTS'!Z499*$A$3)</f>
        <v>30</v>
      </c>
      <c r="K503" s="105">
        <f>'G MTTS'!AF499</f>
        <v>10000</v>
      </c>
      <c r="L503" s="105">
        <f>'G MTTS'!X499</f>
        <v>0</v>
      </c>
      <c r="M503" s="105">
        <f>'G MTTS'!AA499</f>
        <v>20000</v>
      </c>
      <c r="N503" s="106">
        <f>'G MTTS'!AG499</f>
        <v>4</v>
      </c>
      <c r="O503" s="106">
        <f>'G MTTS'!AH499</f>
        <v>4</v>
      </c>
      <c r="P503" s="106">
        <f>'G MTTS'!AI499</f>
        <v>4</v>
      </c>
      <c r="Q503" s="107">
        <f>'G MTTS'!AJ499</f>
        <v>9</v>
      </c>
      <c r="R503" s="46">
        <f t="shared" si="40"/>
        <v>0.691678240740741</v>
      </c>
      <c r="S503" s="47" t="str">
        <f>IFERROR(IF(H503=0," ",IF(H503&lt;=25,"MICRO",IF(H503&lt;=99,"LOW",IF(H503&lt;=499,"MEDIUM",IF(H503&lt;=2500,"HIGH",IF(H503&gt;2500,"SUPER HIGH",)))))),"")</f>
        <v>LOW</v>
      </c>
    </row>
    <row r="504" ht="29.25" customHeight="1" outlineLevel="1" spans="1:19">
      <c r="A504" s="135"/>
      <c r="B504" s="109"/>
      <c r="C504" s="110"/>
      <c r="D504" s="111"/>
      <c r="E504" s="112"/>
      <c r="F504" s="113"/>
      <c r="G504" s="114"/>
      <c r="H504" s="115"/>
      <c r="I504" s="115"/>
      <c r="J504" s="115"/>
      <c r="K504" s="116"/>
      <c r="L504" s="116"/>
      <c r="M504" s="116"/>
      <c r="N504" s="117"/>
      <c r="O504" s="117"/>
      <c r="P504" s="117"/>
      <c r="Q504" s="118"/>
      <c r="R504" s="46" t="str">
        <f t="shared" si="40"/>
        <v> </v>
      </c>
      <c r="S504" s="47"/>
    </row>
    <row r="505" ht="29.25" customHeight="1" outlineLevel="1" spans="1:19">
      <c r="A505" s="119" t="str">
        <f>'G MTTS'!J501</f>
        <v>OmaX SHR</v>
      </c>
      <c r="B505" s="98">
        <f>'G MTTS'!B501</f>
        <v>0.708344907407407</v>
      </c>
      <c r="C505" s="99" t="str">
        <f>'G MTTS'!L501</f>
        <v>5 Seats OmaX SHR</v>
      </c>
      <c r="D505" s="120" t="str">
        <f>'G MTTS'!M501</f>
        <v>SAT</v>
      </c>
      <c r="E505" s="101" t="str">
        <f>'G MTTS'!N501</f>
        <v>PLO5</v>
      </c>
      <c r="F505" s="102" t="str">
        <f>'G MTTS'!O501</f>
        <v>OFF</v>
      </c>
      <c r="G505" s="103">
        <f>IF('G MTTS'!Q501=0," ",'G MTTS'!Q501*$A$3)</f>
        <v>7500</v>
      </c>
      <c r="H505" s="104">
        <f>IF('G MTTS'!V501=0," ",'G MTTS'!V501*A$3)</f>
        <v>200</v>
      </c>
      <c r="I505" s="104">
        <f>IF('G MTTS'!W501=0," ",'G MTTS'!W501*$A$3)</f>
        <v>200</v>
      </c>
      <c r="J505" s="104" t="str">
        <f>IF('G MTTS'!Z501=0," ",'G MTTS'!Z501*$A$3)</f>
        <v> </v>
      </c>
      <c r="K505" s="105">
        <f>'G MTTS'!AF501</f>
        <v>20000</v>
      </c>
      <c r="L505" s="105">
        <f>'G MTTS'!X501</f>
        <v>0</v>
      </c>
      <c r="M505" s="105" t="str">
        <f>'G MTTS'!AA501</f>
        <v>REENTRY</v>
      </c>
      <c r="N505" s="106">
        <f>'G MTTS'!AG501</f>
        <v>5</v>
      </c>
      <c r="O505" s="106">
        <f>'G MTTS'!AH501</f>
        <v>5</v>
      </c>
      <c r="P505" s="106">
        <f>'G MTTS'!AI501</f>
        <v>4</v>
      </c>
      <c r="Q505" s="107">
        <f>'G MTTS'!AJ501</f>
        <v>9</v>
      </c>
      <c r="R505" s="46">
        <f t="shared" si="40"/>
        <v>0.739594907407407</v>
      </c>
      <c r="S505" s="47" t="str">
        <f>IFERROR(IF(H505=0," ",IF(H505&lt;=25,"MICRO",IF(H505&lt;=99,"LOW",IF(H505&lt;=499,"MEDIUM",IF(H505&lt;=2500,"HIGH",IF(H505&gt;2500,"SUPER HIGH",)))))),"")</f>
        <v>MEDIUM</v>
      </c>
    </row>
    <row r="506" ht="29.25" customHeight="1" outlineLevel="1" spans="1:19">
      <c r="A506" s="135"/>
      <c r="B506" s="109"/>
      <c r="C506" s="110"/>
      <c r="D506" s="111"/>
      <c r="E506" s="112"/>
      <c r="F506" s="113"/>
      <c r="G506" s="114"/>
      <c r="H506" s="115"/>
      <c r="I506" s="115"/>
      <c r="J506" s="115"/>
      <c r="K506" s="116"/>
      <c r="L506" s="116"/>
      <c r="M506" s="116"/>
      <c r="N506" s="117"/>
      <c r="O506" s="117"/>
      <c r="P506" s="117"/>
      <c r="Q506" s="118"/>
      <c r="R506" s="46" t="str">
        <f t="shared" si="40"/>
        <v> </v>
      </c>
      <c r="S506" s="47"/>
    </row>
    <row r="507" ht="29.25" customHeight="1" outlineLevel="1" spans="1:19">
      <c r="A507" s="119" t="str">
        <f>'G MTTS'!J503</f>
        <v>#AS OmaX PKO</v>
      </c>
      <c r="B507" s="98">
        <f>'G MTTS'!B503</f>
        <v>0.715289351851852</v>
      </c>
      <c r="C507" s="99" t="str">
        <f>'G MTTS'!L503</f>
        <v>6 Seats OmaX PKO</v>
      </c>
      <c r="D507" s="120" t="str">
        <f>'G MTTS'!M503</f>
        <v>SAT</v>
      </c>
      <c r="E507" s="101" t="str">
        <f>'G MTTS'!N503</f>
        <v>PLO5</v>
      </c>
      <c r="F507" s="102" t="str">
        <f>'G MTTS'!O503</f>
        <v>OFF</v>
      </c>
      <c r="G507" s="103">
        <f>IF('G MTTS'!Q503=0," ",'G MTTS'!Q503*$A$3)</f>
        <v>450</v>
      </c>
      <c r="H507" s="104">
        <f>IF('G MTTS'!V503=0," ",'G MTTS'!V503*A$3)</f>
        <v>5</v>
      </c>
      <c r="I507" s="104">
        <f>IF('G MTTS'!W503=0," ",'G MTTS'!W503*$A$3)</f>
        <v>5</v>
      </c>
      <c r="J507" s="104">
        <f>IF('G MTTS'!Z503=0," ",'G MTTS'!Z503*$A$3)</f>
        <v>5</v>
      </c>
      <c r="K507" s="105">
        <f>'G MTTS'!AF503</f>
        <v>10000</v>
      </c>
      <c r="L507" s="105">
        <f>'G MTTS'!X503</f>
        <v>0</v>
      </c>
      <c r="M507" s="105">
        <f>'G MTTS'!AA503</f>
        <v>20000</v>
      </c>
      <c r="N507" s="106">
        <f>'G MTTS'!AG503</f>
        <v>4</v>
      </c>
      <c r="O507" s="106">
        <f>'G MTTS'!AH503</f>
        <v>4</v>
      </c>
      <c r="P507" s="106">
        <f>'G MTTS'!AI503</f>
        <v>4</v>
      </c>
      <c r="Q507" s="107">
        <f>'G MTTS'!AJ503</f>
        <v>9</v>
      </c>
      <c r="R507" s="46">
        <f t="shared" si="40"/>
        <v>0.740289351851852</v>
      </c>
      <c r="S507" s="47" t="str">
        <f>IFERROR(IF(H507=0," ",IF(H507&lt;=25,"MICRO",IF(H507&lt;=99,"LOW",IF(H507&lt;=499,"MEDIUM",IF(H507&lt;=2500,"HIGH",IF(H507&gt;2500,"SUPER HIGH",)))))),"")</f>
        <v>MICRO</v>
      </c>
    </row>
    <row r="508" ht="29.25" customHeight="1" outlineLevel="1" spans="1:19">
      <c r="A508" s="135"/>
      <c r="B508" s="109"/>
      <c r="C508" s="110"/>
      <c r="D508" s="111"/>
      <c r="E508" s="112"/>
      <c r="F508" s="113"/>
      <c r="G508" s="114"/>
      <c r="H508" s="115"/>
      <c r="I508" s="115"/>
      <c r="J508" s="115"/>
      <c r="K508" s="116"/>
      <c r="L508" s="116"/>
      <c r="M508" s="116"/>
      <c r="N508" s="117"/>
      <c r="O508" s="117"/>
      <c r="P508" s="117"/>
      <c r="Q508" s="118"/>
      <c r="R508" s="46" t="str">
        <f t="shared" si="40"/>
        <v> </v>
      </c>
      <c r="S508" s="47"/>
    </row>
    <row r="509" ht="29.25" customHeight="1" outlineLevel="1" spans="1:19">
      <c r="A509" s="119" t="str">
        <f>'G MTTS'!J505</f>
        <v>suspenso</v>
      </c>
      <c r="B509" s="98">
        <f>'G MTTS'!B505</f>
        <v>0.718761574074074</v>
      </c>
      <c r="C509" s="99">
        <f>'G MTTS'!L505</f>
        <v>0</v>
      </c>
      <c r="D509" s="120">
        <f>'G MTTS'!M505</f>
        <v>0</v>
      </c>
      <c r="E509" s="101" t="str">
        <f>'G MTTS'!N505</f>
        <v>NLH</v>
      </c>
      <c r="F509" s="102" t="str">
        <f>'G MTTS'!O505</f>
        <v>OFF</v>
      </c>
      <c r="G509" s="103" t="str">
        <f>IF('G MTTS'!Q505=0," ",'G MTTS'!Q505*$A$3)</f>
        <v> </v>
      </c>
      <c r="H509" s="104">
        <f>IF('G MTTS'!V505=0," ",'G MTTS'!V505*A$3)</f>
        <v>150</v>
      </c>
      <c r="I509" s="104">
        <f>IF('G MTTS'!W505=0," ",'G MTTS'!W505*$A$3)</f>
        <v>150</v>
      </c>
      <c r="J509" s="104" t="str">
        <f>IF('G MTTS'!Z505=0," ",'G MTTS'!Z505*$A$3)</f>
        <v> </v>
      </c>
      <c r="K509" s="105">
        <f>'G MTTS'!AF505</f>
        <v>20000</v>
      </c>
      <c r="L509" s="105">
        <f>'G MTTS'!X505</f>
        <v>0</v>
      </c>
      <c r="M509" s="105" t="str">
        <f>'G MTTS'!AA505</f>
        <v>REENTRY</v>
      </c>
      <c r="N509" s="106">
        <f>'G MTTS'!AG505</f>
        <v>5</v>
      </c>
      <c r="O509" s="106">
        <f>'G MTTS'!AH505</f>
        <v>5</v>
      </c>
      <c r="P509" s="106">
        <f>'G MTTS'!AI505</f>
        <v>4</v>
      </c>
      <c r="Q509" s="107">
        <f>'G MTTS'!AJ505</f>
        <v>9</v>
      </c>
      <c r="R509" s="46">
        <f t="shared" si="40"/>
        <v>0.750011574074074</v>
      </c>
      <c r="S509" s="47" t="str">
        <f>IFERROR(IF(H509=0," ",IF(H509&lt;=25,"MICRO",IF(H509&lt;=99,"LOW",IF(H509&lt;=499,"MEDIUM",IF(H509&lt;=2500,"HIGH",IF(H509&gt;2500,"SUPER HIGH",)))))),"")</f>
        <v>MEDIUM</v>
      </c>
    </row>
    <row r="510" ht="29.25" customHeight="1" outlineLevel="1" spans="1:19">
      <c r="A510" s="135"/>
      <c r="B510" s="109"/>
      <c r="C510" s="110"/>
      <c r="D510" s="111"/>
      <c r="E510" s="112"/>
      <c r="F510" s="113"/>
      <c r="G510" s="114"/>
      <c r="H510" s="115"/>
      <c r="I510" s="115"/>
      <c r="J510" s="115"/>
      <c r="K510" s="116"/>
      <c r="L510" s="116"/>
      <c r="M510" s="116"/>
      <c r="N510" s="117"/>
      <c r="O510" s="117"/>
      <c r="P510" s="117"/>
      <c r="Q510" s="118"/>
      <c r="R510" s="46" t="str">
        <f t="shared" si="40"/>
        <v> </v>
      </c>
      <c r="S510" s="47"/>
    </row>
    <row r="511" ht="29.25" customHeight="1" outlineLevel="1" spans="1:19">
      <c r="A511" s="119" t="str">
        <f>'G MTTS'!J507</f>
        <v>#AS OmaX HR</v>
      </c>
      <c r="B511" s="98">
        <f>'G MTTS'!B507</f>
        <v>0.750011574074074</v>
      </c>
      <c r="C511" s="99" t="str">
        <f>'G MTTS'!L507</f>
        <v>5 Seats OmaX HR</v>
      </c>
      <c r="D511" s="120" t="str">
        <f>'G MTTS'!M507</f>
        <v>SAT</v>
      </c>
      <c r="E511" s="101" t="str">
        <f>'G MTTS'!N507</f>
        <v>PLO5</v>
      </c>
      <c r="F511" s="102" t="str">
        <f>'G MTTS'!O507</f>
        <v>OFF</v>
      </c>
      <c r="G511" s="103">
        <f>IF('G MTTS'!Q507=0," ",'G MTTS'!Q507*$A$3)</f>
        <v>1750</v>
      </c>
      <c r="H511" s="104">
        <f>IF('G MTTS'!V507=0," ",'G MTTS'!V507*A$3)</f>
        <v>20</v>
      </c>
      <c r="I511" s="104">
        <f>IF('G MTTS'!W507=0," ",'G MTTS'!W507*$A$3)</f>
        <v>20</v>
      </c>
      <c r="J511" s="104">
        <f>IF('G MTTS'!Z507=0," ",'G MTTS'!Z507*$A$3)</f>
        <v>20</v>
      </c>
      <c r="K511" s="105">
        <f>'G MTTS'!AF507</f>
        <v>10000</v>
      </c>
      <c r="L511" s="105">
        <f>'G MTTS'!X507</f>
        <v>0</v>
      </c>
      <c r="M511" s="105">
        <f>'G MTTS'!AA507</f>
        <v>20000</v>
      </c>
      <c r="N511" s="106">
        <f>'G MTTS'!AG507</f>
        <v>5</v>
      </c>
      <c r="O511" s="106">
        <f>'G MTTS'!AH507</f>
        <v>5</v>
      </c>
      <c r="P511" s="106">
        <f>'G MTTS'!AI507</f>
        <v>4</v>
      </c>
      <c r="Q511" s="107">
        <f>'G MTTS'!AJ507</f>
        <v>9</v>
      </c>
      <c r="R511" s="46">
        <f t="shared" si="40"/>
        <v>0.781261574074074</v>
      </c>
      <c r="S511" s="47" t="str">
        <f>IFERROR(IF(H511=0," ",IF(H511&lt;=25,"MICRO",IF(H511&lt;=99,"LOW",IF(H511&lt;=499,"MEDIUM",IF(H511&lt;=2500,"HIGH",IF(H511&gt;2500,"SUPER HIGH",)))))),"")</f>
        <v>MICRO</v>
      </c>
    </row>
    <row r="512" ht="29.25" customHeight="1" outlineLevel="1" spans="1:19">
      <c r="A512" s="135"/>
      <c r="B512" s="109"/>
      <c r="C512" s="110"/>
      <c r="D512" s="111"/>
      <c r="E512" s="112"/>
      <c r="F512" s="113"/>
      <c r="G512" s="114"/>
      <c r="H512" s="115"/>
      <c r="I512" s="115"/>
      <c r="J512" s="115"/>
      <c r="K512" s="116"/>
      <c r="L512" s="116"/>
      <c r="M512" s="116"/>
      <c r="N512" s="117"/>
      <c r="O512" s="117"/>
      <c r="P512" s="117"/>
      <c r="Q512" s="118"/>
      <c r="R512" s="46" t="str">
        <f t="shared" si="40"/>
        <v> </v>
      </c>
      <c r="S512" s="47"/>
    </row>
    <row r="513" ht="29.25" customHeight="1" outlineLevel="1" spans="1:19">
      <c r="A513" s="119" t="str">
        <f>'G MTTS'!J509</f>
        <v>#AS Freeze</v>
      </c>
      <c r="B513" s="98">
        <f>'G MTTS'!B509</f>
        <v>0.791666666666667</v>
      </c>
      <c r="C513" s="99" t="str">
        <f>'G MTTS'!L509</f>
        <v>4 Seats Freeze</v>
      </c>
      <c r="D513" s="120" t="str">
        <f>'G MTTS'!M509</f>
        <v>SAT</v>
      </c>
      <c r="E513" s="101" t="str">
        <f>'G MTTS'!N509</f>
        <v>NLH</v>
      </c>
      <c r="F513" s="102" t="str">
        <f>'G MTTS'!O509</f>
        <v>OFF</v>
      </c>
      <c r="G513" s="103">
        <f>IF('G MTTS'!Q509=0," ",'G MTTS'!Q509*$A$3)</f>
        <v>600</v>
      </c>
      <c r="H513" s="104">
        <f>IF('G MTTS'!V509=0," ",'G MTTS'!V509*A$3)</f>
        <v>10</v>
      </c>
      <c r="I513" s="104">
        <f>IF('G MTTS'!W509=0," ",'G MTTS'!W509*$A$3)</f>
        <v>10</v>
      </c>
      <c r="J513" s="104">
        <f>IF('G MTTS'!Z509=0," ",'G MTTS'!Z509*$A$3)</f>
        <v>10</v>
      </c>
      <c r="K513" s="105">
        <f>'G MTTS'!AF509</f>
        <v>10000</v>
      </c>
      <c r="L513" s="105">
        <f>'G MTTS'!X509</f>
        <v>0</v>
      </c>
      <c r="M513" s="105">
        <f>'G MTTS'!AA509</f>
        <v>20000</v>
      </c>
      <c r="N513" s="106">
        <f>'G MTTS'!AG509</f>
        <v>4</v>
      </c>
      <c r="O513" s="106">
        <f>'G MTTS'!AH509</f>
        <v>4</v>
      </c>
      <c r="P513" s="106">
        <f>'G MTTS'!AI509</f>
        <v>4</v>
      </c>
      <c r="Q513" s="107">
        <f>'G MTTS'!AJ509</f>
        <v>9</v>
      </c>
      <c r="R513" s="46">
        <f t="shared" si="40"/>
        <v>0.816666666666667</v>
      </c>
      <c r="S513" s="47" t="str">
        <f>IFERROR(IF(H513=0," ",IF(H513&lt;=25,"MICRO",IF(H513&lt;=99,"LOW",IF(H513&lt;=499,"MEDIUM",IF(H513&lt;=2500,"HIGH",IF(H513&gt;2500,"SUPER HIGH",)))))),"")</f>
        <v>MICRO</v>
      </c>
    </row>
    <row r="514" ht="29.25" customHeight="1" outlineLevel="1" spans="1:19">
      <c r="A514" s="135"/>
      <c r="B514" s="109"/>
      <c r="C514" s="110"/>
      <c r="D514" s="111"/>
      <c r="E514" s="112"/>
      <c r="F514" s="113"/>
      <c r="G514" s="114"/>
      <c r="H514" s="115"/>
      <c r="I514" s="115"/>
      <c r="J514" s="115"/>
      <c r="K514" s="116"/>
      <c r="L514" s="116"/>
      <c r="M514" s="116"/>
      <c r="N514" s="117"/>
      <c r="O514" s="117"/>
      <c r="P514" s="117"/>
      <c r="Q514" s="118"/>
      <c r="R514" s="46" t="str">
        <f t="shared" si="40"/>
        <v> </v>
      </c>
      <c r="S514" s="47"/>
    </row>
    <row r="515" ht="29.25" customHeight="1" outlineLevel="1" spans="1:19">
      <c r="A515" s="119" t="str">
        <f>'G MTTS'!J511</f>
        <v>#AS OmaX Turbo</v>
      </c>
      <c r="B515" s="98">
        <f>'G MTTS'!B511</f>
        <v>0.812511574074074</v>
      </c>
      <c r="C515" s="99" t="str">
        <f>'G MTTS'!L511</f>
        <v>6 Seats OmaX T.</v>
      </c>
      <c r="D515" s="120" t="str">
        <f>'G MTTS'!M511</f>
        <v>SAT</v>
      </c>
      <c r="E515" s="101" t="str">
        <f>'G MTTS'!N511</f>
        <v>PLO5</v>
      </c>
      <c r="F515" s="102" t="str">
        <f>'G MTTS'!O511</f>
        <v>OFF</v>
      </c>
      <c r="G515" s="103">
        <f>IF('G MTTS'!Q511=0," ",'G MTTS'!Q511*$A$3)</f>
        <v>330</v>
      </c>
      <c r="H515" s="104">
        <f>IF('G MTTS'!V511=0," ",'G MTTS'!V511*A$3)</f>
        <v>3</v>
      </c>
      <c r="I515" s="104">
        <f>IF('G MTTS'!W511=0," ",'G MTTS'!W511*$A$3)</f>
        <v>3</v>
      </c>
      <c r="J515" s="104">
        <f>IF('G MTTS'!Z511=0," ",'G MTTS'!Z511*$A$3)</f>
        <v>3</v>
      </c>
      <c r="K515" s="105">
        <f>'G MTTS'!AF511</f>
        <v>10000</v>
      </c>
      <c r="L515" s="105">
        <f>'G MTTS'!X511</f>
        <v>0</v>
      </c>
      <c r="M515" s="105">
        <f>'G MTTS'!AA511</f>
        <v>20000</v>
      </c>
      <c r="N515" s="106">
        <f>'G MTTS'!AG511</f>
        <v>4</v>
      </c>
      <c r="O515" s="106">
        <f>'G MTTS'!AH511</f>
        <v>4</v>
      </c>
      <c r="P515" s="106">
        <f>'G MTTS'!AI511</f>
        <v>4</v>
      </c>
      <c r="Q515" s="107">
        <f>'G MTTS'!AJ511</f>
        <v>9</v>
      </c>
      <c r="R515" s="46">
        <f t="shared" si="40"/>
        <v>0.837511574074074</v>
      </c>
      <c r="S515" s="47" t="str">
        <f>IFERROR(IF(H515=0," ",IF(H515&lt;=25,"MICRO",IF(H515&lt;=99,"LOW",IF(H515&lt;=499,"MEDIUM",IF(H515&lt;=2500,"HIGH",IF(H515&gt;2500,"SUPER HIGH",)))))),"")</f>
        <v>MICRO</v>
      </c>
    </row>
    <row r="516" ht="29.25" customHeight="1" outlineLevel="1" spans="1:19">
      <c r="A516" s="135"/>
      <c r="B516" s="109"/>
      <c r="C516" s="110"/>
      <c r="D516" s="111"/>
      <c r="E516" s="112"/>
      <c r="F516" s="113"/>
      <c r="G516" s="114"/>
      <c r="H516" s="115"/>
      <c r="I516" s="115"/>
      <c r="J516" s="115"/>
      <c r="K516" s="116"/>
      <c r="L516" s="116"/>
      <c r="M516" s="116"/>
      <c r="N516" s="117"/>
      <c r="O516" s="117"/>
      <c r="P516" s="117"/>
      <c r="Q516" s="118"/>
      <c r="R516" s="46" t="str">
        <f t="shared" si="40"/>
        <v> </v>
      </c>
      <c r="S516" s="47"/>
    </row>
    <row r="517" ht="29.25" customHeight="1" outlineLevel="1" spans="1:19">
      <c r="A517" s="119" t="str">
        <f>'G MTTS'!J513</f>
        <v>#AS Battle PKO</v>
      </c>
      <c r="B517" s="98">
        <f>'G MTTS'!B513</f>
        <v>0.833344907407407</v>
      </c>
      <c r="C517" s="99" t="str">
        <f>'G MTTS'!L513</f>
        <v>3 Seats Battle PKO</v>
      </c>
      <c r="D517" s="120" t="str">
        <f>'G MTTS'!M513</f>
        <v>SAT</v>
      </c>
      <c r="E517" s="101" t="str">
        <f>'G MTTS'!N513</f>
        <v>NLH</v>
      </c>
      <c r="F517" s="102" t="str">
        <f>'G MTTS'!O513</f>
        <v>OFF</v>
      </c>
      <c r="G517" s="103">
        <f>IF('G MTTS'!Q513=0," ",'G MTTS'!Q513*$A$3)</f>
        <v>330</v>
      </c>
      <c r="H517" s="104">
        <f>IF('G MTTS'!V513=0," ",'G MTTS'!V513*A$3)</f>
        <v>6</v>
      </c>
      <c r="I517" s="104">
        <f>IF('G MTTS'!W513=0," ",'G MTTS'!W513*$A$3)</f>
        <v>6</v>
      </c>
      <c r="J517" s="104">
        <f>IF('G MTTS'!Z513=0," ",'G MTTS'!Z513*$A$3)</f>
        <v>6</v>
      </c>
      <c r="K517" s="105">
        <f>'G MTTS'!AF513</f>
        <v>10000</v>
      </c>
      <c r="L517" s="105">
        <f>'G MTTS'!X513</f>
        <v>0</v>
      </c>
      <c r="M517" s="105">
        <f>'G MTTS'!AA513</f>
        <v>20000</v>
      </c>
      <c r="N517" s="106">
        <f>'G MTTS'!AG513</f>
        <v>4</v>
      </c>
      <c r="O517" s="106">
        <f>'G MTTS'!AH513</f>
        <v>4</v>
      </c>
      <c r="P517" s="106">
        <f>'G MTTS'!AI513</f>
        <v>4</v>
      </c>
      <c r="Q517" s="107">
        <f>'G MTTS'!AJ513</f>
        <v>9</v>
      </c>
      <c r="R517" s="46">
        <f t="shared" si="40"/>
        <v>0.858344907407407</v>
      </c>
      <c r="S517" s="47" t="str">
        <f>IFERROR(IF(H517=0," ",IF(H517&lt;=25,"MICRO",IF(H517&lt;=99,"LOW",IF(H517&lt;=499,"MEDIUM",IF(H517&lt;=2500,"HIGH",IF(H517&gt;2500,"SUPER HIGH",)))))),"")</f>
        <v>MICRO</v>
      </c>
    </row>
    <row r="518" ht="29.25" customHeight="1" outlineLevel="1" spans="1:19">
      <c r="A518" s="135"/>
      <c r="B518" s="109"/>
      <c r="C518" s="110"/>
      <c r="D518" s="111"/>
      <c r="E518" s="112"/>
      <c r="F518" s="113"/>
      <c r="G518" s="114"/>
      <c r="H518" s="115"/>
      <c r="I518" s="115"/>
      <c r="J518" s="115"/>
      <c r="K518" s="116"/>
      <c r="L518" s="116"/>
      <c r="M518" s="116"/>
      <c r="N518" s="117"/>
      <c r="O518" s="117"/>
      <c r="P518" s="117"/>
      <c r="Q518" s="118"/>
      <c r="R518" s="46" t="str">
        <f t="shared" si="40"/>
        <v> </v>
      </c>
      <c r="S518" s="47"/>
    </row>
    <row r="519" ht="29.25" customHeight="1" outlineLevel="1" spans="1:19">
      <c r="A519" s="119" t="str">
        <f>'G MTTS'!J515</f>
        <v>#AS Bounty Night</v>
      </c>
      <c r="B519" s="98">
        <f>'G MTTS'!B515</f>
        <v>0.854178240740741</v>
      </c>
      <c r="C519" s="99" t="str">
        <f>'G MTTS'!L515</f>
        <v>5 Seats Bounty</v>
      </c>
      <c r="D519" s="120" t="str">
        <f>'G MTTS'!M515</f>
        <v>SAT</v>
      </c>
      <c r="E519" s="101" t="str">
        <f>'G MTTS'!N515</f>
        <v>NLH</v>
      </c>
      <c r="F519" s="102" t="str">
        <f>'G MTTS'!O515</f>
        <v>OFF</v>
      </c>
      <c r="G519" s="103">
        <f>IF('G MTTS'!Q515=0," ",'G MTTS'!Q515*$A$3)</f>
        <v>275</v>
      </c>
      <c r="H519" s="104">
        <f>IF('G MTTS'!V515=0," ",'G MTTS'!V515*A$3)</f>
        <v>3</v>
      </c>
      <c r="I519" s="104">
        <f>IF('G MTTS'!W515=0," ",'G MTTS'!W515*$A$3)</f>
        <v>3</v>
      </c>
      <c r="J519" s="104">
        <f>IF('G MTTS'!Z515=0," ",'G MTTS'!Z515*$A$3)</f>
        <v>3</v>
      </c>
      <c r="K519" s="105">
        <f>'G MTTS'!AF515</f>
        <v>10000</v>
      </c>
      <c r="L519" s="105">
        <f>'G MTTS'!X515</f>
        <v>0</v>
      </c>
      <c r="M519" s="105">
        <f>'G MTTS'!AA515</f>
        <v>20000</v>
      </c>
      <c r="N519" s="106">
        <f>'G MTTS'!AG515</f>
        <v>4</v>
      </c>
      <c r="O519" s="106">
        <f>'G MTTS'!AH515</f>
        <v>4</v>
      </c>
      <c r="P519" s="106">
        <f>'G MTTS'!AI515</f>
        <v>4</v>
      </c>
      <c r="Q519" s="107">
        <f>'G MTTS'!AJ515</f>
        <v>9</v>
      </c>
      <c r="R519" s="46">
        <f t="shared" si="40"/>
        <v>0.879178240740741</v>
      </c>
      <c r="S519" s="47" t="str">
        <f>IFERROR(IF(H519=0," ",IF(H519&lt;=25,"MICRO",IF(H519&lt;=99,"LOW",IF(H519&lt;=499,"MEDIUM",IF(H519&lt;=2500,"HIGH",IF(H519&gt;2500,"SUPER HIGH",)))))),"")</f>
        <v>MICRO</v>
      </c>
    </row>
    <row r="520" ht="29.25" customHeight="1" outlineLevel="1" spans="1:19">
      <c r="A520" s="135"/>
      <c r="B520" s="109"/>
      <c r="C520" s="110"/>
      <c r="D520" s="111"/>
      <c r="E520" s="112"/>
      <c r="F520" s="113"/>
      <c r="G520" s="114"/>
      <c r="H520" s="115"/>
      <c r="I520" s="115"/>
      <c r="J520" s="115"/>
      <c r="K520" s="116"/>
      <c r="L520" s="116"/>
      <c r="M520" s="116"/>
      <c r="N520" s="117"/>
      <c r="O520" s="117"/>
      <c r="P520" s="117"/>
      <c r="Q520" s="118"/>
      <c r="R520" s="46" t="str">
        <f t="shared" si="40"/>
        <v> </v>
      </c>
      <c r="S520" s="47"/>
    </row>
    <row r="521" ht="29.25" customHeight="1" outlineLevel="1" spans="1:19">
      <c r="A521" s="119" t="str">
        <f>'G MTTS'!J517</f>
        <v>#AS OmaX Night</v>
      </c>
      <c r="B521" s="98">
        <f>'G MTTS'!B517</f>
        <v>0.875011574074074</v>
      </c>
      <c r="C521" s="99" t="str">
        <f>'G MTTS'!L517</f>
        <v>3 Seats OmaX Night</v>
      </c>
      <c r="D521" s="120" t="str">
        <f>'G MTTS'!M517</f>
        <v>SAT</v>
      </c>
      <c r="E521" s="101" t="str">
        <f>'G MTTS'!N517</f>
        <v>PLO5</v>
      </c>
      <c r="F521" s="102" t="str">
        <f>'G MTTS'!O517</f>
        <v>OFF</v>
      </c>
      <c r="G521" s="103">
        <f>IF('G MTTS'!Q517=0," ",'G MTTS'!Q517*$A$3)</f>
        <v>450</v>
      </c>
      <c r="H521" s="104">
        <f>IF('G MTTS'!V517=0," ",'G MTTS'!V517*A$3)</f>
        <v>8</v>
      </c>
      <c r="I521" s="104">
        <f>IF('G MTTS'!W517=0," ",'G MTTS'!W517*$A$3)</f>
        <v>8</v>
      </c>
      <c r="J521" s="104">
        <f>IF('G MTTS'!Z517=0," ",'G MTTS'!Z517*$A$3)</f>
        <v>8</v>
      </c>
      <c r="K521" s="105">
        <f>'G MTTS'!AF517</f>
        <v>10000</v>
      </c>
      <c r="L521" s="105">
        <f>'G MTTS'!X517</f>
        <v>0</v>
      </c>
      <c r="M521" s="105">
        <f>'G MTTS'!AA517</f>
        <v>20000</v>
      </c>
      <c r="N521" s="106">
        <f>'G MTTS'!AG517</f>
        <v>4</v>
      </c>
      <c r="O521" s="106">
        <f>'G MTTS'!AH517</f>
        <v>4</v>
      </c>
      <c r="P521" s="106">
        <f>'G MTTS'!AI517</f>
        <v>4</v>
      </c>
      <c r="Q521" s="107">
        <f>'G MTTS'!AJ517</f>
        <v>9</v>
      </c>
      <c r="R521" s="46">
        <f t="shared" si="40"/>
        <v>0.900011574074074</v>
      </c>
      <c r="S521" s="47" t="str">
        <f>IFERROR(IF(H521=0," ",IF(H521&lt;=25,"MICRO",IF(H521&lt;=99,"LOW",IF(H521&lt;=499,"MEDIUM",IF(H521&lt;=2500,"HIGH",IF(H521&gt;2500,"SUPER HIGH",)))))),"")</f>
        <v>MICRO</v>
      </c>
    </row>
    <row r="522" ht="29.25" customHeight="1" outlineLevel="1" spans="1:19">
      <c r="A522" s="135"/>
      <c r="B522" s="109"/>
      <c r="C522" s="110"/>
      <c r="D522" s="111"/>
      <c r="E522" s="112"/>
      <c r="F522" s="113"/>
      <c r="G522" s="114"/>
      <c r="H522" s="115"/>
      <c r="I522" s="115"/>
      <c r="J522" s="115"/>
      <c r="K522" s="116"/>
      <c r="L522" s="116"/>
      <c r="M522" s="116"/>
      <c r="N522" s="117"/>
      <c r="O522" s="117"/>
      <c r="P522" s="117"/>
      <c r="Q522" s="118"/>
      <c r="R522" s="46" t="str">
        <f t="shared" si="40"/>
        <v> </v>
      </c>
      <c r="S522" s="47"/>
    </row>
    <row r="523" ht="29.25" customHeight="1" outlineLevel="1" spans="1:19">
      <c r="A523" s="119" t="str">
        <f>'G MTTS'!J519</f>
        <v>#AS Sonic</v>
      </c>
      <c r="B523" s="98">
        <f>'G MTTS'!B519</f>
        <v>0.895844907407407</v>
      </c>
      <c r="C523" s="99" t="str">
        <f>'G MTTS'!L519</f>
        <v>2 Seats Sonic</v>
      </c>
      <c r="D523" s="120" t="str">
        <f>'G MTTS'!M519</f>
        <v>SAT</v>
      </c>
      <c r="E523" s="101" t="str">
        <f>'G MTTS'!N519</f>
        <v>NLH</v>
      </c>
      <c r="F523" s="102" t="str">
        <f>'G MTTS'!O519</f>
        <v>OFF</v>
      </c>
      <c r="G523" s="103">
        <f>IF('G MTTS'!Q519=0," ",'G MTTS'!Q519*$A$3)</f>
        <v>300</v>
      </c>
      <c r="H523" s="104">
        <f>IF('G MTTS'!V519=0," ",'G MTTS'!V519*A$3)</f>
        <v>8</v>
      </c>
      <c r="I523" s="104">
        <f>IF('G MTTS'!W519=0," ",'G MTTS'!W519*$A$3)</f>
        <v>8</v>
      </c>
      <c r="J523" s="104">
        <f>IF('G MTTS'!Z519=0," ",'G MTTS'!Z519*$A$3)</f>
        <v>8</v>
      </c>
      <c r="K523" s="105">
        <f>'G MTTS'!AF519</f>
        <v>10000</v>
      </c>
      <c r="L523" s="105">
        <f>'G MTTS'!X519</f>
        <v>0</v>
      </c>
      <c r="M523" s="105">
        <f>'G MTTS'!AA519</f>
        <v>20000</v>
      </c>
      <c r="N523" s="106">
        <f>'G MTTS'!AG519</f>
        <v>4</v>
      </c>
      <c r="O523" s="106">
        <f>'G MTTS'!AH519</f>
        <v>4</v>
      </c>
      <c r="P523" s="106">
        <f>'G MTTS'!AI519</f>
        <v>4</v>
      </c>
      <c r="Q523" s="107">
        <f>'G MTTS'!AJ519</f>
        <v>9</v>
      </c>
      <c r="R523" s="46">
        <f t="shared" si="40"/>
        <v>0.920844907407407</v>
      </c>
      <c r="S523" s="47" t="str">
        <f>IFERROR(IF(H523=0," ",IF(H523&lt;=25,"MICRO",IF(H523&lt;=99,"LOW",IF(H523&lt;=499,"MEDIUM",IF(H523&lt;=2500,"HIGH",IF(H523&gt;2500,"SUPER HIGH",)))))),"")</f>
        <v>MICRO</v>
      </c>
    </row>
    <row r="524" ht="29.25" customHeight="1" outlineLevel="1" spans="1:19">
      <c r="A524" s="135"/>
      <c r="B524" s="109"/>
      <c r="C524" s="110"/>
      <c r="D524" s="111"/>
      <c r="E524" s="112"/>
      <c r="F524" s="113"/>
      <c r="G524" s="114"/>
      <c r="H524" s="115"/>
      <c r="I524" s="115"/>
      <c r="J524" s="115"/>
      <c r="K524" s="116"/>
      <c r="L524" s="116"/>
      <c r="M524" s="116"/>
      <c r="N524" s="117"/>
      <c r="O524" s="117"/>
      <c r="P524" s="117"/>
      <c r="Q524" s="118"/>
      <c r="R524" s="46"/>
      <c r="S524" s="47"/>
    </row>
    <row r="525" ht="29.25" customHeight="1" outlineLevel="1" spans="1:19">
      <c r="A525" s="121" t="str">
        <f>'G MTTS'!J521</f>
        <v>Suprema Poker Tour</v>
      </c>
      <c r="B525" s="122">
        <f>'G MTTS'!B521</f>
        <v>0.375011574074074</v>
      </c>
      <c r="C525" s="123" t="str">
        <f>'G MTTS'!L521</f>
        <v>2 Seats SPT</v>
      </c>
      <c r="D525" s="120" t="str">
        <f>'G MTTS'!M521</f>
        <v>SAT</v>
      </c>
      <c r="E525" s="101" t="str">
        <f>'G MTTS'!N521</f>
        <v>NLH</v>
      </c>
      <c r="F525" s="102" t="str">
        <f>'G MTTS'!O521</f>
        <v>OFF</v>
      </c>
      <c r="G525" s="103">
        <f>IF('G MTTS'!Q521=0," ",'G MTTS'!Q521*$A$3)</f>
        <v>400</v>
      </c>
      <c r="H525" s="104">
        <f>IF('G MTTS'!V521=0," ",'G MTTS'!V521*A$3)</f>
        <v>3</v>
      </c>
      <c r="I525" s="104">
        <f>IF('G MTTS'!W521=0," ",'G MTTS'!W521*$A$3)</f>
        <v>5</v>
      </c>
      <c r="J525" s="104">
        <f>IF('G MTTS'!Z521=0," ",'G MTTS'!Z521*$A$3)</f>
        <v>10</v>
      </c>
      <c r="K525" s="105">
        <f>'G MTTS'!AF521</f>
        <v>20000</v>
      </c>
      <c r="L525" s="105">
        <f>'G MTTS'!X521</f>
        <v>0</v>
      </c>
      <c r="M525" s="105">
        <f>'G MTTS'!AA521</f>
        <v>50000</v>
      </c>
      <c r="N525" s="106">
        <f>'G MTTS'!AG521</f>
        <v>7</v>
      </c>
      <c r="O525" s="106">
        <f>'G MTTS'!AH521</f>
        <v>6</v>
      </c>
      <c r="P525" s="106">
        <f>'G MTTS'!AI521</f>
        <v>5</v>
      </c>
      <c r="Q525" s="107">
        <f>'G MTTS'!AJ521</f>
        <v>13</v>
      </c>
      <c r="R525" s="46">
        <f t="shared" ref="R525:R532" si="43">IF(B525=0," ",TIME(,ROUNDDOWN(N525*Q525/60,0)*5+(N525*Q525),)+B525)</f>
        <v>0.441678240740741</v>
      </c>
      <c r="S525" s="47" t="str">
        <f t="shared" ref="S525:S532" si="44">IFERROR(IF(H525=0," ",IF(H525&lt;=25,"MICRO",IF(H525&lt;=99,"LOW",IF(H525&lt;=499,"MEDIUM",IF(H525&lt;=2500,"HIGH",IF(H525&gt;2500,"SUPER HIGH",)))))),"")</f>
        <v>MICRO</v>
      </c>
    </row>
    <row r="526" ht="29.25" customHeight="1" outlineLevel="1" spans="1:19">
      <c r="A526" s="29"/>
      <c r="B526" s="128">
        <f>'G MTTS'!B522</f>
        <v>0.458344907407407</v>
      </c>
      <c r="C526" s="129" t="str">
        <f>'G MTTS'!L522</f>
        <v>3 Seats SPT</v>
      </c>
      <c r="D526" s="120" t="str">
        <f>'G MTTS'!M522</f>
        <v>SAT</v>
      </c>
      <c r="E526" s="101" t="str">
        <f>'G MTTS'!N522</f>
        <v>NLH</v>
      </c>
      <c r="F526" s="102" t="str">
        <f>'G MTTS'!O522</f>
        <v>OFF</v>
      </c>
      <c r="G526" s="103">
        <f>IF('G MTTS'!Q522=0," ",'G MTTS'!Q522*$A$3)</f>
        <v>600</v>
      </c>
      <c r="H526" s="104">
        <f>IF('G MTTS'!V522=0," ",'G MTTS'!V522*A$3)</f>
        <v>5</v>
      </c>
      <c r="I526" s="104">
        <f>IF('G MTTS'!W522=0," ",'G MTTS'!W522*$A$3)</f>
        <v>5</v>
      </c>
      <c r="J526" s="104">
        <f>IF('G MTTS'!Z522=0," ",'G MTTS'!Z522*$A$3)</f>
        <v>15</v>
      </c>
      <c r="K526" s="105">
        <f>'G MTTS'!AF522</f>
        <v>30000</v>
      </c>
      <c r="L526" s="105">
        <f>'G MTTS'!X522</f>
        <v>0</v>
      </c>
      <c r="M526" s="105">
        <f>'G MTTS'!AA522</f>
        <v>50000</v>
      </c>
      <c r="N526" s="106">
        <f>'G MTTS'!AG522</f>
        <v>7</v>
      </c>
      <c r="O526" s="106">
        <f>'G MTTS'!AH522</f>
        <v>6</v>
      </c>
      <c r="P526" s="106">
        <f>'G MTTS'!AI522</f>
        <v>5</v>
      </c>
      <c r="Q526" s="107">
        <f>'G MTTS'!AJ522</f>
        <v>13</v>
      </c>
      <c r="R526" s="46">
        <f t="shared" si="43"/>
        <v>0.525011574074074</v>
      </c>
      <c r="S526" s="47" t="str">
        <f t="shared" si="44"/>
        <v>MICRO</v>
      </c>
    </row>
    <row r="527" ht="29.25" customHeight="1" outlineLevel="1" spans="1:19">
      <c r="A527" s="29"/>
      <c r="B527" s="128">
        <f>'G MTTS'!B523</f>
        <v>0.541678240740741</v>
      </c>
      <c r="C527" s="129" t="str">
        <f>'G MTTS'!L523</f>
        <v>4 Seats SPT</v>
      </c>
      <c r="D527" s="120" t="str">
        <f>'G MTTS'!M523</f>
        <v>SAT</v>
      </c>
      <c r="E527" s="101" t="str">
        <f>'G MTTS'!N523</f>
        <v>NLH</v>
      </c>
      <c r="F527" s="102" t="str">
        <f>'G MTTS'!O523</f>
        <v>OFF</v>
      </c>
      <c r="G527" s="103">
        <f>IF('G MTTS'!Q523=0," ",'G MTTS'!Q523*$A$3)</f>
        <v>800</v>
      </c>
      <c r="H527" s="104">
        <f>IF('G MTTS'!V523=0," ",'G MTTS'!V523*A$3)</f>
        <v>10</v>
      </c>
      <c r="I527" s="104">
        <f>IF('G MTTS'!W523=0," ",'G MTTS'!W523*$A$3)</f>
        <v>10</v>
      </c>
      <c r="J527" s="104">
        <f>IF('G MTTS'!Z523=0," ",'G MTTS'!Z523*$A$3)</f>
        <v>15</v>
      </c>
      <c r="K527" s="105">
        <f>'G MTTS'!AF523</f>
        <v>30000</v>
      </c>
      <c r="L527" s="105">
        <f>'G MTTS'!X523</f>
        <v>0</v>
      </c>
      <c r="M527" s="105">
        <f>'G MTTS'!AA523</f>
        <v>50000</v>
      </c>
      <c r="N527" s="106">
        <f>'G MTTS'!AG523</f>
        <v>7</v>
      </c>
      <c r="O527" s="106">
        <f>'G MTTS'!AH523</f>
        <v>6</v>
      </c>
      <c r="P527" s="106">
        <f>'G MTTS'!AI523</f>
        <v>5</v>
      </c>
      <c r="Q527" s="107">
        <f>'G MTTS'!AJ523</f>
        <v>13</v>
      </c>
      <c r="R527" s="46">
        <f t="shared" si="43"/>
        <v>0.608344907407407</v>
      </c>
      <c r="S527" s="47" t="str">
        <f t="shared" si="44"/>
        <v>MICRO</v>
      </c>
    </row>
    <row r="528" ht="29.25" customHeight="1" outlineLevel="1" spans="1:19">
      <c r="A528" s="29"/>
      <c r="B528" s="128">
        <f>'G MTTS'!B524</f>
        <v>0.625011574074074</v>
      </c>
      <c r="C528" s="129" t="str">
        <f>'G MTTS'!L524</f>
        <v>5 Seats SPT</v>
      </c>
      <c r="D528" s="120" t="str">
        <f>'G MTTS'!M524</f>
        <v>SAT</v>
      </c>
      <c r="E528" s="101" t="str">
        <f>'G MTTS'!N524</f>
        <v>NLH</v>
      </c>
      <c r="F528" s="102" t="str">
        <f>'G MTTS'!O524</f>
        <v>OFF</v>
      </c>
      <c r="G528" s="103">
        <f>IF('G MTTS'!Q524=0," ",'G MTTS'!Q524*$A$3)</f>
        <v>1000</v>
      </c>
      <c r="H528" s="104">
        <f>IF('G MTTS'!V524=0," ",'G MTTS'!V524*A$3)</f>
        <v>10</v>
      </c>
      <c r="I528" s="104">
        <f>IF('G MTTS'!W524=0," ",'G MTTS'!W524*$A$3)</f>
        <v>10</v>
      </c>
      <c r="J528" s="104">
        <f>IF('G MTTS'!Z524=0," ",'G MTTS'!Z524*$A$3)</f>
        <v>15</v>
      </c>
      <c r="K528" s="105">
        <f>'G MTTS'!AF524</f>
        <v>30000</v>
      </c>
      <c r="L528" s="105">
        <f>'G MTTS'!X524</f>
        <v>0</v>
      </c>
      <c r="M528" s="105">
        <f>'G MTTS'!AA524</f>
        <v>50000</v>
      </c>
      <c r="N528" s="106">
        <f>'G MTTS'!AG524</f>
        <v>7</v>
      </c>
      <c r="O528" s="106">
        <f>'G MTTS'!AH524</f>
        <v>6</v>
      </c>
      <c r="P528" s="106">
        <f>'G MTTS'!AI524</f>
        <v>5</v>
      </c>
      <c r="Q528" s="107">
        <f>'G MTTS'!AJ524</f>
        <v>13</v>
      </c>
      <c r="R528" s="46">
        <f t="shared" si="43"/>
        <v>0.691678240740741</v>
      </c>
      <c r="S528" s="47" t="str">
        <f t="shared" si="44"/>
        <v>MICRO</v>
      </c>
    </row>
    <row r="529" ht="29.25" customHeight="1" outlineLevel="1" spans="1:19">
      <c r="A529" s="29"/>
      <c r="B529" s="128">
        <f>'G MTTS'!B525</f>
        <v>0.708344907407407</v>
      </c>
      <c r="C529" s="129" t="str">
        <f>'G MTTS'!L525</f>
        <v>5 Seats SPT</v>
      </c>
      <c r="D529" s="120" t="str">
        <f>'G MTTS'!M525</f>
        <v>SAT</v>
      </c>
      <c r="E529" s="101" t="str">
        <f>'G MTTS'!N525</f>
        <v>NLH</v>
      </c>
      <c r="F529" s="102" t="str">
        <f>'G MTTS'!O525</f>
        <v>OFF</v>
      </c>
      <c r="G529" s="103">
        <f>IF('G MTTS'!Q525=0," ",'G MTTS'!Q525*$A$3)</f>
        <v>1000</v>
      </c>
      <c r="H529" s="104">
        <f>IF('G MTTS'!V525=0," ",'G MTTS'!V525*A$3)</f>
        <v>10</v>
      </c>
      <c r="I529" s="104">
        <f>IF('G MTTS'!W525=0," ",'G MTTS'!W525*$A$3)</f>
        <v>10</v>
      </c>
      <c r="J529" s="104">
        <f>IF('G MTTS'!Z525=0," ",'G MTTS'!Z525*$A$3)</f>
        <v>15</v>
      </c>
      <c r="K529" s="105">
        <f>'G MTTS'!AF525</f>
        <v>30000</v>
      </c>
      <c r="L529" s="105">
        <f>'G MTTS'!X525</f>
        <v>0</v>
      </c>
      <c r="M529" s="105">
        <f>'G MTTS'!AA525</f>
        <v>50000</v>
      </c>
      <c r="N529" s="106">
        <f>'G MTTS'!AG525</f>
        <v>7</v>
      </c>
      <c r="O529" s="106">
        <f>'G MTTS'!AH525</f>
        <v>6</v>
      </c>
      <c r="P529" s="106">
        <f>'G MTTS'!AI525</f>
        <v>5</v>
      </c>
      <c r="Q529" s="107">
        <f>'G MTTS'!AJ525</f>
        <v>13</v>
      </c>
      <c r="R529" s="46">
        <f t="shared" si="43"/>
        <v>0.775011574074074</v>
      </c>
      <c r="S529" s="47" t="str">
        <f t="shared" si="44"/>
        <v>MICRO</v>
      </c>
    </row>
    <row r="530" ht="29.25" customHeight="1" outlineLevel="1" spans="1:19">
      <c r="A530" s="29"/>
      <c r="B530" s="128">
        <f>'G MTTS'!B526</f>
        <v>0.791678240740741</v>
      </c>
      <c r="C530" s="129" t="str">
        <f>'G MTTS'!L526</f>
        <v>5 Seats SPT</v>
      </c>
      <c r="D530" s="120" t="str">
        <f>'G MTTS'!M526</f>
        <v>SAT</v>
      </c>
      <c r="E530" s="101" t="str">
        <f>'G MTTS'!N526</f>
        <v>NLH</v>
      </c>
      <c r="F530" s="102" t="str">
        <f>'G MTTS'!O526</f>
        <v>OFF</v>
      </c>
      <c r="G530" s="103">
        <f>IF('G MTTS'!Q526=0," ",'G MTTS'!Q526*$A$3)</f>
        <v>1000</v>
      </c>
      <c r="H530" s="104">
        <f>IF('G MTTS'!V526=0," ",'G MTTS'!V526*A$3)</f>
        <v>10</v>
      </c>
      <c r="I530" s="104">
        <f>IF('G MTTS'!W526=0," ",'G MTTS'!W526*$A$3)</f>
        <v>10</v>
      </c>
      <c r="J530" s="104">
        <f>IF('G MTTS'!Z526=0," ",'G MTTS'!Z526*$A$3)</f>
        <v>15</v>
      </c>
      <c r="K530" s="105">
        <f>'G MTTS'!AF526</f>
        <v>30000</v>
      </c>
      <c r="L530" s="105">
        <f>'G MTTS'!X526</f>
        <v>0</v>
      </c>
      <c r="M530" s="105">
        <f>'G MTTS'!AA526</f>
        <v>50000</v>
      </c>
      <c r="N530" s="106">
        <f>'G MTTS'!AG526</f>
        <v>7</v>
      </c>
      <c r="O530" s="106">
        <f>'G MTTS'!AH526</f>
        <v>6</v>
      </c>
      <c r="P530" s="106">
        <f>'G MTTS'!AI526</f>
        <v>5</v>
      </c>
      <c r="Q530" s="107">
        <f>'G MTTS'!AJ526</f>
        <v>13</v>
      </c>
      <c r="R530" s="46">
        <f t="shared" si="43"/>
        <v>0.858344907407407</v>
      </c>
      <c r="S530" s="47" t="str">
        <f t="shared" si="44"/>
        <v>MICRO</v>
      </c>
    </row>
    <row r="531" ht="29.25" customHeight="1" outlineLevel="1" spans="1:19">
      <c r="A531" s="29"/>
      <c r="B531" s="128">
        <f>'G MTTS'!B527</f>
        <v>0.875011574074074</v>
      </c>
      <c r="C531" s="129" t="str">
        <f>'G MTTS'!L527</f>
        <v>Freebuy 10 Seats SPT</v>
      </c>
      <c r="D531" s="120" t="str">
        <f>'G MTTS'!M527</f>
        <v>SAT</v>
      </c>
      <c r="E531" s="101" t="str">
        <f>'G MTTS'!N527</f>
        <v>NLH</v>
      </c>
      <c r="F531" s="102" t="str">
        <f>'G MTTS'!O527</f>
        <v>OFF</v>
      </c>
      <c r="G531" s="103">
        <f>IF('G MTTS'!Q527=0," ",'G MTTS'!Q527*$A$3)</f>
        <v>2000</v>
      </c>
      <c r="H531" s="104" t="str">
        <f>IF('G MTTS'!V527=0," ",'G MTTS'!V527*A$3)</f>
        <v> </v>
      </c>
      <c r="I531" s="104">
        <f>IF('G MTTS'!W527=0," ",'G MTTS'!W527*$A$3)</f>
        <v>5</v>
      </c>
      <c r="J531" s="104">
        <f>IF('G MTTS'!Z527=0," ",'G MTTS'!Z527*$A$3)</f>
        <v>15</v>
      </c>
      <c r="K531" s="105">
        <f>'G MTTS'!AF527</f>
        <v>30000</v>
      </c>
      <c r="L531" s="105">
        <f>'G MTTS'!X527</f>
        <v>0</v>
      </c>
      <c r="M531" s="105">
        <f>'G MTTS'!AA527</f>
        <v>50000</v>
      </c>
      <c r="N531" s="106">
        <f>'G MTTS'!AG527</f>
        <v>7</v>
      </c>
      <c r="O531" s="106">
        <f>'G MTTS'!AH527</f>
        <v>6</v>
      </c>
      <c r="P531" s="106">
        <f>'G MTTS'!AI527</f>
        <v>5</v>
      </c>
      <c r="Q531" s="107">
        <f>'G MTTS'!AJ527</f>
        <v>13</v>
      </c>
      <c r="R531" s="46">
        <f t="shared" si="43"/>
        <v>0.941678240740741</v>
      </c>
      <c r="S531" s="47" t="str">
        <f t="shared" si="44"/>
        <v>SUPER HIGH</v>
      </c>
    </row>
    <row r="532" ht="29.25" customHeight="1" outlineLevel="1" spans="1:19">
      <c r="A532" s="124"/>
      <c r="B532" s="125">
        <f>'G MTTS'!B528</f>
        <v>0.958344907407407</v>
      </c>
      <c r="C532" s="126" t="str">
        <f>'G MTTS'!L528</f>
        <v>2 Seats SPT</v>
      </c>
      <c r="D532" s="120" t="str">
        <f>'G MTTS'!M528</f>
        <v>SAT</v>
      </c>
      <c r="E532" s="101" t="str">
        <f>'G MTTS'!N528</f>
        <v>NLH</v>
      </c>
      <c r="F532" s="102" t="str">
        <f>'G MTTS'!O528</f>
        <v>OFF</v>
      </c>
      <c r="G532" s="103">
        <f>IF('G MTTS'!Q528=0," ",'G MTTS'!Q528*$A$3)</f>
        <v>400</v>
      </c>
      <c r="H532" s="104">
        <f>IF('G MTTS'!V528=0," ",'G MTTS'!V528*A$3)</f>
        <v>3</v>
      </c>
      <c r="I532" s="104">
        <f>IF('G MTTS'!W528=0," ",'G MTTS'!W528*$A$3)</f>
        <v>5</v>
      </c>
      <c r="J532" s="104">
        <f>IF('G MTTS'!Z528=0," ",'G MTTS'!Z528*$A$3)</f>
        <v>10</v>
      </c>
      <c r="K532" s="105">
        <f>'G MTTS'!AF528</f>
        <v>30000</v>
      </c>
      <c r="L532" s="105">
        <f>'G MTTS'!X528</f>
        <v>0</v>
      </c>
      <c r="M532" s="105">
        <f>'G MTTS'!AA528</f>
        <v>50000</v>
      </c>
      <c r="N532" s="106">
        <f>'G MTTS'!AG528</f>
        <v>6</v>
      </c>
      <c r="O532" s="106">
        <f>'G MTTS'!AH528</f>
        <v>5</v>
      </c>
      <c r="P532" s="106">
        <f>'G MTTS'!AI528</f>
        <v>5</v>
      </c>
      <c r="Q532" s="107">
        <f>'G MTTS'!AJ528</f>
        <v>13</v>
      </c>
      <c r="R532" s="46">
        <f t="shared" si="43"/>
        <v>1.0159837962963</v>
      </c>
      <c r="S532" s="47" t="str">
        <f t="shared" si="44"/>
        <v>MICRO</v>
      </c>
    </row>
    <row r="533" ht="29.25" customHeight="1" outlineLevel="1" spans="1:19">
      <c r="A533" s="135"/>
      <c r="B533" s="109"/>
      <c r="C533" s="110"/>
      <c r="D533" s="111"/>
      <c r="E533" s="112"/>
      <c r="F533" s="113"/>
      <c r="G533" s="114"/>
      <c r="H533" s="115"/>
      <c r="I533" s="115"/>
      <c r="J533" s="115"/>
      <c r="K533" s="116"/>
      <c r="L533" s="116"/>
      <c r="M533" s="116"/>
      <c r="N533" s="117"/>
      <c r="O533" s="117"/>
      <c r="P533" s="117"/>
      <c r="Q533" s="118"/>
      <c r="R533" s="46"/>
      <c r="S533" s="47"/>
    </row>
    <row r="534" ht="29.25" customHeight="1" outlineLevel="1" spans="1:19">
      <c r="A534" s="121" t="str">
        <f>'G MTTS'!J530</f>
        <v>#AS Supremo</v>
      </c>
      <c r="B534" s="122">
        <f>'G MTTS'!B530</f>
        <v>0.708344907407407</v>
      </c>
      <c r="C534" s="123" t="str">
        <f>'G MTTS'!L530</f>
        <v>1 Seat Supremo</v>
      </c>
      <c r="D534" s="120" t="str">
        <f>'G MTTS'!M530</f>
        <v>SAT</v>
      </c>
      <c r="E534" s="101" t="str">
        <f>'G MTTS'!N530</f>
        <v>NLH</v>
      </c>
      <c r="F534" s="102" t="str">
        <f>'G MTTS'!O530</f>
        <v>OFF</v>
      </c>
      <c r="G534" s="103">
        <f>IF('G MTTS'!Q530=0," ",'G MTTS'!Q530*$A$3)</f>
        <v>550</v>
      </c>
      <c r="H534" s="104">
        <f>IF('G MTTS'!V530=0," ",'G MTTS'!V530*A$3)</f>
        <v>10</v>
      </c>
      <c r="I534" s="104">
        <f>IF('G MTTS'!W530=0," ",'G MTTS'!W530*$A$3)</f>
        <v>15</v>
      </c>
      <c r="J534" s="104">
        <f>IF('G MTTS'!Z530=0," ",'G MTTS'!Z530*$A$3)</f>
        <v>25</v>
      </c>
      <c r="K534" s="105">
        <f>'G MTTS'!AF530</f>
        <v>20000</v>
      </c>
      <c r="L534" s="105">
        <f>'G MTTS'!X530</f>
        <v>25000</v>
      </c>
      <c r="M534" s="105">
        <f>'G MTTS'!AA530</f>
        <v>50000</v>
      </c>
      <c r="N534" s="106">
        <f>'G MTTS'!AG530</f>
        <v>7</v>
      </c>
      <c r="O534" s="106">
        <f>'G MTTS'!AH530</f>
        <v>6</v>
      </c>
      <c r="P534" s="106">
        <f>'G MTTS'!AI530</f>
        <v>6</v>
      </c>
      <c r="Q534" s="107">
        <f>'G MTTS'!AJ530</f>
        <v>13</v>
      </c>
      <c r="R534" s="46">
        <f t="shared" ref="R534:R536" si="45">IF(B534=0," ",TIME(,ROUNDDOWN(N534*Q534/60,0)*5+(N534*Q534),)+B534)</f>
        <v>0.775011574074074</v>
      </c>
      <c r="S534" s="47" t="str">
        <f t="shared" ref="S534:S536" si="46">IFERROR(IF(H534=0," ",IF(H534&lt;=25,"MICRO",IF(H534&lt;=99,"LOW",IF(H534&lt;=499,"MEDIUM",IF(H534&lt;=2500,"HIGH",IF(H534&gt;2500,"SUPER HIGH",)))))),"")</f>
        <v>MICRO</v>
      </c>
    </row>
    <row r="535" ht="29.25" customHeight="1" outlineLevel="1" spans="1:19">
      <c r="A535" s="29"/>
      <c r="B535" s="128">
        <f>'G MTTS'!B531</f>
        <v>0.791678240740741</v>
      </c>
      <c r="C535" s="129" t="str">
        <f>'G MTTS'!L531</f>
        <v>2 Seats Supremo</v>
      </c>
      <c r="D535" s="120" t="str">
        <f>'G MTTS'!M531</f>
        <v>SAT</v>
      </c>
      <c r="E535" s="101" t="str">
        <f>'G MTTS'!N531</f>
        <v>NLH</v>
      </c>
      <c r="F535" s="102" t="str">
        <f>'G MTTS'!O531</f>
        <v>OFF</v>
      </c>
      <c r="G535" s="103">
        <f>IF('G MTTS'!Q531=0," ",'G MTTS'!Q531*$A$3)</f>
        <v>1100</v>
      </c>
      <c r="H535" s="104">
        <f>IF('G MTTS'!V531=0," ",'G MTTS'!V531*A$3)</f>
        <v>15</v>
      </c>
      <c r="I535" s="104">
        <f>IF('G MTTS'!W531=0," ",'G MTTS'!W531*$A$3)</f>
        <v>15</v>
      </c>
      <c r="J535" s="104">
        <f>IF('G MTTS'!Z531=0," ",'G MTTS'!Z531*$A$3)</f>
        <v>25</v>
      </c>
      <c r="K535" s="105">
        <f>'G MTTS'!AF531</f>
        <v>20000</v>
      </c>
      <c r="L535" s="105">
        <f>'G MTTS'!X531</f>
        <v>25000</v>
      </c>
      <c r="M535" s="105">
        <f>'G MTTS'!AA531</f>
        <v>50000</v>
      </c>
      <c r="N535" s="106">
        <f>'G MTTS'!AG531</f>
        <v>7</v>
      </c>
      <c r="O535" s="106">
        <f>'G MTTS'!AH531</f>
        <v>6</v>
      </c>
      <c r="P535" s="106">
        <f>'G MTTS'!AI531</f>
        <v>6</v>
      </c>
      <c r="Q535" s="107">
        <f>'G MTTS'!AJ531</f>
        <v>13</v>
      </c>
      <c r="R535" s="46">
        <f t="shared" si="45"/>
        <v>0.858344907407407</v>
      </c>
      <c r="S535" s="47" t="str">
        <f t="shared" si="46"/>
        <v>MICRO</v>
      </c>
    </row>
    <row r="536" ht="29.25" customHeight="1" outlineLevel="1" spans="1:19">
      <c r="A536" s="124"/>
      <c r="B536" s="125">
        <f>'G MTTS'!B532</f>
        <v>0.875011574074074</v>
      </c>
      <c r="C536" s="126" t="str">
        <f>'G MTTS'!L532</f>
        <v>2 Seats Supremo</v>
      </c>
      <c r="D536" s="120" t="str">
        <f>'G MTTS'!M532</f>
        <v>SAT</v>
      </c>
      <c r="E536" s="101" t="str">
        <f>'G MTTS'!N532</f>
        <v>NLH</v>
      </c>
      <c r="F536" s="102" t="str">
        <f>'G MTTS'!O532</f>
        <v>OFF</v>
      </c>
      <c r="G536" s="103">
        <f>IF('G MTTS'!Q532=0," ",'G MTTS'!Q532*$A$3)</f>
        <v>1100</v>
      </c>
      <c r="H536" s="104">
        <f>IF('G MTTS'!V532=0," ",'G MTTS'!V532*A$3)</f>
        <v>15</v>
      </c>
      <c r="I536" s="104">
        <f>IF('G MTTS'!W532=0," ",'G MTTS'!W532*$A$3)</f>
        <v>15</v>
      </c>
      <c r="J536" s="104">
        <f>IF('G MTTS'!Z532=0," ",'G MTTS'!Z532*$A$3)</f>
        <v>25</v>
      </c>
      <c r="K536" s="105">
        <f>'G MTTS'!AF532</f>
        <v>20000</v>
      </c>
      <c r="L536" s="105">
        <f>'G MTTS'!X532</f>
        <v>25000</v>
      </c>
      <c r="M536" s="105">
        <f>'G MTTS'!AA532</f>
        <v>50000</v>
      </c>
      <c r="N536" s="106">
        <f>'G MTTS'!AG532</f>
        <v>7</v>
      </c>
      <c r="O536" s="106">
        <f>'G MTTS'!AH532</f>
        <v>6</v>
      </c>
      <c r="P536" s="106">
        <f>'G MTTS'!AI532</f>
        <v>6</v>
      </c>
      <c r="Q536" s="107">
        <f>'G MTTS'!AJ532</f>
        <v>13</v>
      </c>
      <c r="R536" s="46">
        <f t="shared" si="45"/>
        <v>0.941678240740741</v>
      </c>
      <c r="S536" s="47" t="str">
        <f t="shared" si="46"/>
        <v>MICRO</v>
      </c>
    </row>
    <row r="537" ht="29.25" customHeight="1" outlineLevel="1" spans="1:19">
      <c r="A537" s="135"/>
      <c r="B537" s="109"/>
      <c r="C537" s="110"/>
      <c r="D537" s="111"/>
      <c r="E537" s="112"/>
      <c r="F537" s="113"/>
      <c r="G537" s="114"/>
      <c r="H537" s="115"/>
      <c r="I537" s="115"/>
      <c r="J537" s="115"/>
      <c r="K537" s="116"/>
      <c r="L537" s="116"/>
      <c r="M537" s="116"/>
      <c r="N537" s="117"/>
      <c r="O537" s="117"/>
      <c r="P537" s="117"/>
      <c r="Q537" s="118"/>
      <c r="R537" s="46"/>
      <c r="S537" s="47"/>
    </row>
    <row r="538" ht="29.25" customHeight="1" outlineLevel="1" spans="1:19">
      <c r="A538" s="121" t="str">
        <f>'G MTTS'!J534</f>
        <v>30 Seats Supremo</v>
      </c>
      <c r="B538" s="122">
        <f>'G MTTS'!B534</f>
        <v>0.500011574074074</v>
      </c>
      <c r="C538" s="123" t="str">
        <f>'G MTTS'!L534</f>
        <v>Step 76-M Supremo</v>
      </c>
      <c r="D538" s="120" t="str">
        <f>'G MTTS'!M534</f>
        <v>SAT</v>
      </c>
      <c r="E538" s="101" t="str">
        <f>'G MTTS'!N534</f>
        <v>NLH</v>
      </c>
      <c r="F538" s="102" t="str">
        <f>'G MTTS'!O534</f>
        <v>OFF</v>
      </c>
      <c r="G538" s="103">
        <f>IF('G MTTS'!Q534=0," ",'G MTTS'!Q534*$A$3)</f>
        <v>300</v>
      </c>
      <c r="H538" s="104">
        <f>IF('G MTTS'!V534=0," ",'G MTTS'!V534*A$3)</f>
        <v>3</v>
      </c>
      <c r="I538" s="104">
        <f>IF('G MTTS'!W534=0," ",'G MTTS'!W534*$A$3)</f>
        <v>5</v>
      </c>
      <c r="J538" s="104">
        <f>IF('G MTTS'!Z534=0," ",'G MTTS'!Z534*$A$3)</f>
        <v>5</v>
      </c>
      <c r="K538" s="105">
        <f>'G MTTS'!AF534</f>
        <v>20000</v>
      </c>
      <c r="L538" s="105">
        <f>'G MTTS'!X534</f>
        <v>25000</v>
      </c>
      <c r="M538" s="105">
        <f>'G MTTS'!AA534</f>
        <v>40000</v>
      </c>
      <c r="N538" s="106">
        <f>'G MTTS'!AG534</f>
        <v>7</v>
      </c>
      <c r="O538" s="106">
        <f>'G MTTS'!AH534</f>
        <v>6</v>
      </c>
      <c r="P538" s="106">
        <f>'G MTTS'!AI534</f>
        <v>5</v>
      </c>
      <c r="Q538" s="107">
        <f>'G MTTS'!AJ534</f>
        <v>13</v>
      </c>
      <c r="R538" s="46">
        <f t="shared" ref="R538:R543" si="47">IF(B538=0," ",TIME(,ROUNDDOWN(N538*Q538/60,0)*5+(N538*Q538),)+B538)</f>
        <v>0.566678240740741</v>
      </c>
      <c r="S538" s="47" t="str">
        <f t="shared" ref="S538:S543" si="48">IFERROR(IF(H538=0," ",IF(H538&lt;=25,"MICRO",IF(H538&lt;=99,"LOW",IF(H538&lt;=499,"MEDIUM",IF(H538&lt;=2500,"HIGH",IF(H538&gt;2500,"SUPER HIGH",)))))),"")</f>
        <v>MICRO</v>
      </c>
    </row>
    <row r="539" ht="29.25" customHeight="1" outlineLevel="1" spans="1:19">
      <c r="A539" s="29"/>
      <c r="B539" s="128">
        <f>'G MTTS'!B535</f>
        <v>0.583344907407407</v>
      </c>
      <c r="C539" s="129" t="str">
        <f>'G MTTS'!L535</f>
        <v>Step 76-M Supremo</v>
      </c>
      <c r="D539" s="120" t="str">
        <f>'G MTTS'!M535</f>
        <v>SAT</v>
      </c>
      <c r="E539" s="101" t="str">
        <f>'G MTTS'!N535</f>
        <v>NLH</v>
      </c>
      <c r="F539" s="102" t="str">
        <f>'G MTTS'!O535</f>
        <v>OFF</v>
      </c>
      <c r="G539" s="103">
        <f>IF('G MTTS'!Q535=0," ",'G MTTS'!Q535*$A$3)</f>
        <v>300</v>
      </c>
      <c r="H539" s="104">
        <f>IF('G MTTS'!V535=0," ",'G MTTS'!V535*A$3)</f>
        <v>3</v>
      </c>
      <c r="I539" s="104">
        <f>IF('G MTTS'!W535=0," ",'G MTTS'!W535*$A$3)</f>
        <v>5</v>
      </c>
      <c r="J539" s="104">
        <f>IF('G MTTS'!Z535=0," ",'G MTTS'!Z535*$A$3)</f>
        <v>5</v>
      </c>
      <c r="K539" s="105">
        <f>'G MTTS'!AF535</f>
        <v>20000</v>
      </c>
      <c r="L539" s="105">
        <f>'G MTTS'!X535</f>
        <v>25000</v>
      </c>
      <c r="M539" s="105">
        <f>'G MTTS'!AA535</f>
        <v>40000</v>
      </c>
      <c r="N539" s="106">
        <f>'G MTTS'!AG535</f>
        <v>7</v>
      </c>
      <c r="O539" s="106">
        <f>'G MTTS'!AH535</f>
        <v>6</v>
      </c>
      <c r="P539" s="106">
        <f>'G MTTS'!AI535</f>
        <v>5</v>
      </c>
      <c r="Q539" s="107">
        <f>'G MTTS'!AJ535</f>
        <v>13</v>
      </c>
      <c r="R539" s="46">
        <f t="shared" si="47"/>
        <v>0.650011574074074</v>
      </c>
      <c r="S539" s="47" t="str">
        <f t="shared" si="48"/>
        <v>MICRO</v>
      </c>
    </row>
    <row r="540" ht="29.25" customHeight="1" outlineLevel="1" spans="1:19">
      <c r="A540" s="29"/>
      <c r="B540" s="128">
        <f>'G MTTS'!B536</f>
        <v>0.666678240740741</v>
      </c>
      <c r="C540" s="129" t="str">
        <f>'G MTTS'!L536</f>
        <v>Step 76-M Supremo</v>
      </c>
      <c r="D540" s="120" t="str">
        <f>'G MTTS'!M536</f>
        <v>SAT</v>
      </c>
      <c r="E540" s="101" t="str">
        <f>'G MTTS'!N536</f>
        <v>NLH</v>
      </c>
      <c r="F540" s="102" t="str">
        <f>'G MTTS'!O536</f>
        <v>OFF</v>
      </c>
      <c r="G540" s="103">
        <f>IF('G MTTS'!Q536=0," ",'G MTTS'!Q536*$A$3)</f>
        <v>300</v>
      </c>
      <c r="H540" s="104">
        <f>IF('G MTTS'!V536=0," ",'G MTTS'!V536*A$3)</f>
        <v>3</v>
      </c>
      <c r="I540" s="104">
        <f>IF('G MTTS'!W536=0," ",'G MTTS'!W536*$A$3)</f>
        <v>5</v>
      </c>
      <c r="J540" s="104">
        <f>IF('G MTTS'!Z536=0," ",'G MTTS'!Z536*$A$3)</f>
        <v>5</v>
      </c>
      <c r="K540" s="105">
        <f>'G MTTS'!AF536</f>
        <v>20000</v>
      </c>
      <c r="L540" s="105">
        <f>'G MTTS'!X536</f>
        <v>25000</v>
      </c>
      <c r="M540" s="105">
        <f>'G MTTS'!AA536</f>
        <v>40000</v>
      </c>
      <c r="N540" s="106">
        <f>'G MTTS'!AG536</f>
        <v>7</v>
      </c>
      <c r="O540" s="106">
        <f>'G MTTS'!AH536</f>
        <v>6</v>
      </c>
      <c r="P540" s="106">
        <f>'G MTTS'!AI536</f>
        <v>5</v>
      </c>
      <c r="Q540" s="107">
        <f>'G MTTS'!AJ536</f>
        <v>13</v>
      </c>
      <c r="R540" s="46">
        <f t="shared" si="47"/>
        <v>0.733344907407407</v>
      </c>
      <c r="S540" s="47" t="str">
        <f t="shared" si="48"/>
        <v>MICRO</v>
      </c>
    </row>
    <row r="541" ht="29.25" customHeight="1" outlineLevel="1" spans="1:19">
      <c r="A541" s="29"/>
      <c r="B541" s="128">
        <f>'G MTTS'!B537</f>
        <v>0.750011574074074</v>
      </c>
      <c r="C541" s="129" t="str">
        <f>'G MTTS'!L537</f>
        <v>Step 76-M Supremo</v>
      </c>
      <c r="D541" s="120" t="str">
        <f>'G MTTS'!M537</f>
        <v>SAT</v>
      </c>
      <c r="E541" s="101" t="str">
        <f>'G MTTS'!N537</f>
        <v>NLH</v>
      </c>
      <c r="F541" s="102" t="str">
        <f>'G MTTS'!O537</f>
        <v>OFF</v>
      </c>
      <c r="G541" s="103">
        <f>IF('G MTTS'!Q537=0," ",'G MTTS'!Q537*$A$3)</f>
        <v>300</v>
      </c>
      <c r="H541" s="104">
        <f>IF('G MTTS'!V537=0," ",'G MTTS'!V537*A$3)</f>
        <v>3</v>
      </c>
      <c r="I541" s="104">
        <f>IF('G MTTS'!W537=0," ",'G MTTS'!W537*$A$3)</f>
        <v>5</v>
      </c>
      <c r="J541" s="104">
        <f>IF('G MTTS'!Z537=0," ",'G MTTS'!Z537*$A$3)</f>
        <v>5</v>
      </c>
      <c r="K541" s="105">
        <f>'G MTTS'!AF537</f>
        <v>20000</v>
      </c>
      <c r="L541" s="105">
        <f>'G MTTS'!X537</f>
        <v>25000</v>
      </c>
      <c r="M541" s="105">
        <f>'G MTTS'!AA537</f>
        <v>40000</v>
      </c>
      <c r="N541" s="106">
        <f>'G MTTS'!AG537</f>
        <v>7</v>
      </c>
      <c r="O541" s="106">
        <f>'G MTTS'!AH537</f>
        <v>6</v>
      </c>
      <c r="P541" s="106">
        <f>'G MTTS'!AI537</f>
        <v>5</v>
      </c>
      <c r="Q541" s="107">
        <f>'G MTTS'!AJ537</f>
        <v>13</v>
      </c>
      <c r="R541" s="46">
        <f t="shared" si="47"/>
        <v>0.816678240740741</v>
      </c>
      <c r="S541" s="47" t="str">
        <f t="shared" si="48"/>
        <v>MICRO</v>
      </c>
    </row>
    <row r="542" ht="29.25" customHeight="1" outlineLevel="1" spans="1:19">
      <c r="A542" s="29"/>
      <c r="B542" s="128">
        <f>'G MTTS'!B538</f>
        <v>0.833344907407407</v>
      </c>
      <c r="C542" s="129" t="str">
        <f>'G MTTS'!L538</f>
        <v>Step 76-M Supremo</v>
      </c>
      <c r="D542" s="120" t="str">
        <f>'G MTTS'!M538</f>
        <v>SAT</v>
      </c>
      <c r="E542" s="101" t="str">
        <f>'G MTTS'!N538</f>
        <v>NLH</v>
      </c>
      <c r="F542" s="102" t="str">
        <f>'G MTTS'!O538</f>
        <v>OFF</v>
      </c>
      <c r="G542" s="103">
        <f>IF('G MTTS'!Q538=0," ",'G MTTS'!Q538*$A$3)</f>
        <v>300</v>
      </c>
      <c r="H542" s="104">
        <f>IF('G MTTS'!V538=0," ",'G MTTS'!V538*A$3)</f>
        <v>3</v>
      </c>
      <c r="I542" s="104">
        <f>IF('G MTTS'!W538=0," ",'G MTTS'!W538*$A$3)</f>
        <v>5</v>
      </c>
      <c r="J542" s="104">
        <f>IF('G MTTS'!Z538=0," ",'G MTTS'!Z538*$A$3)</f>
        <v>5</v>
      </c>
      <c r="K542" s="105">
        <f>'G MTTS'!AF538</f>
        <v>20000</v>
      </c>
      <c r="L542" s="105">
        <f>'G MTTS'!X538</f>
        <v>25000</v>
      </c>
      <c r="M542" s="105">
        <f>'G MTTS'!AA538</f>
        <v>40000</v>
      </c>
      <c r="N542" s="106">
        <f>'G MTTS'!AG538</f>
        <v>7</v>
      </c>
      <c r="O542" s="106">
        <f>'G MTTS'!AH538</f>
        <v>6</v>
      </c>
      <c r="P542" s="106">
        <f>'G MTTS'!AI538</f>
        <v>5</v>
      </c>
      <c r="Q542" s="107">
        <f>'G MTTS'!AJ538</f>
        <v>13</v>
      </c>
      <c r="R542" s="46">
        <f t="shared" si="47"/>
        <v>0.900011574074074</v>
      </c>
      <c r="S542" s="47" t="str">
        <f t="shared" si="48"/>
        <v>MICRO</v>
      </c>
    </row>
    <row r="543" ht="29.25" customHeight="1" outlineLevel="1" spans="1:19">
      <c r="A543" s="124"/>
      <c r="B543" s="125">
        <f>'G MTTS'!B539</f>
        <v>0.916678240740741</v>
      </c>
      <c r="C543" s="126" t="str">
        <f>'G MTTS'!L539</f>
        <v>Step 76-M Supremo</v>
      </c>
      <c r="D543" s="120" t="str">
        <f>'G MTTS'!M539</f>
        <v>SAT</v>
      </c>
      <c r="E543" s="101" t="str">
        <f>'G MTTS'!N539</f>
        <v>NLH</v>
      </c>
      <c r="F543" s="102" t="str">
        <f>'G MTTS'!O539</f>
        <v>OFF</v>
      </c>
      <c r="G543" s="103">
        <f>IF('G MTTS'!Q539=0," ",'G MTTS'!Q539*$A$3)</f>
        <v>300</v>
      </c>
      <c r="H543" s="104">
        <f>IF('G MTTS'!V539=0," ",'G MTTS'!V539*A$3)</f>
        <v>3</v>
      </c>
      <c r="I543" s="104">
        <f>IF('G MTTS'!W539=0," ",'G MTTS'!W539*$A$3)</f>
        <v>5</v>
      </c>
      <c r="J543" s="104">
        <f>IF('G MTTS'!Z539=0," ",'G MTTS'!Z539*$A$3)</f>
        <v>5</v>
      </c>
      <c r="K543" s="105">
        <f>'G MTTS'!AF539</f>
        <v>20000</v>
      </c>
      <c r="L543" s="105">
        <f>'G MTTS'!X539</f>
        <v>25000</v>
      </c>
      <c r="M543" s="105">
        <f>'G MTTS'!AA539</f>
        <v>40000</v>
      </c>
      <c r="N543" s="106">
        <f>'G MTTS'!AG539</f>
        <v>7</v>
      </c>
      <c r="O543" s="106">
        <f>'G MTTS'!AH539</f>
        <v>6</v>
      </c>
      <c r="P543" s="106">
        <f>'G MTTS'!AI539</f>
        <v>5</v>
      </c>
      <c r="Q543" s="107">
        <f>'G MTTS'!AJ539</f>
        <v>13</v>
      </c>
      <c r="R543" s="46">
        <f t="shared" si="47"/>
        <v>0.983344907407407</v>
      </c>
      <c r="S543" s="47" t="str">
        <f t="shared" si="48"/>
        <v>MICRO</v>
      </c>
    </row>
    <row r="544" ht="29.25" customHeight="1" outlineLevel="1" spans="1:19">
      <c r="A544" s="135"/>
      <c r="B544" s="109"/>
      <c r="C544" s="110"/>
      <c r="D544" s="111"/>
      <c r="E544" s="112"/>
      <c r="F544" s="113"/>
      <c r="G544" s="114"/>
      <c r="H544" s="115"/>
      <c r="I544" s="115"/>
      <c r="J544" s="115"/>
      <c r="K544" s="116"/>
      <c r="L544" s="116"/>
      <c r="M544" s="116"/>
      <c r="N544" s="117"/>
      <c r="O544" s="117"/>
      <c r="P544" s="117"/>
      <c r="Q544" s="118"/>
      <c r="R544" s="46"/>
      <c r="S544" s="47"/>
    </row>
    <row r="545" ht="21.75" customHeight="1" spans="1:19">
      <c r="A545" s="33" t="s">
        <v>522</v>
      </c>
      <c r="B545" s="15"/>
      <c r="C545" s="33" t="s">
        <v>522</v>
      </c>
      <c r="G545" s="15"/>
      <c r="H545" s="35" t="s">
        <v>522</v>
      </c>
      <c r="Q545" s="15"/>
      <c r="R545" s="33"/>
      <c r="S545" s="47"/>
    </row>
    <row r="546" ht="29.25" customHeight="1" outlineLevel="1" spans="1:19">
      <c r="A546" s="33" t="s">
        <v>522</v>
      </c>
      <c r="B546" s="36">
        <f>'G MTTS'!B542</f>
        <v>0.583344907407407</v>
      </c>
      <c r="C546" s="37" t="str">
        <f>'G MTTS'!J542</f>
        <v>#AS 20K WarmUp</v>
      </c>
      <c r="D546" s="38" t="str">
        <f>'G MTTS'!M542</f>
        <v>Main Event</v>
      </c>
      <c r="E546" s="39" t="str">
        <f>'G MTTS'!N542</f>
        <v>NLH</v>
      </c>
      <c r="F546" s="40" t="str">
        <f>'G MTTS'!O542</f>
        <v>Progressive KO 1/3</v>
      </c>
      <c r="G546" s="41">
        <f>IF('G MTTS'!Q542=0," ",'G MTTS'!Q542*A$3)</f>
        <v>20000</v>
      </c>
      <c r="H546" s="42">
        <f>IF('G MTTS'!V542=0," ",'G MTTS'!V542*$A$3)</f>
        <v>110</v>
      </c>
      <c r="I546" s="42">
        <f>IF('G MTTS'!W542=0," ",'G MTTS'!W542*$A$3)</f>
        <v>110</v>
      </c>
      <c r="J546" s="42" t="str">
        <f>IF('G MTTS'!Z542=0," ",'G MTTS'!Z542*$A$3)</f>
        <v> </v>
      </c>
      <c r="K546" s="43">
        <f>'G MTTS'!AF542</f>
        <v>50000</v>
      </c>
      <c r="L546" s="43">
        <f>'G MTTS'!X542</f>
        <v>0</v>
      </c>
      <c r="M546" s="43" t="str">
        <f>'G MTTS'!AA542</f>
        <v>REENTRY</v>
      </c>
      <c r="N546" s="44">
        <f>'G MTTS'!AG542</f>
        <v>12</v>
      </c>
      <c r="O546" s="44">
        <f>'G MTTS'!AH542</f>
        <v>10</v>
      </c>
      <c r="P546" s="44">
        <f>'G MTTS'!AI542</f>
        <v>10</v>
      </c>
      <c r="Q546" s="45">
        <f>'G MTTS'!AJ542</f>
        <v>15</v>
      </c>
      <c r="R546" s="46">
        <f t="shared" ref="R546:R631" si="49">IF(B546=0," ",TIME(,ROUNDDOWN(N546*Q546/60,0)*5+(N546*Q546),)+B546)</f>
        <v>0.718761574074074</v>
      </c>
      <c r="S546" s="47" t="str">
        <f t="shared" ref="S546:S553" si="50">IFERROR(IF(H546=0," ",IF(H546&lt;=25,"MICRO",IF(H546&lt;=99,"LOW",IF(H546&lt;=499,"MEDIUM",IF(H546&lt;=2500,"HIGH",IF(H546&gt;2500,"SUPER HIGH",)))))),"")</f>
        <v>MEDIUM</v>
      </c>
    </row>
    <row r="547" ht="29.25" customHeight="1" outlineLevel="1" spans="1:19">
      <c r="A547" s="33" t="s">
        <v>71</v>
      </c>
      <c r="B547" s="36">
        <f>'G MTTS'!B543</f>
        <v>0.625011574074074</v>
      </c>
      <c r="C547" s="48" t="str">
        <f>'G MTTS'!J543</f>
        <v>#AS 20K Plus+SPS</v>
      </c>
      <c r="D547" s="49" t="str">
        <f>'G MTTS'!M543</f>
        <v>Main Event</v>
      </c>
      <c r="E547" s="50" t="str">
        <f>'G MTTS'!N543</f>
        <v>NLH</v>
      </c>
      <c r="F547" s="51" t="str">
        <f>'G MTTS'!O543</f>
        <v>OFF</v>
      </c>
      <c r="G547" s="52">
        <f>IF('G MTTS'!Q543=0," ",'G MTTS'!Q543*A$3)</f>
        <v>21000</v>
      </c>
      <c r="H547" s="53">
        <f>IF('G MTTS'!V543=0," ",'G MTTS'!V543*$A$3)</f>
        <v>15</v>
      </c>
      <c r="I547" s="53">
        <f>IF('G MTTS'!W543=0," ",'G MTTS'!W543*$A$3)</f>
        <v>15</v>
      </c>
      <c r="J547" s="53">
        <f>IF('G MTTS'!Z543=0," ",'G MTTS'!Z543*$A$3)</f>
        <v>20</v>
      </c>
      <c r="K547" s="54">
        <f>'G MTTS'!AF543</f>
        <v>50000</v>
      </c>
      <c r="L547" s="54">
        <f>'G MTTS'!X543</f>
        <v>0</v>
      </c>
      <c r="M547" s="54">
        <f>'G MTTS'!AA543</f>
        <v>200000</v>
      </c>
      <c r="N547" s="55">
        <f>'G MTTS'!AG543</f>
        <v>10</v>
      </c>
      <c r="O547" s="55">
        <f>'G MTTS'!AH543</f>
        <v>8</v>
      </c>
      <c r="P547" s="55">
        <f>'G MTTS'!AI543</f>
        <v>8</v>
      </c>
      <c r="Q547" s="56">
        <f>'G MTTS'!AJ543</f>
        <v>14</v>
      </c>
      <c r="R547" s="46">
        <f t="shared" si="49"/>
        <v>0.729178240740741</v>
      </c>
      <c r="S547" s="47" t="str">
        <f t="shared" si="50"/>
        <v>MICRO</v>
      </c>
    </row>
    <row r="548" ht="29.25" customHeight="1" outlineLevel="1" spans="1:19">
      <c r="A548" s="33">
        <f>COUNTIF(D546:D631,"Side event")</f>
        <v>77</v>
      </c>
      <c r="B548" s="36">
        <f>'G MTTS'!B544</f>
        <v>0.750011574074074</v>
      </c>
      <c r="C548" s="37" t="str">
        <f>'G MTTS'!J544</f>
        <v>#AS 100K Big Plus+SPT</v>
      </c>
      <c r="D548" s="38" t="str">
        <f>'G MTTS'!M544</f>
        <v>Main Event</v>
      </c>
      <c r="E548" s="39" t="str">
        <f>'G MTTS'!N544</f>
        <v>NLH</v>
      </c>
      <c r="F548" s="40" t="str">
        <f>'G MTTS'!O544</f>
        <v>OFF</v>
      </c>
      <c r="G548" s="41">
        <f>IF('G MTTS'!Q544=0," ",'G MTTS'!Q544*A$3)</f>
        <v>108500</v>
      </c>
      <c r="H548" s="42">
        <f>IF('G MTTS'!V544=0," ",'G MTTS'!V544*$A$3)</f>
        <v>40</v>
      </c>
      <c r="I548" s="42">
        <f>IF('G MTTS'!W544=0," ",'G MTTS'!W544*$A$3)</f>
        <v>40</v>
      </c>
      <c r="J548" s="42">
        <f>IF('G MTTS'!Z544=0," ",'G MTTS'!Z544*$A$3)</f>
        <v>50</v>
      </c>
      <c r="K548" s="43">
        <f>'G MTTS'!AF544</f>
        <v>50000</v>
      </c>
      <c r="L548" s="43">
        <f>'G MTTS'!X544</f>
        <v>0</v>
      </c>
      <c r="M548" s="43">
        <f>'G MTTS'!AA544</f>
        <v>250000</v>
      </c>
      <c r="N548" s="44">
        <f>'G MTTS'!AG544</f>
        <v>12</v>
      </c>
      <c r="O548" s="44">
        <f>'G MTTS'!AH544</f>
        <v>10</v>
      </c>
      <c r="P548" s="44">
        <f>'G MTTS'!AI544</f>
        <v>10</v>
      </c>
      <c r="Q548" s="45">
        <f>'G MTTS'!AJ544</f>
        <v>15</v>
      </c>
      <c r="R548" s="46">
        <f t="shared" si="49"/>
        <v>0.885428240740741</v>
      </c>
      <c r="S548" s="47" t="str">
        <f t="shared" si="50"/>
        <v>LOW</v>
      </c>
    </row>
    <row r="549" ht="29.25" customHeight="1" outlineLevel="1" spans="1:19">
      <c r="A549" s="33" t="s">
        <v>56</v>
      </c>
      <c r="B549" s="61">
        <f>'G MTTS'!B545</f>
        <v>0.791678240740741</v>
      </c>
      <c r="C549" s="48" t="str">
        <f>'G MTTS'!J545</f>
        <v>#AS 50K Friday HR</v>
      </c>
      <c r="D549" s="49" t="str">
        <f>'G MTTS'!M545</f>
        <v>Main Event</v>
      </c>
      <c r="E549" s="50" t="str">
        <f>'G MTTS'!N545</f>
        <v>NLH</v>
      </c>
      <c r="F549" s="51" t="str">
        <f>'G MTTS'!O545</f>
        <v>Progressive KO 1/2</v>
      </c>
      <c r="G549" s="52">
        <f>IF('G MTTS'!Q545=0," ",'G MTTS'!Q545*A$3)</f>
        <v>50000</v>
      </c>
      <c r="H549" s="53">
        <f>IF('G MTTS'!V545=0," ",'G MTTS'!V545*$A$3)</f>
        <v>550</v>
      </c>
      <c r="I549" s="53">
        <f>IF('G MTTS'!W545=0," ",'G MTTS'!W545*$A$3)</f>
        <v>550</v>
      </c>
      <c r="J549" s="53" t="str">
        <f>IF('G MTTS'!Z545=0," ",'G MTTS'!Z545*$A$3)</f>
        <v> </v>
      </c>
      <c r="K549" s="54">
        <f>'G MTTS'!AF545</f>
        <v>40000</v>
      </c>
      <c r="L549" s="54">
        <f>'G MTTS'!X545</f>
        <v>0</v>
      </c>
      <c r="M549" s="54" t="str">
        <f>'G MTTS'!AA545</f>
        <v>REENTRY</v>
      </c>
      <c r="N549" s="55">
        <f>'G MTTS'!AG545</f>
        <v>15</v>
      </c>
      <c r="O549" s="55">
        <f>'G MTTS'!AH545</f>
        <v>12</v>
      </c>
      <c r="P549" s="55">
        <f>'G MTTS'!AI545</f>
        <v>12</v>
      </c>
      <c r="Q549" s="56">
        <f>'G MTTS'!AJ545</f>
        <v>13</v>
      </c>
      <c r="R549" s="46">
        <f t="shared" si="49"/>
        <v>0.937511574074074</v>
      </c>
      <c r="S549" s="47" t="str">
        <f t="shared" si="50"/>
        <v>HIGH</v>
      </c>
    </row>
    <row r="550" ht="29.25" customHeight="1" outlineLevel="1" spans="1:19">
      <c r="A550" s="33">
        <f>COUNTIF(D546:D631,"Main Event")</f>
        <v>8</v>
      </c>
      <c r="B550" s="61">
        <f>'G MTTS'!B546</f>
        <v>0.791678240740741</v>
      </c>
      <c r="C550" s="37" t="str">
        <f>'G MTTS'!J546</f>
        <v>#AS 100K Battle HR+SPS</v>
      </c>
      <c r="D550" s="38" t="str">
        <f>'G MTTS'!M546</f>
        <v>Main Event</v>
      </c>
      <c r="E550" s="39" t="str">
        <f>'G MTTS'!N546</f>
        <v>NLH</v>
      </c>
      <c r="F550" s="40" t="str">
        <f>'G MTTS'!O546</f>
        <v>Progressive KO 1/2</v>
      </c>
      <c r="G550" s="41">
        <f>IF('G MTTS'!Q546=0," ",'G MTTS'!Q546*A$3)</f>
        <v>101000</v>
      </c>
      <c r="H550" s="42">
        <f>IF('G MTTS'!V546=0," ",'G MTTS'!V546*$A$3)</f>
        <v>150</v>
      </c>
      <c r="I550" s="42">
        <f>IF('G MTTS'!W546=0," ",'G MTTS'!W546*$A$3)</f>
        <v>150</v>
      </c>
      <c r="J550" s="42" t="str">
        <f>IF('G MTTS'!Z546=0," ",'G MTTS'!Z546*$A$3)</f>
        <v> </v>
      </c>
      <c r="K550" s="43">
        <f>'G MTTS'!AF546</f>
        <v>80000</v>
      </c>
      <c r="L550" s="43">
        <f>'G MTTS'!X546</f>
        <v>0</v>
      </c>
      <c r="M550" s="43" t="str">
        <f>'G MTTS'!AA546</f>
        <v>REENTRY</v>
      </c>
      <c r="N550" s="44">
        <f>'G MTTS'!AG546</f>
        <v>12</v>
      </c>
      <c r="O550" s="44">
        <f>'G MTTS'!AH546</f>
        <v>12</v>
      </c>
      <c r="P550" s="44">
        <f>'G MTTS'!AI546</f>
        <v>12</v>
      </c>
      <c r="Q550" s="45">
        <f>'G MTTS'!AJ546</f>
        <v>15</v>
      </c>
      <c r="R550" s="46">
        <f t="shared" si="49"/>
        <v>0.927094907407407</v>
      </c>
      <c r="S550" s="47" t="str">
        <f t="shared" si="50"/>
        <v>MEDIUM</v>
      </c>
    </row>
    <row r="551" ht="29.25" customHeight="1" outlineLevel="1" spans="1:19">
      <c r="A551" s="57" t="s">
        <v>89</v>
      </c>
      <c r="B551" s="36">
        <f>'G MTTS'!B547</f>
        <v>0.833344907407407</v>
      </c>
      <c r="C551" s="48" t="str">
        <f>'G MTTS'!J547</f>
        <v>#AS 20K Battle</v>
      </c>
      <c r="D551" s="49" t="str">
        <f>'G MTTS'!M547</f>
        <v>Main Event</v>
      </c>
      <c r="E551" s="50" t="str">
        <f>'G MTTS'!N547</f>
        <v>NLH</v>
      </c>
      <c r="F551" s="51" t="str">
        <f>'G MTTS'!O547</f>
        <v>Progressive KO 1/3</v>
      </c>
      <c r="G551" s="52">
        <f>IF('G MTTS'!Q547=0," ",'G MTTS'!Q547*A$3)</f>
        <v>20000</v>
      </c>
      <c r="H551" s="53">
        <f>IF('G MTTS'!V547=0," ",'G MTTS'!V547*$A$3)</f>
        <v>35</v>
      </c>
      <c r="I551" s="53">
        <f>IF('G MTTS'!W547=0," ",'G MTTS'!W547*$A$3)</f>
        <v>35</v>
      </c>
      <c r="J551" s="53" t="str">
        <f>IF('G MTTS'!Z547=0," ",'G MTTS'!Z547*$A$3)</f>
        <v> </v>
      </c>
      <c r="K551" s="54">
        <f>'G MTTS'!AF547</f>
        <v>50000</v>
      </c>
      <c r="L551" s="54">
        <f>'G MTTS'!X547</f>
        <v>0</v>
      </c>
      <c r="M551" s="54" t="str">
        <f>'G MTTS'!AA547</f>
        <v>REENTRY</v>
      </c>
      <c r="N551" s="55">
        <f>'G MTTS'!AG547</f>
        <v>10</v>
      </c>
      <c r="O551" s="55">
        <f>'G MTTS'!AH547</f>
        <v>10</v>
      </c>
      <c r="P551" s="55">
        <f>'G MTTS'!AI547</f>
        <v>10</v>
      </c>
      <c r="Q551" s="56">
        <f>'G MTTS'!AJ547</f>
        <v>15</v>
      </c>
      <c r="R551" s="46">
        <f t="shared" si="49"/>
        <v>0.944456018518518</v>
      </c>
      <c r="S551" s="47" t="str">
        <f t="shared" si="50"/>
        <v>LOW</v>
      </c>
    </row>
    <row r="552" ht="29.25" customHeight="1" outlineLevel="1" spans="1:19">
      <c r="A552" s="58">
        <f>SUM(G546:G631,G634:G690)</f>
        <v>729875</v>
      </c>
      <c r="B552" s="36">
        <f>'G MTTS'!B548</f>
        <v>0.833344907407407</v>
      </c>
      <c r="C552" s="37" t="str">
        <f>'G MTTS'!J548</f>
        <v>#AS 35K OmaX HR</v>
      </c>
      <c r="D552" s="38" t="str">
        <f>'G MTTS'!M548</f>
        <v>Main Event</v>
      </c>
      <c r="E552" s="39" t="str">
        <f>'G MTTS'!N548</f>
        <v>PLO5</v>
      </c>
      <c r="F552" s="40" t="str">
        <f>'G MTTS'!O548</f>
        <v>Progressive KO 1/2</v>
      </c>
      <c r="G552" s="41">
        <f>IF('G MTTS'!Q548=0," ",'G MTTS'!Q548*A$3)</f>
        <v>35000</v>
      </c>
      <c r="H552" s="42">
        <f>IF('G MTTS'!V548=0," ",'G MTTS'!V548*$A$3)</f>
        <v>350</v>
      </c>
      <c r="I552" s="42">
        <f>IF('G MTTS'!W548=0," ",'G MTTS'!W548*$A$3)</f>
        <v>350</v>
      </c>
      <c r="J552" s="42" t="str">
        <f>IF('G MTTS'!Z548=0," ",'G MTTS'!Z548*$A$3)</f>
        <v> </v>
      </c>
      <c r="K552" s="43">
        <f>'G MTTS'!AF548</f>
        <v>40000</v>
      </c>
      <c r="L552" s="43">
        <f>'G MTTS'!X548</f>
        <v>60000</v>
      </c>
      <c r="M552" s="43" t="str">
        <f>'G MTTS'!AA548</f>
        <v>REENTRY</v>
      </c>
      <c r="N552" s="44">
        <f>'G MTTS'!AG548</f>
        <v>12</v>
      </c>
      <c r="O552" s="44">
        <f>'G MTTS'!AH548</f>
        <v>10</v>
      </c>
      <c r="P552" s="44">
        <f>'G MTTS'!AI548</f>
        <v>10</v>
      </c>
      <c r="Q552" s="45">
        <f>'G MTTS'!AJ548</f>
        <v>15</v>
      </c>
      <c r="R552" s="46">
        <f t="shared" si="49"/>
        <v>0.968761574074074</v>
      </c>
      <c r="S552" s="47" t="str">
        <f t="shared" si="50"/>
        <v>MEDIUM</v>
      </c>
    </row>
    <row r="553" ht="29.25" customHeight="1" outlineLevel="1" spans="1:19">
      <c r="A553" s="60" t="s">
        <v>522</v>
      </c>
      <c r="B553" s="36">
        <f>'G MTTS'!B549</f>
        <v>0.875011574074074</v>
      </c>
      <c r="C553" s="48" t="str">
        <f>'G MTTS'!J549</f>
        <v>#AS 30K Big Mystery+SPS</v>
      </c>
      <c r="D553" s="49" t="str">
        <f>'G MTTS'!M549</f>
        <v>Main Event</v>
      </c>
      <c r="E553" s="50" t="str">
        <f>'G MTTS'!N549</f>
        <v>NLH</v>
      </c>
      <c r="F553" s="51" t="str">
        <f>'G MTTS'!O549</f>
        <v>Mystery Bounty 1/2</v>
      </c>
      <c r="G553" s="52">
        <f>IF('G MTTS'!Q549=0," ",'G MTTS'!Q549*A$3)</f>
        <v>31000</v>
      </c>
      <c r="H553" s="53">
        <f>IF('G MTTS'!V549=0," ",'G MTTS'!V549*$A$3)</f>
        <v>75</v>
      </c>
      <c r="I553" s="53">
        <f>IF('G MTTS'!W549=0," ",'G MTTS'!W549*$A$3)</f>
        <v>75</v>
      </c>
      <c r="J553" s="53" t="str">
        <f>IF('G MTTS'!Z549=0," ",'G MTTS'!Z549*$A$3)</f>
        <v> </v>
      </c>
      <c r="K553" s="54">
        <f>'G MTTS'!AF549</f>
        <v>60000</v>
      </c>
      <c r="L553" s="54">
        <f>'G MTTS'!X549</f>
        <v>0</v>
      </c>
      <c r="M553" s="54" t="str">
        <f>'G MTTS'!AA549</f>
        <v>REENTRY</v>
      </c>
      <c r="N553" s="55">
        <f>'G MTTS'!AG549</f>
        <v>10</v>
      </c>
      <c r="O553" s="55">
        <f>'G MTTS'!AH549</f>
        <v>8</v>
      </c>
      <c r="P553" s="55">
        <f>'G MTTS'!AI549</f>
        <v>8</v>
      </c>
      <c r="Q553" s="56">
        <f>'G MTTS'!AJ549</f>
        <v>14</v>
      </c>
      <c r="R553" s="46">
        <f t="shared" si="49"/>
        <v>0.979178240740741</v>
      </c>
      <c r="S553" s="47" t="str">
        <f t="shared" si="50"/>
        <v>LOW</v>
      </c>
    </row>
    <row r="554" ht="29.25" customHeight="1" outlineLevel="1" spans="1:19">
      <c r="B554" s="62">
        <f>'G MTTS'!B550</f>
        <v>0</v>
      </c>
      <c r="C554" s="110">
        <f>'G MTTS'!J550</f>
        <v>0</v>
      </c>
      <c r="D554" s="111">
        <f>'G MTTS'!M550</f>
        <v>0</v>
      </c>
      <c r="E554" s="112">
        <f>'G MTTS'!N550</f>
        <v>0</v>
      </c>
      <c r="F554" s="113">
        <f>'G MTTS'!O550</f>
        <v>0</v>
      </c>
      <c r="G554" s="114" t="str">
        <f>IF('G MTTS'!Q550=0," ",'G MTTS'!Q550*5)</f>
        <v> </v>
      </c>
      <c r="H554" s="115" t="str">
        <f>IF('G MTTS'!V550=0," ",'G MTTS'!V550*5)</f>
        <v> </v>
      </c>
      <c r="I554" s="115" t="str">
        <f>IF('G MTTS'!W550=0," ",'G MTTS'!W550*5)</f>
        <v> </v>
      </c>
      <c r="J554" s="115" t="str">
        <f>IF('G MTTS'!Z550=0," ",'G MTTS'!Z550*5)</f>
        <v> </v>
      </c>
      <c r="K554" s="116">
        <f>'G MTTS'!AF550</f>
        <v>0</v>
      </c>
      <c r="L554" s="116">
        <f>'G MTTS'!X550</f>
        <v>0</v>
      </c>
      <c r="M554" s="116">
        <f>'G MTTS'!AA550</f>
        <v>0</v>
      </c>
      <c r="N554" s="174">
        <f>'G MTTS'!AG550</f>
        <v>0</v>
      </c>
      <c r="O554" s="175">
        <f>'G MTTS'!AH550</f>
        <v>0</v>
      </c>
      <c r="P554" s="176">
        <f>'G MTTS'!AI550</f>
        <v>0</v>
      </c>
      <c r="Q554" s="177">
        <f>'G MTTS'!AJ550</f>
        <v>0</v>
      </c>
      <c r="R554" s="46" t="str">
        <f t="shared" si="49"/>
        <v> </v>
      </c>
      <c r="S554" s="47"/>
    </row>
    <row r="555" ht="29.25" customHeight="1" outlineLevel="1" spans="1:19">
      <c r="B555" s="36">
        <f>'G MTTS'!B551</f>
        <v>1.15740740740741e-5</v>
      </c>
      <c r="C555" s="48" t="str">
        <f>'G MTTS'!J551</f>
        <v>#AS 8K Sonic</v>
      </c>
      <c r="D555" s="49" t="str">
        <f>'G MTTS'!M551</f>
        <v>Side Event</v>
      </c>
      <c r="E555" s="50" t="str">
        <f>'G MTTS'!N551</f>
        <v>NLH</v>
      </c>
      <c r="F555" s="51" t="str">
        <f>'G MTTS'!O551</f>
        <v>OFF</v>
      </c>
      <c r="G555" s="52">
        <f>IF('G MTTS'!Q551=0," ",'G MTTS'!Q551*A$3)</f>
        <v>8000</v>
      </c>
      <c r="H555" s="53">
        <f>IF('G MTTS'!V551=0," ",'G MTTS'!V551*$A$3)</f>
        <v>35</v>
      </c>
      <c r="I555" s="53">
        <f>IF('G MTTS'!W551=0," ",'G MTTS'!W551*$A$3)</f>
        <v>35</v>
      </c>
      <c r="J555" s="53" t="str">
        <f>IF('G MTTS'!Z551=0," ",'G MTTS'!Z551*$A$3)</f>
        <v> </v>
      </c>
      <c r="K555" s="54">
        <f>'G MTTS'!AF551</f>
        <v>50000</v>
      </c>
      <c r="L555" s="54">
        <f>'G MTTS'!X551</f>
        <v>0</v>
      </c>
      <c r="M555" s="54" t="str">
        <f>'G MTTS'!AA551</f>
        <v>REENTRY</v>
      </c>
      <c r="N555" s="55">
        <f>'G MTTS'!AG551</f>
        <v>6</v>
      </c>
      <c r="O555" s="55">
        <f>'G MTTS'!AH551</f>
        <v>5</v>
      </c>
      <c r="P555" s="55">
        <f>'G MTTS'!AI551</f>
        <v>5</v>
      </c>
      <c r="Q555" s="56">
        <f>'G MTTS'!AJ551</f>
        <v>13</v>
      </c>
      <c r="R555" s="46">
        <f t="shared" si="49"/>
        <v>0.057650462962963</v>
      </c>
      <c r="S555" s="47" t="str">
        <f t="shared" ref="S555:S634" si="51">IFERROR(IF(H555=0," ",IF(H555&lt;=25,"MICRO",IF(H555&lt;=99,"LOW",IF(H555&lt;=499,"MEDIUM",IF(H555&lt;=2500,"HIGH",IF(H555&gt;2500,"SUPER HIGH",)))))),"")</f>
        <v>LOW</v>
      </c>
    </row>
    <row r="556" ht="29.25" customHeight="1" outlineLevel="1" spans="1:19">
      <c r="A556" s="60" t="s">
        <v>522</v>
      </c>
      <c r="B556" s="36">
        <f>'G MTTS'!B552</f>
        <v>1.15740740740741e-5</v>
      </c>
      <c r="C556" s="37" t="str">
        <f>'G MTTS'!J552</f>
        <v>1.5K Omax K.O</v>
      </c>
      <c r="D556" s="38" t="str">
        <f>'G MTTS'!M552</f>
        <v>Side Event</v>
      </c>
      <c r="E556" s="39" t="str">
        <f>'G MTTS'!N552</f>
        <v>PLO5</v>
      </c>
      <c r="F556" s="40" t="str">
        <f>'G MTTS'!O552</f>
        <v>Regular KO 1/3</v>
      </c>
      <c r="G556" s="41">
        <f>IF('G MTTS'!Q552=0," ",'G MTTS'!Q552*A$3)</f>
        <v>1500</v>
      </c>
      <c r="H556" s="42">
        <f>IF('G MTTS'!V552=0," ",'G MTTS'!V552*$A$3)</f>
        <v>10</v>
      </c>
      <c r="I556" s="42">
        <f>IF('G MTTS'!W552=0," ",'G MTTS'!W552*$A$3)</f>
        <v>10</v>
      </c>
      <c r="J556" s="42" t="str">
        <f>IF('G MTTS'!Z552=0," ",'G MTTS'!Z552*$A$3)</f>
        <v> </v>
      </c>
      <c r="K556" s="43">
        <f>'G MTTS'!AF552</f>
        <v>60000</v>
      </c>
      <c r="L556" s="43">
        <f>'G MTTS'!X552</f>
        <v>0</v>
      </c>
      <c r="M556" s="43" t="str">
        <f>'G MTTS'!AA552</f>
        <v>REENTRY</v>
      </c>
      <c r="N556" s="44">
        <f>'G MTTS'!AG552</f>
        <v>6</v>
      </c>
      <c r="O556" s="44">
        <f>'G MTTS'!AH552</f>
        <v>5</v>
      </c>
      <c r="P556" s="44">
        <f>'G MTTS'!AI552</f>
        <v>5</v>
      </c>
      <c r="Q556" s="45">
        <f>'G MTTS'!AJ552</f>
        <v>12</v>
      </c>
      <c r="R556" s="46">
        <f t="shared" si="49"/>
        <v>0.0534837962962963</v>
      </c>
      <c r="S556" s="47" t="str">
        <f t="shared" si="51"/>
        <v>MICRO</v>
      </c>
    </row>
    <row r="557" ht="29.25" customHeight="1" outlineLevel="1" spans="1:19">
      <c r="B557" s="36">
        <f>'G MTTS'!B553</f>
        <v>0.013900462962963</v>
      </c>
      <c r="C557" s="48" t="str">
        <f>'G MTTS'!J553</f>
        <v>600 Battle Turbo</v>
      </c>
      <c r="D557" s="49" t="str">
        <f>'G MTTS'!M553</f>
        <v>Side Event</v>
      </c>
      <c r="E557" s="50" t="str">
        <f>'G MTTS'!N553</f>
        <v>NLH</v>
      </c>
      <c r="F557" s="51" t="str">
        <f>'G MTTS'!O553</f>
        <v>Regular KO 1/3</v>
      </c>
      <c r="G557" s="52">
        <f>IF('G MTTS'!Q553=0," ",'G MTTS'!Q553*A$3)</f>
        <v>600</v>
      </c>
      <c r="H557" s="53">
        <f>IF('G MTTS'!V553=0," ",'G MTTS'!V553*$A$3)</f>
        <v>5</v>
      </c>
      <c r="I557" s="53">
        <f>IF('G MTTS'!W553=0," ",'G MTTS'!W553*$A$3)</f>
        <v>5</v>
      </c>
      <c r="J557" s="53" t="str">
        <f>IF('G MTTS'!Z553=0," ",'G MTTS'!Z553*$A$3)</f>
        <v> </v>
      </c>
      <c r="K557" s="54">
        <f>'G MTTS'!AF553</f>
        <v>30000</v>
      </c>
      <c r="L557" s="54">
        <f>'G MTTS'!X553</f>
        <v>0</v>
      </c>
      <c r="M557" s="54" t="str">
        <f>'G MTTS'!AA553</f>
        <v>REENTRY</v>
      </c>
      <c r="N557" s="55">
        <f>'G MTTS'!AG553</f>
        <v>5</v>
      </c>
      <c r="O557" s="55">
        <f>'G MTTS'!AH553</f>
        <v>5</v>
      </c>
      <c r="P557" s="55">
        <f>'G MTTS'!AI553</f>
        <v>5</v>
      </c>
      <c r="Q557" s="56">
        <f>'G MTTS'!AJ553</f>
        <v>13</v>
      </c>
      <c r="R557" s="46">
        <f t="shared" si="49"/>
        <v>0.0625115740740741</v>
      </c>
      <c r="S557" s="47" t="str">
        <f t="shared" si="51"/>
        <v>MICRO</v>
      </c>
    </row>
    <row r="558" ht="29.25" customHeight="1" outlineLevel="1" spans="1:19">
      <c r="B558" s="36">
        <f>'G MTTS'!B554</f>
        <v>0.0208449074074074</v>
      </c>
      <c r="C558" s="37" t="str">
        <f>'G MTTS'!J554</f>
        <v>#AS 3K Plus Turbo</v>
      </c>
      <c r="D558" s="38" t="str">
        <f>'G MTTS'!M554</f>
        <v>Side Event</v>
      </c>
      <c r="E558" s="39" t="str">
        <f>'G MTTS'!N554</f>
        <v>NLH</v>
      </c>
      <c r="F558" s="40" t="str">
        <f>'G MTTS'!O554</f>
        <v>OFF</v>
      </c>
      <c r="G558" s="41">
        <f>IF('G MTTS'!Q554=0," ",'G MTTS'!Q554*A$3)</f>
        <v>3000</v>
      </c>
      <c r="H558" s="42">
        <f>IF('G MTTS'!V554=0," ",'G MTTS'!V554*$A$3)</f>
        <v>6</v>
      </c>
      <c r="I558" s="42">
        <f>IF('G MTTS'!W554=0," ",'G MTTS'!W554*$A$3)</f>
        <v>6</v>
      </c>
      <c r="J558" s="42">
        <f>IF('G MTTS'!Z554=0," ",'G MTTS'!Z554*$A$3)</f>
        <v>6</v>
      </c>
      <c r="K558" s="43">
        <f>'G MTTS'!AF554</f>
        <v>30000</v>
      </c>
      <c r="L558" s="43">
        <f>'G MTTS'!X554</f>
        <v>0</v>
      </c>
      <c r="M558" s="43">
        <f>'G MTTS'!AA554</f>
        <v>60000</v>
      </c>
      <c r="N558" s="44">
        <f>'G MTTS'!AG554</f>
        <v>5</v>
      </c>
      <c r="O558" s="44">
        <f>'G MTTS'!AH554</f>
        <v>5</v>
      </c>
      <c r="P558" s="44">
        <f>'G MTTS'!AI554</f>
        <v>5</v>
      </c>
      <c r="Q558" s="45">
        <f>'G MTTS'!AJ554</f>
        <v>13</v>
      </c>
      <c r="R558" s="46">
        <f t="shared" si="49"/>
        <v>0.0694560185185185</v>
      </c>
      <c r="S558" s="47" t="str">
        <f t="shared" si="51"/>
        <v>MICRO</v>
      </c>
    </row>
    <row r="559" ht="29.25" customHeight="1" outlineLevel="1" spans="1:19">
      <c r="A559" s="60" t="s">
        <v>522</v>
      </c>
      <c r="B559" s="36">
        <f>'G MTTS'!B555</f>
        <v>0.0208449074074074</v>
      </c>
      <c r="C559" s="48" t="str">
        <f>'G MTTS'!J555</f>
        <v>#AS 1.2K Omax</v>
      </c>
      <c r="D559" s="49" t="str">
        <f>'G MTTS'!M555</f>
        <v>Side Event</v>
      </c>
      <c r="E559" s="50" t="str">
        <f>'G MTTS'!N555</f>
        <v>PLO5</v>
      </c>
      <c r="F559" s="51" t="str">
        <f>'G MTTS'!O555</f>
        <v>OFF</v>
      </c>
      <c r="G559" s="52">
        <f>IF('G MTTS'!Q555=0," ",'G MTTS'!Q555*A$3)</f>
        <v>1200</v>
      </c>
      <c r="H559" s="53">
        <f>IF('G MTTS'!V555=0," ",'G MTTS'!V555*$A$3)</f>
        <v>5</v>
      </c>
      <c r="I559" s="53">
        <f>IF('G MTTS'!W555=0," ",'G MTTS'!W555*$A$3)</f>
        <v>5</v>
      </c>
      <c r="J559" s="53">
        <f>IF('G MTTS'!Z555=0," ",'G MTTS'!Z555*$A$3)</f>
        <v>5</v>
      </c>
      <c r="K559" s="54">
        <f>'G MTTS'!AF555</f>
        <v>30000</v>
      </c>
      <c r="L559" s="54">
        <f>'G MTTS'!X555</f>
        <v>0</v>
      </c>
      <c r="M559" s="54">
        <f>'G MTTS'!AA555</f>
        <v>70000</v>
      </c>
      <c r="N559" s="55">
        <f>'G MTTS'!AG555</f>
        <v>6</v>
      </c>
      <c r="O559" s="55">
        <f>'G MTTS'!AH555</f>
        <v>5</v>
      </c>
      <c r="P559" s="55">
        <f>'G MTTS'!AI555</f>
        <v>5</v>
      </c>
      <c r="Q559" s="56">
        <f>'G MTTS'!AJ555</f>
        <v>12</v>
      </c>
      <c r="R559" s="46">
        <f t="shared" si="49"/>
        <v>0.0743171296296296</v>
      </c>
      <c r="S559" s="47" t="str">
        <f t="shared" si="51"/>
        <v>MICRO</v>
      </c>
    </row>
    <row r="560" ht="29.25" customHeight="1" outlineLevel="1" spans="1:19">
      <c r="B560" s="36">
        <f>'G MTTS'!B556</f>
        <v>0.0416782407407407</v>
      </c>
      <c r="C560" s="37" t="str">
        <f>'G MTTS'!J556</f>
        <v>#AS 10K Plus+SPS</v>
      </c>
      <c r="D560" s="38" t="str">
        <f>'G MTTS'!M556</f>
        <v>Side Event</v>
      </c>
      <c r="E560" s="39" t="str">
        <f>'G MTTS'!N556</f>
        <v>NLH</v>
      </c>
      <c r="F560" s="40" t="str">
        <f>'G MTTS'!O556</f>
        <v>OFF</v>
      </c>
      <c r="G560" s="41">
        <f>IF('G MTTS'!Q556=0," ",'G MTTS'!Q556*A$3)</f>
        <v>11000</v>
      </c>
      <c r="H560" s="42">
        <f>IF('G MTTS'!V556=0," ",'G MTTS'!V556*$A$3)</f>
        <v>15</v>
      </c>
      <c r="I560" s="42">
        <f>IF('G MTTS'!W556=0," ",'G MTTS'!W556*$A$3)</f>
        <v>15</v>
      </c>
      <c r="J560" s="42">
        <f>IF('G MTTS'!Z556=0," ",'G MTTS'!Z556*$A$3)</f>
        <v>15</v>
      </c>
      <c r="K560" s="43">
        <f>'G MTTS'!AF556</f>
        <v>40000</v>
      </c>
      <c r="L560" s="43">
        <f>'G MTTS'!X556</f>
        <v>0</v>
      </c>
      <c r="M560" s="43">
        <f>'G MTTS'!AA556</f>
        <v>100000</v>
      </c>
      <c r="N560" s="44">
        <f>'G MTTS'!AG556</f>
        <v>6</v>
      </c>
      <c r="O560" s="44">
        <f>'G MTTS'!AH556</f>
        <v>5</v>
      </c>
      <c r="P560" s="44">
        <f>'G MTTS'!AI556</f>
        <v>5</v>
      </c>
      <c r="Q560" s="45">
        <f>'G MTTS'!AJ556</f>
        <v>13</v>
      </c>
      <c r="R560" s="46">
        <f t="shared" si="49"/>
        <v>0.0993171296296296</v>
      </c>
      <c r="S560" s="47" t="str">
        <f t="shared" si="51"/>
        <v>MICRO</v>
      </c>
    </row>
    <row r="561" ht="29.25" customHeight="1" outlineLevel="1" spans="1:19">
      <c r="B561" s="36">
        <f>'G MTTS'!B557</f>
        <v>0.0416782407407407</v>
      </c>
      <c r="C561" s="48" t="str">
        <f>'G MTTS'!J557</f>
        <v>#AS 2K Omax K.O</v>
      </c>
      <c r="D561" s="49" t="str">
        <f>'G MTTS'!M557</f>
        <v>Side Event</v>
      </c>
      <c r="E561" s="50" t="str">
        <f>'G MTTS'!N557</f>
        <v>PLO4</v>
      </c>
      <c r="F561" s="51" t="str">
        <f>'G MTTS'!O557</f>
        <v>Regular KO 1/3</v>
      </c>
      <c r="G561" s="52">
        <f>IF('G MTTS'!Q557=0," ",'G MTTS'!Q557*A$3)</f>
        <v>2000</v>
      </c>
      <c r="H561" s="53">
        <f>IF('G MTTS'!V557=0," ",'G MTTS'!V557*$A$3)</f>
        <v>50</v>
      </c>
      <c r="I561" s="53">
        <f>IF('G MTTS'!W557=0," ",'G MTTS'!W557*$A$3)</f>
        <v>50</v>
      </c>
      <c r="J561" s="53" t="str">
        <f>IF('G MTTS'!Z557=0," ",'G MTTS'!Z557*$A$3)</f>
        <v> </v>
      </c>
      <c r="K561" s="54">
        <f>'G MTTS'!AF557</f>
        <v>40000</v>
      </c>
      <c r="L561" s="54">
        <f>'G MTTS'!X557</f>
        <v>0</v>
      </c>
      <c r="M561" s="54" t="str">
        <f>'G MTTS'!AA557</f>
        <v>REENTRY</v>
      </c>
      <c r="N561" s="55">
        <f>'G MTTS'!AG557</f>
        <v>7</v>
      </c>
      <c r="O561" s="55">
        <f>'G MTTS'!AH557</f>
        <v>6</v>
      </c>
      <c r="P561" s="55">
        <f>'G MTTS'!AI557</f>
        <v>6</v>
      </c>
      <c r="Q561" s="56">
        <f>'G MTTS'!AJ557</f>
        <v>14</v>
      </c>
      <c r="R561" s="46">
        <f t="shared" si="49"/>
        <v>0.113206018518519</v>
      </c>
      <c r="S561" s="47" t="str">
        <f t="shared" si="51"/>
        <v>LOW</v>
      </c>
    </row>
    <row r="562" ht="29.25" customHeight="1" outlineLevel="1" spans="1:19">
      <c r="A562" s="60" t="s">
        <v>522</v>
      </c>
      <c r="B562" s="36">
        <f>'G MTTS'!B558</f>
        <v>0.0625115740740741</v>
      </c>
      <c r="C562" s="37" t="str">
        <f>'G MTTS'!J558</f>
        <v>500 Omax PKO</v>
      </c>
      <c r="D562" s="38" t="str">
        <f>'G MTTS'!M558</f>
        <v>Side Event</v>
      </c>
      <c r="E562" s="39" t="str">
        <f>'G MTTS'!N558</f>
        <v>PLO5</v>
      </c>
      <c r="F562" s="40" t="str">
        <f>'G MTTS'!O558</f>
        <v>Progressive KO 1/2</v>
      </c>
      <c r="G562" s="41">
        <f>IF('G MTTS'!Q558=0," ",'G MTTS'!Q558*A$3)</f>
        <v>500</v>
      </c>
      <c r="H562" s="42">
        <f>IF('G MTTS'!V558=0," ",'G MTTS'!V558*$A$3)</f>
        <v>3</v>
      </c>
      <c r="I562" s="42">
        <f>IF('G MTTS'!W558=0," ",'G MTTS'!W558*$A$3)</f>
        <v>3</v>
      </c>
      <c r="J562" s="42" t="str">
        <f>IF('G MTTS'!Z558=0," ",'G MTTS'!Z558*$A$3)</f>
        <v> </v>
      </c>
      <c r="K562" s="43">
        <f>'G MTTS'!AF558</f>
        <v>30000</v>
      </c>
      <c r="L562" s="43">
        <f>'G MTTS'!X558</f>
        <v>0</v>
      </c>
      <c r="M562" s="43" t="str">
        <f>'G MTTS'!AA558</f>
        <v>REENTRY</v>
      </c>
      <c r="N562" s="44">
        <f>'G MTTS'!AG558</f>
        <v>5</v>
      </c>
      <c r="O562" s="44">
        <f>'G MTTS'!AH558</f>
        <v>5</v>
      </c>
      <c r="P562" s="44">
        <f>'G MTTS'!AI558</f>
        <v>5</v>
      </c>
      <c r="Q562" s="45">
        <f>'G MTTS'!AJ558</f>
        <v>13</v>
      </c>
      <c r="R562" s="46">
        <f t="shared" si="49"/>
        <v>0.111122685185185</v>
      </c>
      <c r="S562" s="47" t="str">
        <f t="shared" si="51"/>
        <v>MICRO</v>
      </c>
    </row>
    <row r="563" ht="29.25" customHeight="1" outlineLevel="1" spans="1:19">
      <c r="B563" s="36">
        <f>'G MTTS'!B559</f>
        <v>0.0833449074074074</v>
      </c>
      <c r="C563" s="48" t="str">
        <f>'G MTTS'!J559</f>
        <v>#AS 4K Battle</v>
      </c>
      <c r="D563" s="49" t="str">
        <f>'G MTTS'!M559</f>
        <v>Side Event</v>
      </c>
      <c r="E563" s="50" t="str">
        <f>'G MTTS'!N559</f>
        <v>NLH</v>
      </c>
      <c r="F563" s="51" t="str">
        <f>'G MTTS'!O559</f>
        <v>Progressive KO 1/2</v>
      </c>
      <c r="G563" s="52">
        <f>IF('G MTTS'!Q559=0," ",'G MTTS'!Q559*A$3)</f>
        <v>4000</v>
      </c>
      <c r="H563" s="53">
        <f>IF('G MTTS'!V559=0," ",'G MTTS'!V559*$A$3)</f>
        <v>35</v>
      </c>
      <c r="I563" s="53">
        <f>IF('G MTTS'!W559=0," ",'G MTTS'!W559*$A$3)</f>
        <v>35</v>
      </c>
      <c r="J563" s="53" t="str">
        <f>IF('G MTTS'!Z559=0," ",'G MTTS'!Z559*$A$3)</f>
        <v> </v>
      </c>
      <c r="K563" s="54">
        <f>'G MTTS'!AF559</f>
        <v>40000</v>
      </c>
      <c r="L563" s="54">
        <f>'G MTTS'!X559</f>
        <v>0</v>
      </c>
      <c r="M563" s="54" t="str">
        <f>'G MTTS'!AA559</f>
        <v>REENTRY</v>
      </c>
      <c r="N563" s="55">
        <f>'G MTTS'!AG559</f>
        <v>6</v>
      </c>
      <c r="O563" s="55">
        <f>'G MTTS'!AH559</f>
        <v>5</v>
      </c>
      <c r="P563" s="55">
        <f>'G MTTS'!AI559</f>
        <v>5</v>
      </c>
      <c r="Q563" s="56">
        <f>'G MTTS'!AJ559</f>
        <v>13</v>
      </c>
      <c r="R563" s="46">
        <f t="shared" si="49"/>
        <v>0.140983796296296</v>
      </c>
      <c r="S563" s="47" t="str">
        <f t="shared" si="51"/>
        <v>LOW</v>
      </c>
    </row>
    <row r="564" ht="29.25" customHeight="1" outlineLevel="1" spans="1:19">
      <c r="B564" s="36">
        <f>'G MTTS'!B560</f>
        <v>0.0833449074074074</v>
      </c>
      <c r="C564" s="37" t="str">
        <f>'G MTTS'!J560</f>
        <v>#AS 2K Omax PKO</v>
      </c>
      <c r="D564" s="38" t="str">
        <f>'G MTTS'!M560</f>
        <v>Side Event</v>
      </c>
      <c r="E564" s="39" t="str">
        <f>'G MTTS'!N560</f>
        <v>PLO5</v>
      </c>
      <c r="F564" s="40" t="str">
        <f>'G MTTS'!O560</f>
        <v>Progressive KO 1/2</v>
      </c>
      <c r="G564" s="41">
        <f>IF('G MTTS'!Q560=0," ",'G MTTS'!Q560*A$3)</f>
        <v>2000</v>
      </c>
      <c r="H564" s="42">
        <f>IF('G MTTS'!V560=0," ",'G MTTS'!V560*$A$3)</f>
        <v>30</v>
      </c>
      <c r="I564" s="42">
        <f>IF('G MTTS'!W560=0," ",'G MTTS'!W560*$A$3)</f>
        <v>30</v>
      </c>
      <c r="J564" s="42" t="str">
        <f>IF('G MTTS'!Z560=0," ",'G MTTS'!Z560*$A$3)</f>
        <v> </v>
      </c>
      <c r="K564" s="43">
        <f>'G MTTS'!AF560</f>
        <v>50000</v>
      </c>
      <c r="L564" s="43">
        <f>'G MTTS'!X560</f>
        <v>0</v>
      </c>
      <c r="M564" s="43" t="str">
        <f>'G MTTS'!AA560</f>
        <v>REENTRY</v>
      </c>
      <c r="N564" s="44">
        <f>'G MTTS'!AG560</f>
        <v>6</v>
      </c>
      <c r="O564" s="44">
        <f>'G MTTS'!AH560</f>
        <v>5</v>
      </c>
      <c r="P564" s="44">
        <f>'G MTTS'!AI560</f>
        <v>5</v>
      </c>
      <c r="Q564" s="45">
        <f>'G MTTS'!AJ560</f>
        <v>15</v>
      </c>
      <c r="R564" s="46">
        <f t="shared" si="49"/>
        <v>0.14931712962963</v>
      </c>
      <c r="S564" s="47" t="str">
        <f t="shared" si="51"/>
        <v>LOW</v>
      </c>
    </row>
    <row r="565" ht="29.25" customHeight="1" outlineLevel="1" spans="1:19">
      <c r="A565" s="60" t="s">
        <v>522</v>
      </c>
      <c r="B565" s="36">
        <f>'G MTTS'!B561</f>
        <v>0.104178240740741</v>
      </c>
      <c r="C565" s="178" t="str">
        <f>'G MTTS'!J561</f>
        <v>1.5K Plus</v>
      </c>
      <c r="D565" s="49" t="str">
        <f>'G MTTS'!M561</f>
        <v>Side Event</v>
      </c>
      <c r="E565" s="50" t="str">
        <f>'G MTTS'!N561</f>
        <v>NLH</v>
      </c>
      <c r="F565" s="51" t="str">
        <f>'G MTTS'!O561</f>
        <v>OFF</v>
      </c>
      <c r="G565" s="52">
        <f>IF('G MTTS'!Q561=0," ",'G MTTS'!Q561*A$3)</f>
        <v>1500</v>
      </c>
      <c r="H565" s="53">
        <f>IF('G MTTS'!V561=0," ",'G MTTS'!V561*$A$3)</f>
        <v>3</v>
      </c>
      <c r="I565" s="53">
        <f>IF('G MTTS'!W561=0," ",'G MTTS'!W561*$A$3)</f>
        <v>3</v>
      </c>
      <c r="J565" s="53">
        <f>IF('G MTTS'!Z561=0," ",'G MTTS'!Z561*$A$3)</f>
        <v>4</v>
      </c>
      <c r="K565" s="54">
        <f>'G MTTS'!AF561</f>
        <v>50000</v>
      </c>
      <c r="L565" s="54">
        <f>'G MTTS'!X561</f>
        <v>0</v>
      </c>
      <c r="M565" s="54">
        <f>'G MTTS'!AA561</f>
        <v>100000</v>
      </c>
      <c r="N565" s="55">
        <f>'G MTTS'!AG561</f>
        <v>5</v>
      </c>
      <c r="O565" s="55">
        <f>'G MTTS'!AH561</f>
        <v>5</v>
      </c>
      <c r="P565" s="55">
        <f>'G MTTS'!AI561</f>
        <v>5</v>
      </c>
      <c r="Q565" s="56">
        <f>'G MTTS'!AJ561</f>
        <v>13</v>
      </c>
      <c r="R565" s="46">
        <f t="shared" si="49"/>
        <v>0.152789351851852</v>
      </c>
      <c r="S565" s="47" t="str">
        <f t="shared" si="51"/>
        <v>MICRO</v>
      </c>
    </row>
    <row r="566" ht="29.25" customHeight="1" outlineLevel="1" spans="1:19">
      <c r="B566" s="36">
        <f>'G MTTS'!B562</f>
        <v>0.131956018518519</v>
      </c>
      <c r="C566" s="37" t="str">
        <f>'G MTTS'!J562</f>
        <v>1K Omax</v>
      </c>
      <c r="D566" s="38" t="str">
        <f>'G MTTS'!M562</f>
        <v>Side Event</v>
      </c>
      <c r="E566" s="39" t="str">
        <f>'G MTTS'!N562</f>
        <v>PLO5</v>
      </c>
      <c r="F566" s="40" t="str">
        <f>'G MTTS'!O562</f>
        <v>OFF</v>
      </c>
      <c r="G566" s="41">
        <f>IF('G MTTS'!Q562=0," ",'G MTTS'!Q562*A$3)</f>
        <v>1000</v>
      </c>
      <c r="H566" s="42">
        <f>IF('G MTTS'!V562=0," ",'G MTTS'!V562*$A$3)</f>
        <v>10</v>
      </c>
      <c r="I566" s="42">
        <f>IF('G MTTS'!W562=0," ",'G MTTS'!W562*$A$3)</f>
        <v>10</v>
      </c>
      <c r="J566" s="42">
        <f>IF('G MTTS'!Z562=0," ",'G MTTS'!Z562*$A$3)</f>
        <v>10</v>
      </c>
      <c r="K566" s="43">
        <f>'G MTTS'!AF562</f>
        <v>40000</v>
      </c>
      <c r="L566" s="43">
        <f>'G MTTS'!X562</f>
        <v>0</v>
      </c>
      <c r="M566" s="43">
        <f>'G MTTS'!AA562</f>
        <v>80000</v>
      </c>
      <c r="N566" s="44">
        <f>'G MTTS'!AG562</f>
        <v>5</v>
      </c>
      <c r="O566" s="44">
        <f>'G MTTS'!AH562</f>
        <v>5</v>
      </c>
      <c r="P566" s="44">
        <f>'G MTTS'!AI562</f>
        <v>5</v>
      </c>
      <c r="Q566" s="45">
        <f>'G MTTS'!AJ562</f>
        <v>13</v>
      </c>
      <c r="R566" s="46">
        <f t="shared" si="49"/>
        <v>0.18056712962963</v>
      </c>
      <c r="S566" s="47" t="str">
        <f t="shared" si="51"/>
        <v>MICRO</v>
      </c>
    </row>
    <row r="567" ht="29.25" customHeight="1" outlineLevel="1" spans="1:19">
      <c r="B567" s="36">
        <f>'G MTTS'!B563</f>
        <v>0.131956018518519</v>
      </c>
      <c r="C567" s="178" t="str">
        <f>'G MTTS'!J563</f>
        <v>#AS 1.5K Battle</v>
      </c>
      <c r="D567" s="49" t="str">
        <f>'G MTTS'!M563</f>
        <v>Side Event</v>
      </c>
      <c r="E567" s="50" t="str">
        <f>'G MTTS'!N563</f>
        <v>NLH</v>
      </c>
      <c r="F567" s="51" t="str">
        <f>'G MTTS'!O563</f>
        <v>Progressive KO 1/2</v>
      </c>
      <c r="G567" s="52">
        <f>IF('G MTTS'!Q563=0," ",'G MTTS'!Q563*A$3)</f>
        <v>1500</v>
      </c>
      <c r="H567" s="53">
        <f>IF('G MTTS'!V563=0," ",'G MTTS'!V563*$A$3)</f>
        <v>25</v>
      </c>
      <c r="I567" s="53">
        <f>IF('G MTTS'!W563=0," ",'G MTTS'!W563*$A$3)</f>
        <v>25</v>
      </c>
      <c r="J567" s="53" t="str">
        <f>IF('G MTTS'!Z563=0," ",'G MTTS'!Z563*$A$3)</f>
        <v> </v>
      </c>
      <c r="K567" s="54">
        <f>'G MTTS'!AF563</f>
        <v>30000</v>
      </c>
      <c r="L567" s="54">
        <f>'G MTTS'!X563</f>
        <v>0</v>
      </c>
      <c r="M567" s="54" t="str">
        <f>'G MTTS'!AA563</f>
        <v>REENTRY</v>
      </c>
      <c r="N567" s="55">
        <f>'G MTTS'!AG563</f>
        <v>5</v>
      </c>
      <c r="O567" s="55">
        <f>'G MTTS'!AH563</f>
        <v>5</v>
      </c>
      <c r="P567" s="55">
        <f>'G MTTS'!AI563</f>
        <v>5</v>
      </c>
      <c r="Q567" s="56">
        <f>'G MTTS'!AJ563</f>
        <v>12</v>
      </c>
      <c r="R567" s="46">
        <f t="shared" si="49"/>
        <v>0.177094907407407</v>
      </c>
      <c r="S567" s="47" t="str">
        <f t="shared" si="51"/>
        <v>MICRO</v>
      </c>
    </row>
    <row r="568" ht="29.25" customHeight="1" outlineLevel="1" spans="1:19">
      <c r="A568" s="60" t="s">
        <v>522</v>
      </c>
      <c r="B568" s="36">
        <f>'G MTTS'!B564</f>
        <v>0.173622685185185</v>
      </c>
      <c r="C568" s="37" t="str">
        <f>'G MTTS'!J564</f>
        <v>#AS 1.5K Plus</v>
      </c>
      <c r="D568" s="38" t="str">
        <f>'G MTTS'!M564</f>
        <v>Side Event</v>
      </c>
      <c r="E568" s="39" t="str">
        <f>'G MTTS'!N564</f>
        <v>NLH</v>
      </c>
      <c r="F568" s="40" t="str">
        <f>'G MTTS'!O564</f>
        <v>OFF</v>
      </c>
      <c r="G568" s="41">
        <f>IF('G MTTS'!Q564=0," ",'G MTTS'!Q564*A$3)</f>
        <v>1500</v>
      </c>
      <c r="H568" s="42">
        <f>IF('G MTTS'!V564=0," ",'G MTTS'!V564*$A$3)</f>
        <v>10</v>
      </c>
      <c r="I568" s="42">
        <f>IF('G MTTS'!W564=0," ",'G MTTS'!W564*$A$3)</f>
        <v>10</v>
      </c>
      <c r="J568" s="42">
        <f>IF('G MTTS'!Z564=0," ",'G MTTS'!Z564*$A$3)</f>
        <v>10</v>
      </c>
      <c r="K568" s="43">
        <f>'G MTTS'!AF564</f>
        <v>30000</v>
      </c>
      <c r="L568" s="43">
        <f>'G MTTS'!X564</f>
        <v>0</v>
      </c>
      <c r="M568" s="43">
        <f>'G MTTS'!AA564</f>
        <v>75000</v>
      </c>
      <c r="N568" s="44">
        <f>'G MTTS'!AG564</f>
        <v>5</v>
      </c>
      <c r="O568" s="44">
        <f>'G MTTS'!AH564</f>
        <v>5</v>
      </c>
      <c r="P568" s="44">
        <f>'G MTTS'!AI564</f>
        <v>5</v>
      </c>
      <c r="Q568" s="45">
        <f>'G MTTS'!AJ564</f>
        <v>12</v>
      </c>
      <c r="R568" s="46">
        <f t="shared" si="49"/>
        <v>0.218761574074074</v>
      </c>
      <c r="S568" s="47" t="str">
        <f t="shared" si="51"/>
        <v>MICRO</v>
      </c>
    </row>
    <row r="569" ht="29.25" customHeight="1" outlineLevel="1" spans="1:19">
      <c r="B569" s="36">
        <f>'G MTTS'!B565</f>
        <v>0.208344907407407</v>
      </c>
      <c r="C569" s="48" t="str">
        <f>'G MTTS'!J565</f>
        <v>500 Bounty</v>
      </c>
      <c r="D569" s="49" t="str">
        <f>'G MTTS'!M565</f>
        <v>Side Event</v>
      </c>
      <c r="E569" s="50" t="str">
        <f>'G MTTS'!N565</f>
        <v>NLH</v>
      </c>
      <c r="F569" s="51" t="str">
        <f>'G MTTS'!O565</f>
        <v>Progressive KO 1/3</v>
      </c>
      <c r="G569" s="52">
        <f>IF('G MTTS'!Q565=0," ",'G MTTS'!Q565*A$3)</f>
        <v>500</v>
      </c>
      <c r="H569" s="53">
        <f>IF('G MTTS'!V565=0," ",'G MTTS'!V565*$A$3)</f>
        <v>8</v>
      </c>
      <c r="I569" s="53">
        <f>IF('G MTTS'!W565=0," ",'G MTTS'!W565*$A$3)</f>
        <v>8</v>
      </c>
      <c r="J569" s="53" t="str">
        <f>IF('G MTTS'!Z565=0," ",'G MTTS'!Z565*$A$3)</f>
        <v> </v>
      </c>
      <c r="K569" s="54">
        <f>'G MTTS'!AF565</f>
        <v>30000</v>
      </c>
      <c r="L569" s="54">
        <f>'G MTTS'!X565</f>
        <v>0</v>
      </c>
      <c r="M569" s="54" t="str">
        <f>'G MTTS'!AA565</f>
        <v>REENTRY</v>
      </c>
      <c r="N569" s="55">
        <f>'G MTTS'!AG565</f>
        <v>8</v>
      </c>
      <c r="O569" s="55">
        <f>'G MTTS'!AH565</f>
        <v>7</v>
      </c>
      <c r="P569" s="55">
        <f>'G MTTS'!AI565</f>
        <v>7</v>
      </c>
      <c r="Q569" s="56">
        <f>'G MTTS'!AJ565</f>
        <v>13</v>
      </c>
      <c r="R569" s="46">
        <f t="shared" si="49"/>
        <v>0.284039351851852</v>
      </c>
      <c r="S569" s="47" t="str">
        <f t="shared" si="51"/>
        <v>MICRO</v>
      </c>
    </row>
    <row r="570" ht="29.25" customHeight="1" outlineLevel="1" spans="1:19">
      <c r="B570" s="36">
        <f>'G MTTS'!B566</f>
        <v>0.215289351851852</v>
      </c>
      <c r="C570" s="37" t="str">
        <f>'G MTTS'!J566</f>
        <v>1K Plus</v>
      </c>
      <c r="D570" s="38" t="str">
        <f>'G MTTS'!M566</f>
        <v>Side Event</v>
      </c>
      <c r="E570" s="39" t="str">
        <f>'G MTTS'!N566</f>
        <v>NLH</v>
      </c>
      <c r="F570" s="40" t="str">
        <f>'G MTTS'!O566</f>
        <v>OFF</v>
      </c>
      <c r="G570" s="41">
        <f>IF('G MTTS'!Q566=0," ",'G MTTS'!Q566*A$3)</f>
        <v>1000</v>
      </c>
      <c r="H570" s="42">
        <f>IF('G MTTS'!V566=0," ",'G MTTS'!V566*$A$3)</f>
        <v>10</v>
      </c>
      <c r="I570" s="42">
        <f>IF('G MTTS'!W566=0," ",'G MTTS'!W566*$A$3)</f>
        <v>10</v>
      </c>
      <c r="J570" s="42">
        <f>IF('G MTTS'!Z566=0," ",'G MTTS'!Z566*$A$3)</f>
        <v>10</v>
      </c>
      <c r="K570" s="43">
        <f>'G MTTS'!AF566</f>
        <v>40000</v>
      </c>
      <c r="L570" s="43">
        <f>'G MTTS'!X566</f>
        <v>0</v>
      </c>
      <c r="M570" s="43">
        <f>'G MTTS'!AA566</f>
        <v>80000</v>
      </c>
      <c r="N570" s="44">
        <f>'G MTTS'!AG566</f>
        <v>6</v>
      </c>
      <c r="O570" s="44">
        <f>'G MTTS'!AH566</f>
        <v>6</v>
      </c>
      <c r="P570" s="44">
        <f>'G MTTS'!AI566</f>
        <v>6</v>
      </c>
      <c r="Q570" s="45">
        <f>'G MTTS'!AJ566</f>
        <v>13</v>
      </c>
      <c r="R570" s="46">
        <f t="shared" si="49"/>
        <v>0.272928240740741</v>
      </c>
      <c r="S570" s="47" t="str">
        <f t="shared" si="51"/>
        <v>MICRO</v>
      </c>
    </row>
    <row r="571" ht="29.25" customHeight="1" outlineLevel="1" spans="1:19">
      <c r="B571" s="36">
        <f>'G MTTS'!B567</f>
        <v>0.229178240740741</v>
      </c>
      <c r="C571" s="48" t="str">
        <f>'G MTTS'!J567</f>
        <v>400 Omax PKO</v>
      </c>
      <c r="D571" s="49" t="str">
        <f>'G MTTS'!M567</f>
        <v>Side Event</v>
      </c>
      <c r="E571" s="50" t="str">
        <f>'G MTTS'!N567</f>
        <v>PLO4</v>
      </c>
      <c r="F571" s="51" t="str">
        <f>'G MTTS'!O567</f>
        <v>Progressive KO 1/2</v>
      </c>
      <c r="G571" s="52">
        <f>IF('G MTTS'!Q567=0," ",'G MTTS'!Q567*A$3)</f>
        <v>400</v>
      </c>
      <c r="H571" s="53">
        <f>IF('G MTTS'!V567=0," ",'G MTTS'!V567*$A$3)</f>
        <v>5</v>
      </c>
      <c r="I571" s="53">
        <f>IF('G MTTS'!W567=0," ",'G MTTS'!W567*$A$3)</f>
        <v>5</v>
      </c>
      <c r="J571" s="53" t="str">
        <f>IF('G MTTS'!Z567=0," ",'G MTTS'!Z567*$A$3)</f>
        <v> </v>
      </c>
      <c r="K571" s="54">
        <f>'G MTTS'!AF567</f>
        <v>50000</v>
      </c>
      <c r="L571" s="54">
        <f>'G MTTS'!X567</f>
        <v>0</v>
      </c>
      <c r="M571" s="54" t="str">
        <f>'G MTTS'!AA567</f>
        <v>REENTRY</v>
      </c>
      <c r="N571" s="55">
        <f>'G MTTS'!AG567</f>
        <v>7</v>
      </c>
      <c r="O571" s="55">
        <f>'G MTTS'!AH567</f>
        <v>6</v>
      </c>
      <c r="P571" s="55">
        <f>'G MTTS'!AI567</f>
        <v>6</v>
      </c>
      <c r="Q571" s="56">
        <f>'G MTTS'!AJ567</f>
        <v>15</v>
      </c>
      <c r="R571" s="46">
        <f t="shared" si="49"/>
        <v>0.30556712962963</v>
      </c>
      <c r="S571" s="47" t="str">
        <f t="shared" si="51"/>
        <v>MICRO</v>
      </c>
    </row>
    <row r="572" ht="29.25" customHeight="1" outlineLevel="1" spans="1:19">
      <c r="A572" s="60" t="s">
        <v>522</v>
      </c>
      <c r="B572" s="36">
        <f>'G MTTS'!B568</f>
        <v>0.256956018518519</v>
      </c>
      <c r="C572" s="37" t="str">
        <f>'G MTTS'!J568</f>
        <v>600 Plus</v>
      </c>
      <c r="D572" s="38" t="str">
        <f>'G MTTS'!M568</f>
        <v>Side Event</v>
      </c>
      <c r="E572" s="39" t="str">
        <f>'G MTTS'!N568</f>
        <v>NLH</v>
      </c>
      <c r="F572" s="40" t="str">
        <f>'G MTTS'!O568</f>
        <v>OFF</v>
      </c>
      <c r="G572" s="41">
        <f>IF('G MTTS'!Q568=0," ",'G MTTS'!Q568*A$3)</f>
        <v>600</v>
      </c>
      <c r="H572" s="42">
        <f>IF('G MTTS'!V568=0," ",'G MTTS'!V568*$A$3)</f>
        <v>5</v>
      </c>
      <c r="I572" s="42">
        <f>IF('G MTTS'!W568=0," ",'G MTTS'!W568*$A$3)</f>
        <v>5</v>
      </c>
      <c r="J572" s="42">
        <f>IF('G MTTS'!Z568=0," ",'G MTTS'!Z568*$A$3)</f>
        <v>5</v>
      </c>
      <c r="K572" s="43">
        <f>'G MTTS'!AF568</f>
        <v>30000</v>
      </c>
      <c r="L572" s="43">
        <f>'G MTTS'!X568</f>
        <v>0</v>
      </c>
      <c r="M572" s="43">
        <f>'G MTTS'!AA568</f>
        <v>75000</v>
      </c>
      <c r="N572" s="44">
        <f>'G MTTS'!AG568</f>
        <v>5</v>
      </c>
      <c r="O572" s="44">
        <f>'G MTTS'!AH568</f>
        <v>5</v>
      </c>
      <c r="P572" s="44">
        <f>'G MTTS'!AI568</f>
        <v>5</v>
      </c>
      <c r="Q572" s="45">
        <f>'G MTTS'!AJ568</f>
        <v>12</v>
      </c>
      <c r="R572" s="46">
        <f t="shared" si="49"/>
        <v>0.302094907407407</v>
      </c>
      <c r="S572" s="47" t="str">
        <f t="shared" si="51"/>
        <v>MICRO</v>
      </c>
    </row>
    <row r="573" ht="29.25" customHeight="1" outlineLevel="1" spans="1:19">
      <c r="B573" s="36">
        <f>'G MTTS'!B569</f>
        <v>0.298622685185185</v>
      </c>
      <c r="C573" s="48" t="str">
        <f>'G MTTS'!J569</f>
        <v>500 Omax</v>
      </c>
      <c r="D573" s="49" t="str">
        <f>'G MTTS'!M569</f>
        <v>Side Event</v>
      </c>
      <c r="E573" s="50" t="str">
        <f>'G MTTS'!N569</f>
        <v>PLO5</v>
      </c>
      <c r="F573" s="51" t="str">
        <f>'G MTTS'!O569</f>
        <v>OFF</v>
      </c>
      <c r="G573" s="52">
        <f>IF('G MTTS'!Q569=0," ",'G MTTS'!Q569*A$3)</f>
        <v>500</v>
      </c>
      <c r="H573" s="53">
        <f>IF('G MTTS'!V569=0," ",'G MTTS'!V569*$A$3)</f>
        <v>5</v>
      </c>
      <c r="I573" s="53">
        <f>IF('G MTTS'!W569=0," ",'G MTTS'!W569*$A$3)</f>
        <v>5</v>
      </c>
      <c r="J573" s="53">
        <f>IF('G MTTS'!Z569=0," ",'G MTTS'!Z569*$A$3)</f>
        <v>5</v>
      </c>
      <c r="K573" s="54">
        <f>'G MTTS'!AF569</f>
        <v>30000</v>
      </c>
      <c r="L573" s="54">
        <f>'G MTTS'!X569</f>
        <v>0</v>
      </c>
      <c r="M573" s="54">
        <f>'G MTTS'!AA569</f>
        <v>75000</v>
      </c>
      <c r="N573" s="55">
        <f>'G MTTS'!AG569</f>
        <v>5</v>
      </c>
      <c r="O573" s="55">
        <f>'G MTTS'!AH569</f>
        <v>5</v>
      </c>
      <c r="P573" s="55">
        <f>'G MTTS'!AI569</f>
        <v>5</v>
      </c>
      <c r="Q573" s="56">
        <f>'G MTTS'!AJ569</f>
        <v>12</v>
      </c>
      <c r="R573" s="46">
        <f t="shared" si="49"/>
        <v>0.343761574074074</v>
      </c>
      <c r="S573" s="47" t="str">
        <f t="shared" si="51"/>
        <v>MICRO</v>
      </c>
    </row>
    <row r="574" ht="29.25" customHeight="1" outlineLevel="1" spans="1:19">
      <c r="A574" s="60" t="s">
        <v>522</v>
      </c>
      <c r="B574" s="36">
        <f>'G MTTS'!B570</f>
        <v>0.322928240740741</v>
      </c>
      <c r="C574" s="37" t="str">
        <f>'G MTTS'!J570</f>
        <v>#AS 1.5K Omax PKO</v>
      </c>
      <c r="D574" s="38" t="str">
        <f>'G MTTS'!M570</f>
        <v>Side Event</v>
      </c>
      <c r="E574" s="39" t="str">
        <f>'G MTTS'!N570</f>
        <v>PLO4</v>
      </c>
      <c r="F574" s="40" t="str">
        <f>'G MTTS'!O570</f>
        <v>Progressive KO 1/2</v>
      </c>
      <c r="G574" s="41">
        <f>IF('G MTTS'!Q570=0," ",'G MTTS'!Q570*A$3)</f>
        <v>1500</v>
      </c>
      <c r="H574" s="42">
        <f>IF('G MTTS'!V570=0," ",'G MTTS'!V570*$A$3)</f>
        <v>15</v>
      </c>
      <c r="I574" s="42">
        <f>IF('G MTTS'!W570=0," ",'G MTTS'!W570*$A$3)</f>
        <v>15</v>
      </c>
      <c r="J574" s="42" t="str">
        <f>IF('G MTTS'!Z570=0," ",'G MTTS'!Z570*$A$3)</f>
        <v> </v>
      </c>
      <c r="K574" s="43">
        <f>'G MTTS'!AF570</f>
        <v>40000</v>
      </c>
      <c r="L574" s="43">
        <f>'G MTTS'!X570</f>
        <v>0</v>
      </c>
      <c r="M574" s="43" t="str">
        <f>'G MTTS'!AA570</f>
        <v>REENTRY</v>
      </c>
      <c r="N574" s="44">
        <f>'G MTTS'!AG570</f>
        <v>10</v>
      </c>
      <c r="O574" s="44">
        <f>'G MTTS'!AH570</f>
        <v>8</v>
      </c>
      <c r="P574" s="44">
        <f>'G MTTS'!AI570</f>
        <v>8</v>
      </c>
      <c r="Q574" s="45">
        <f>'G MTTS'!AJ570</f>
        <v>14</v>
      </c>
      <c r="R574" s="46">
        <f t="shared" si="49"/>
        <v>0.427094907407407</v>
      </c>
      <c r="S574" s="47" t="str">
        <f t="shared" si="51"/>
        <v>MICRO</v>
      </c>
    </row>
    <row r="575" ht="29.25" customHeight="1" outlineLevel="1" spans="1:19">
      <c r="B575" s="36">
        <f>'G MTTS'!B571</f>
        <v>0.333344907407407</v>
      </c>
      <c r="C575" s="48" t="str">
        <f>'G MTTS'!J571</f>
        <v>#AS 2.5K Plus</v>
      </c>
      <c r="D575" s="49" t="str">
        <f>'G MTTS'!M571</f>
        <v>Side Event</v>
      </c>
      <c r="E575" s="50" t="str">
        <f>'G MTTS'!N571</f>
        <v>NLH</v>
      </c>
      <c r="F575" s="51" t="str">
        <f>'G MTTS'!O571</f>
        <v>OFF</v>
      </c>
      <c r="G575" s="52">
        <f>IF('G MTTS'!Q571=0," ",'G MTTS'!Q571*A$3)</f>
        <v>2500</v>
      </c>
      <c r="H575" s="53">
        <f>IF('G MTTS'!V571=0," ",'G MTTS'!V571*$A$3)</f>
        <v>5</v>
      </c>
      <c r="I575" s="53">
        <f>IF('G MTTS'!W571=0," ",'G MTTS'!W571*$A$3)</f>
        <v>5</v>
      </c>
      <c r="J575" s="53">
        <f>IF('G MTTS'!Z571=0," ",'G MTTS'!Z571*$A$3)</f>
        <v>5</v>
      </c>
      <c r="K575" s="54">
        <f>'G MTTS'!AF571</f>
        <v>40000</v>
      </c>
      <c r="L575" s="54">
        <f>'G MTTS'!X571</f>
        <v>0</v>
      </c>
      <c r="M575" s="54">
        <f>'G MTTS'!AA571</f>
        <v>100000</v>
      </c>
      <c r="N575" s="55">
        <f>'G MTTS'!AG571</f>
        <v>8</v>
      </c>
      <c r="O575" s="55">
        <f>'G MTTS'!AH571</f>
        <v>7</v>
      </c>
      <c r="P575" s="55">
        <f>'G MTTS'!AI571</f>
        <v>7</v>
      </c>
      <c r="Q575" s="56">
        <f>'G MTTS'!AJ571</f>
        <v>15</v>
      </c>
      <c r="R575" s="46">
        <f t="shared" si="49"/>
        <v>0.423622685185185</v>
      </c>
      <c r="S575" s="47" t="str">
        <f t="shared" si="51"/>
        <v>MICRO</v>
      </c>
    </row>
    <row r="576" ht="29.25" customHeight="1" outlineLevel="1" spans="1:19">
      <c r="A576" s="60" t="s">
        <v>522</v>
      </c>
      <c r="B576" s="36">
        <f>'G MTTS'!B572</f>
        <v>0.375011574074074</v>
      </c>
      <c r="C576" s="37" t="str">
        <f>'G MTTS'!J572</f>
        <v>750 Bounty</v>
      </c>
      <c r="D576" s="38" t="str">
        <f>'G MTTS'!M572</f>
        <v>Side Event</v>
      </c>
      <c r="E576" s="39" t="str">
        <f>'G MTTS'!N572</f>
        <v>NLH</v>
      </c>
      <c r="F576" s="40" t="str">
        <f>'G MTTS'!O572</f>
        <v>Progressive KO 1/3</v>
      </c>
      <c r="G576" s="41">
        <f>IF('G MTTS'!Q572=0," ",'G MTTS'!Q572*A$3)</f>
        <v>750</v>
      </c>
      <c r="H576" s="42">
        <f>IF('G MTTS'!V572=0," ",'G MTTS'!V572*$A$3)</f>
        <v>7.5</v>
      </c>
      <c r="I576" s="42">
        <f>IF('G MTTS'!W572=0," ",'G MTTS'!W572*$A$3)</f>
        <v>7.5</v>
      </c>
      <c r="J576" s="42" t="str">
        <f>IF('G MTTS'!Z572=0," ",'G MTTS'!Z572*$A$3)</f>
        <v> </v>
      </c>
      <c r="K576" s="43">
        <f>'G MTTS'!AF572</f>
        <v>50000</v>
      </c>
      <c r="L576" s="43">
        <f>'G MTTS'!X572</f>
        <v>60000</v>
      </c>
      <c r="M576" s="43" t="str">
        <f>'G MTTS'!AA572</f>
        <v>REENTRY</v>
      </c>
      <c r="N576" s="44">
        <f>'G MTTS'!AG572</f>
        <v>8</v>
      </c>
      <c r="O576" s="44">
        <f>'G MTTS'!AH572</f>
        <v>8</v>
      </c>
      <c r="P576" s="44">
        <f>'G MTTS'!AI572</f>
        <v>8</v>
      </c>
      <c r="Q576" s="45">
        <f>'G MTTS'!AJ572</f>
        <v>15</v>
      </c>
      <c r="R576" s="46">
        <f t="shared" si="49"/>
        <v>0.465289351851852</v>
      </c>
      <c r="S576" s="47" t="str">
        <f t="shared" si="51"/>
        <v>MICRO</v>
      </c>
    </row>
    <row r="577" ht="29.25" customHeight="1" outlineLevel="1" spans="1:19">
      <c r="B577" s="36">
        <f>'G MTTS'!B573</f>
        <v>0.375011574074074</v>
      </c>
      <c r="C577" s="48" t="str">
        <f>'G MTTS'!J573</f>
        <v>500 Omax</v>
      </c>
      <c r="D577" s="49" t="str">
        <f>'G MTTS'!M573</f>
        <v>Side Event</v>
      </c>
      <c r="E577" s="50" t="str">
        <f>'G MTTS'!N573</f>
        <v>PLO4</v>
      </c>
      <c r="F577" s="51" t="str">
        <f>'G MTTS'!O573</f>
        <v>OFF</v>
      </c>
      <c r="G577" s="52">
        <f>IF('G MTTS'!Q573=0," ",'G MTTS'!Q573*A$3)</f>
        <v>500</v>
      </c>
      <c r="H577" s="53">
        <f>IF('G MTTS'!V573=0," ",'G MTTS'!V573*$A$3)</f>
        <v>5</v>
      </c>
      <c r="I577" s="53">
        <f>IF('G MTTS'!W573=0," ",'G MTTS'!W573*$A$3)</f>
        <v>5</v>
      </c>
      <c r="J577" s="53">
        <f>IF('G MTTS'!Z573=0," ",'G MTTS'!Z573*$A$3)</f>
        <v>5</v>
      </c>
      <c r="K577" s="54">
        <f>'G MTTS'!AF573</f>
        <v>40000</v>
      </c>
      <c r="L577" s="54">
        <f>'G MTTS'!X573</f>
        <v>0</v>
      </c>
      <c r="M577" s="54">
        <f>'G MTTS'!AA573</f>
        <v>80000</v>
      </c>
      <c r="N577" s="55">
        <f>'G MTTS'!AG573</f>
        <v>7</v>
      </c>
      <c r="O577" s="55">
        <f>'G MTTS'!AH573</f>
        <v>7</v>
      </c>
      <c r="P577" s="55">
        <f>'G MTTS'!AI573</f>
        <v>7</v>
      </c>
      <c r="Q577" s="56">
        <f>'G MTTS'!AJ573</f>
        <v>13</v>
      </c>
      <c r="R577" s="46">
        <f t="shared" si="49"/>
        <v>0.441678240740741</v>
      </c>
      <c r="S577" s="47" t="str">
        <f t="shared" si="51"/>
        <v>MICRO</v>
      </c>
    </row>
    <row r="578" ht="29.25" customHeight="1" outlineLevel="1" spans="1:19">
      <c r="B578" s="36">
        <f>'G MTTS'!B574</f>
        <v>0.416678240740741</v>
      </c>
      <c r="C578" s="37" t="str">
        <f>'G MTTS'!J574</f>
        <v>#AS 4K Battle</v>
      </c>
      <c r="D578" s="38" t="str">
        <f>'G MTTS'!M574</f>
        <v>Side Event</v>
      </c>
      <c r="E578" s="39" t="str">
        <f>'G MTTS'!N574</f>
        <v>NLH</v>
      </c>
      <c r="F578" s="40" t="str">
        <f>'G MTTS'!O574</f>
        <v>Regular KO 1/2</v>
      </c>
      <c r="G578" s="41">
        <f>IF('G MTTS'!Q574=0," ",'G MTTS'!Q574*A$3)</f>
        <v>4000</v>
      </c>
      <c r="H578" s="42">
        <f>IF('G MTTS'!V574=0," ",'G MTTS'!V574*$A$3)</f>
        <v>30</v>
      </c>
      <c r="I578" s="42">
        <f>IF('G MTTS'!W574=0," ",'G MTTS'!W574*$A$3)</f>
        <v>30</v>
      </c>
      <c r="J578" s="42" t="str">
        <f>IF('G MTTS'!Z574=0," ",'G MTTS'!Z574*$A$3)</f>
        <v> </v>
      </c>
      <c r="K578" s="43">
        <f>'G MTTS'!AF574</f>
        <v>40000</v>
      </c>
      <c r="L578" s="43">
        <f>'G MTTS'!X574</f>
        <v>0</v>
      </c>
      <c r="M578" s="43" t="str">
        <f>'G MTTS'!AA574</f>
        <v>REENTRY</v>
      </c>
      <c r="N578" s="44">
        <f>'G MTTS'!AG574</f>
        <v>10</v>
      </c>
      <c r="O578" s="44">
        <f>'G MTTS'!AH574</f>
        <v>8</v>
      </c>
      <c r="P578" s="44">
        <f>'G MTTS'!AI574</f>
        <v>8</v>
      </c>
      <c r="Q578" s="45">
        <f>'G MTTS'!AJ574</f>
        <v>14</v>
      </c>
      <c r="R578" s="46">
        <f t="shared" si="49"/>
        <v>0.520844907407407</v>
      </c>
      <c r="S578" s="47" t="str">
        <f t="shared" si="51"/>
        <v>LOW</v>
      </c>
    </row>
    <row r="579" ht="29.25" customHeight="1" outlineLevel="1" spans="1:19">
      <c r="A579" s="60" t="s">
        <v>522</v>
      </c>
      <c r="B579" s="36">
        <f>'G MTTS'!B575</f>
        <v>0.416678240740741</v>
      </c>
      <c r="C579" s="48" t="str">
        <f>'G MTTS'!J575</f>
        <v>1K Plus</v>
      </c>
      <c r="D579" s="49" t="str">
        <f>'G MTTS'!M575</f>
        <v>Side Event</v>
      </c>
      <c r="E579" s="50" t="str">
        <f>'G MTTS'!N575</f>
        <v>NLH</v>
      </c>
      <c r="F579" s="51" t="str">
        <f>'G MTTS'!O575</f>
        <v>OFF</v>
      </c>
      <c r="G579" s="52">
        <f>IF('G MTTS'!Q575=0," ",'G MTTS'!Q575*A$3)</f>
        <v>1000</v>
      </c>
      <c r="H579" s="53">
        <f>IF('G MTTS'!V575=0," ",'G MTTS'!V575*$A$3)</f>
        <v>2</v>
      </c>
      <c r="I579" s="53">
        <f>IF('G MTTS'!W575=0," ",'G MTTS'!W575*$A$3)</f>
        <v>2</v>
      </c>
      <c r="J579" s="53">
        <f>IF('G MTTS'!Z575=0," ",'G MTTS'!Z575*$A$3)</f>
        <v>3</v>
      </c>
      <c r="K579" s="54">
        <f>'G MTTS'!AF575</f>
        <v>40000</v>
      </c>
      <c r="L579" s="54">
        <f>'G MTTS'!X575</f>
        <v>0</v>
      </c>
      <c r="M579" s="54">
        <f>'G MTTS'!AA575</f>
        <v>80000</v>
      </c>
      <c r="N579" s="55">
        <f>'G MTTS'!AG575</f>
        <v>7</v>
      </c>
      <c r="O579" s="55">
        <f>'G MTTS'!AH575</f>
        <v>6</v>
      </c>
      <c r="P579" s="55">
        <f>'G MTTS'!AI575</f>
        <v>6</v>
      </c>
      <c r="Q579" s="56">
        <f>'G MTTS'!AJ575</f>
        <v>15</v>
      </c>
      <c r="R579" s="46">
        <f t="shared" si="49"/>
        <v>0.49306712962963</v>
      </c>
      <c r="S579" s="47" t="str">
        <f t="shared" si="51"/>
        <v>MICRO</v>
      </c>
    </row>
    <row r="580" ht="29.25" customHeight="1" outlineLevel="1" spans="1:19">
      <c r="B580" s="36">
        <f>'G MTTS'!B576</f>
        <v>0.416678240740741</v>
      </c>
      <c r="C580" s="179" t="str">
        <f>'G MTTS'!J576</f>
        <v>#AS 3K Plus</v>
      </c>
      <c r="D580" s="38" t="str">
        <f>'G MTTS'!M576</f>
        <v>Side Event</v>
      </c>
      <c r="E580" s="39" t="str">
        <f>'G MTTS'!N576</f>
        <v>NLH</v>
      </c>
      <c r="F580" s="40" t="str">
        <f>'G MTTS'!O576</f>
        <v>OFF</v>
      </c>
      <c r="G580" s="41">
        <f>IF('G MTTS'!Q576=0," ",'G MTTS'!Q576*A$3)</f>
        <v>3000</v>
      </c>
      <c r="H580" s="42">
        <f>IF('G MTTS'!V576=0," ",'G MTTS'!V576*$A$3)</f>
        <v>8</v>
      </c>
      <c r="I580" s="42">
        <f>IF('G MTTS'!W576=0," ",'G MTTS'!W576*$A$3)</f>
        <v>8</v>
      </c>
      <c r="J580" s="42">
        <f>IF('G MTTS'!Z576=0," ",'G MTTS'!Z576*$A$3)</f>
        <v>8</v>
      </c>
      <c r="K580" s="43">
        <f>'G MTTS'!AF576</f>
        <v>40000</v>
      </c>
      <c r="L580" s="43">
        <f>'G MTTS'!X576</f>
        <v>0</v>
      </c>
      <c r="M580" s="43">
        <f>'G MTTS'!AA576</f>
        <v>160000</v>
      </c>
      <c r="N580" s="44">
        <f>'G MTTS'!AG576</f>
        <v>8</v>
      </c>
      <c r="O580" s="44">
        <f>'G MTTS'!AH576</f>
        <v>7</v>
      </c>
      <c r="P580" s="44">
        <f>'G MTTS'!AI576</f>
        <v>7</v>
      </c>
      <c r="Q580" s="45">
        <f>'G MTTS'!AJ576</f>
        <v>15</v>
      </c>
      <c r="R580" s="46">
        <f t="shared" si="49"/>
        <v>0.506956018518518</v>
      </c>
      <c r="S580" s="47" t="str">
        <f t="shared" si="51"/>
        <v>MICRO</v>
      </c>
    </row>
    <row r="581" ht="29.25" customHeight="1" outlineLevel="1" spans="1:19">
      <c r="B581" s="36">
        <f>'G MTTS'!B577</f>
        <v>0.437511574074074</v>
      </c>
      <c r="C581" s="178" t="str">
        <f>'G MTTS'!J577</f>
        <v>#AS 2K Omax</v>
      </c>
      <c r="D581" s="49" t="str">
        <f>'G MTTS'!M577</f>
        <v>Side Event</v>
      </c>
      <c r="E581" s="50" t="str">
        <f>'G MTTS'!N577</f>
        <v>PLO5</v>
      </c>
      <c r="F581" s="51" t="str">
        <f>'G MTTS'!O577</f>
        <v>OFF</v>
      </c>
      <c r="G581" s="52">
        <f>IF('G MTTS'!Q577=0," ",'G MTTS'!Q577*A$3)</f>
        <v>2000</v>
      </c>
      <c r="H581" s="53">
        <f>IF('G MTTS'!V577=0," ",'G MTTS'!V577*$A$3)</f>
        <v>15</v>
      </c>
      <c r="I581" s="53">
        <f>IF('G MTTS'!W577=0," ",'G MTTS'!W577*$A$3)</f>
        <v>15</v>
      </c>
      <c r="J581" s="53">
        <f>IF('G MTTS'!Z577=0," ",'G MTTS'!Z577*$A$3)</f>
        <v>15</v>
      </c>
      <c r="K581" s="54">
        <f>'G MTTS'!AF577</f>
        <v>40000</v>
      </c>
      <c r="L581" s="54">
        <f>'G MTTS'!X577</f>
        <v>0</v>
      </c>
      <c r="M581" s="54">
        <f>'G MTTS'!AA577</f>
        <v>80000</v>
      </c>
      <c r="N581" s="55">
        <f>'G MTTS'!AG577</f>
        <v>8</v>
      </c>
      <c r="O581" s="55">
        <f>'G MTTS'!AH577</f>
        <v>7</v>
      </c>
      <c r="P581" s="55">
        <f>'G MTTS'!AI577</f>
        <v>7</v>
      </c>
      <c r="Q581" s="56">
        <f>'G MTTS'!AJ577</f>
        <v>13</v>
      </c>
      <c r="R581" s="46">
        <f t="shared" si="49"/>
        <v>0.513206018518519</v>
      </c>
      <c r="S581" s="47" t="str">
        <f t="shared" si="51"/>
        <v>MICRO</v>
      </c>
    </row>
    <row r="582" ht="29.25" customHeight="1" outlineLevel="1" spans="1:19">
      <c r="A582" s="60"/>
      <c r="B582" s="36">
        <f>'G MTTS'!B578</f>
        <v>0.458344907407407</v>
      </c>
      <c r="C582" s="37" t="str">
        <f>'G MTTS'!J578</f>
        <v>#AS 15K Plus+SPS</v>
      </c>
      <c r="D582" s="38" t="str">
        <f>'G MTTS'!M578</f>
        <v>Side Event</v>
      </c>
      <c r="E582" s="39" t="str">
        <f>'G MTTS'!N578</f>
        <v>NLH</v>
      </c>
      <c r="F582" s="40" t="str">
        <f>'G MTTS'!O578</f>
        <v>OFF</v>
      </c>
      <c r="G582" s="41">
        <f>IF('G MTTS'!Q578=0," ",'G MTTS'!Q578*A$3)</f>
        <v>16000</v>
      </c>
      <c r="H582" s="42">
        <f>IF('G MTTS'!V578=0," ",'G MTTS'!V578*$A$3)</f>
        <v>15</v>
      </c>
      <c r="I582" s="42">
        <f>IF('G MTTS'!W578=0," ",'G MTTS'!W578*$A$3)</f>
        <v>15</v>
      </c>
      <c r="J582" s="42">
        <f>IF('G MTTS'!Z578=0," ",'G MTTS'!Z578*$A$3)</f>
        <v>15</v>
      </c>
      <c r="K582" s="43">
        <f>'G MTTS'!AF578</f>
        <v>40000</v>
      </c>
      <c r="L582" s="43">
        <f>'G MTTS'!X578</f>
        <v>0</v>
      </c>
      <c r="M582" s="43">
        <f>'G MTTS'!AA578</f>
        <v>120000</v>
      </c>
      <c r="N582" s="44">
        <f>'G MTTS'!AG578</f>
        <v>10</v>
      </c>
      <c r="O582" s="44">
        <f>'G MTTS'!AH578</f>
        <v>8</v>
      </c>
      <c r="P582" s="44">
        <f>'G MTTS'!AI578</f>
        <v>8</v>
      </c>
      <c r="Q582" s="45">
        <f>'G MTTS'!AJ578</f>
        <v>14</v>
      </c>
      <c r="R582" s="46">
        <f t="shared" si="49"/>
        <v>0.562511574074074</v>
      </c>
      <c r="S582" s="47" t="str">
        <f t="shared" si="51"/>
        <v>MICRO</v>
      </c>
    </row>
    <row r="583" ht="29.25" customHeight="1" outlineLevel="1" spans="1:19">
      <c r="B583" s="36">
        <f>'G MTTS'!B579</f>
        <v>0.458344907407407</v>
      </c>
      <c r="C583" s="178" t="str">
        <f>'G MTTS'!J579</f>
        <v>600 Omax</v>
      </c>
      <c r="D583" s="49" t="str">
        <f>'G MTTS'!M579</f>
        <v>Side Event</v>
      </c>
      <c r="E583" s="50" t="str">
        <f>'G MTTS'!N579</f>
        <v>PLO4</v>
      </c>
      <c r="F583" s="51" t="str">
        <f>'G MTTS'!O579</f>
        <v>OFF</v>
      </c>
      <c r="G583" s="52">
        <f>IF('G MTTS'!Q579=0," ",'G MTTS'!Q579*A$3)</f>
        <v>600</v>
      </c>
      <c r="H583" s="53">
        <f>IF('G MTTS'!V579=0," ",'G MTTS'!V579*$A$3)</f>
        <v>4</v>
      </c>
      <c r="I583" s="53">
        <f>IF('G MTTS'!W579=0," ",'G MTTS'!W579*$A$3)</f>
        <v>4</v>
      </c>
      <c r="J583" s="53">
        <f>IF('G MTTS'!Z579=0," ",'G MTTS'!Z579*$A$3)</f>
        <v>5</v>
      </c>
      <c r="K583" s="54">
        <f>'G MTTS'!AF579</f>
        <v>40000</v>
      </c>
      <c r="L583" s="54">
        <f>'G MTTS'!X579</f>
        <v>0</v>
      </c>
      <c r="M583" s="54">
        <f>'G MTTS'!AA579</f>
        <v>100000</v>
      </c>
      <c r="N583" s="55">
        <f>'G MTTS'!AG579</f>
        <v>8</v>
      </c>
      <c r="O583" s="55">
        <f>'G MTTS'!AH579</f>
        <v>7</v>
      </c>
      <c r="P583" s="55">
        <f>'G MTTS'!AI579</f>
        <v>7</v>
      </c>
      <c r="Q583" s="56">
        <f>'G MTTS'!AJ579</f>
        <v>15</v>
      </c>
      <c r="R583" s="46">
        <f t="shared" si="49"/>
        <v>0.548622685185185</v>
      </c>
      <c r="S583" s="47" t="str">
        <f t="shared" si="51"/>
        <v>MICRO</v>
      </c>
    </row>
    <row r="584" ht="29.25" customHeight="1" outlineLevel="1" spans="1:19">
      <c r="A584" s="60" t="s">
        <v>522</v>
      </c>
      <c r="B584" s="36">
        <f>'G MTTS'!B580</f>
        <v>0.458344907407407</v>
      </c>
      <c r="C584" s="37" t="str">
        <f>'G MTTS'!J580</f>
        <v>Sit&amp;go 200p max.</v>
      </c>
      <c r="D584" s="38" t="str">
        <f>'G MTTS'!M580</f>
        <v>Side Event</v>
      </c>
      <c r="E584" s="39" t="str">
        <f>'G MTTS'!N580</f>
        <v>NLH</v>
      </c>
      <c r="F584" s="40" t="str">
        <f>'G MTTS'!O580</f>
        <v>OFF</v>
      </c>
      <c r="G584" s="41">
        <f>IF('G MTTS'!Q580=0," ",'G MTTS'!Q580*A$3)</f>
        <v>200</v>
      </c>
      <c r="H584" s="42">
        <f>IF('G MTTS'!V580=0," ",'G MTTS'!V580*$A$3)</f>
        <v>3</v>
      </c>
      <c r="I584" s="42">
        <f>IF('G MTTS'!W580=0," ",'G MTTS'!W580*$A$3)</f>
        <v>3</v>
      </c>
      <c r="J584" s="42">
        <f>IF('G MTTS'!Z580=0," ",'G MTTS'!Z580*$A$3)</f>
        <v>3</v>
      </c>
      <c r="K584" s="43">
        <f>'G MTTS'!AF580</f>
        <v>20000</v>
      </c>
      <c r="L584" s="43">
        <f>'G MTTS'!X580</f>
        <v>0</v>
      </c>
      <c r="M584" s="43">
        <f>'G MTTS'!AA580</f>
        <v>30000</v>
      </c>
      <c r="N584" s="44">
        <f>'G MTTS'!AG580</f>
        <v>5</v>
      </c>
      <c r="O584" s="44">
        <f>'G MTTS'!AH580</f>
        <v>5</v>
      </c>
      <c r="P584" s="44">
        <f>'G MTTS'!AI580</f>
        <v>5</v>
      </c>
      <c r="Q584" s="45">
        <f>'G MTTS'!AJ580</f>
        <v>15</v>
      </c>
      <c r="R584" s="46">
        <f t="shared" si="49"/>
        <v>0.513900462962963</v>
      </c>
      <c r="S584" s="47" t="str">
        <f t="shared" si="51"/>
        <v>MICRO</v>
      </c>
    </row>
    <row r="585" ht="29.25" customHeight="1" outlineLevel="1" spans="1:19">
      <c r="B585" s="36">
        <f>'G MTTS'!B581</f>
        <v>0.500011574074074</v>
      </c>
      <c r="C585" s="48" t="str">
        <f>'G MTTS'!J581</f>
        <v>#AS 3K Big Mystery</v>
      </c>
      <c r="D585" s="49" t="str">
        <f>'G MTTS'!M581</f>
        <v>Side Event</v>
      </c>
      <c r="E585" s="50" t="str">
        <f>'G MTTS'!N581</f>
        <v>NLH</v>
      </c>
      <c r="F585" s="51" t="str">
        <f>'G MTTS'!O581</f>
        <v>Mystery Bounty 1/2</v>
      </c>
      <c r="G585" s="52">
        <f>IF('G MTTS'!Q581=0," ",'G MTTS'!Q581*A$3)</f>
        <v>3000</v>
      </c>
      <c r="H585" s="53">
        <f>IF('G MTTS'!V581=0," ",'G MTTS'!V581*$A$3)</f>
        <v>10</v>
      </c>
      <c r="I585" s="53">
        <f>IF('G MTTS'!W581=0," ",'G MTTS'!W581*$A$3)</f>
        <v>10</v>
      </c>
      <c r="J585" s="53" t="str">
        <f>IF('G MTTS'!Z581=0," ",'G MTTS'!Z581*$A$3)</f>
        <v> </v>
      </c>
      <c r="K585" s="54">
        <f>'G MTTS'!AF581</f>
        <v>60000</v>
      </c>
      <c r="L585" s="54">
        <f>'G MTTS'!X581</f>
        <v>0</v>
      </c>
      <c r="M585" s="54" t="str">
        <f>'G MTTS'!AA581</f>
        <v>REENTRY</v>
      </c>
      <c r="N585" s="55">
        <f>'G MTTS'!AG581</f>
        <v>10</v>
      </c>
      <c r="O585" s="55">
        <f>'G MTTS'!AH581</f>
        <v>8</v>
      </c>
      <c r="P585" s="55">
        <f>'G MTTS'!AI581</f>
        <v>8</v>
      </c>
      <c r="Q585" s="56">
        <f>'G MTTS'!AJ581</f>
        <v>14</v>
      </c>
      <c r="R585" s="46">
        <f t="shared" si="49"/>
        <v>0.604178240740741</v>
      </c>
      <c r="S585" s="47" t="str">
        <f t="shared" si="51"/>
        <v>MICRO</v>
      </c>
    </row>
    <row r="586" ht="29.25" customHeight="1" outlineLevel="1" spans="1:19">
      <c r="B586" s="36">
        <f>'G MTTS'!B582</f>
        <v>0.500011574074074</v>
      </c>
      <c r="C586" s="37" t="str">
        <f>'G MTTS'!J582</f>
        <v>1.5K Plus</v>
      </c>
      <c r="D586" s="38" t="str">
        <f>'G MTTS'!M582</f>
        <v>Side Event</v>
      </c>
      <c r="E586" s="39" t="str">
        <f>'G MTTS'!N582</f>
        <v>NLH</v>
      </c>
      <c r="F586" s="40" t="str">
        <f>'G MTTS'!O582</f>
        <v>OFF</v>
      </c>
      <c r="G586" s="41">
        <f>IF('G MTTS'!Q582=0," ",'G MTTS'!Q582*A$3)</f>
        <v>1500</v>
      </c>
      <c r="H586" s="42">
        <f>IF('G MTTS'!V582=0," ",'G MTTS'!V582*$A$3)</f>
        <v>3</v>
      </c>
      <c r="I586" s="42">
        <f>IF('G MTTS'!W582=0," ",'G MTTS'!W582*$A$3)</f>
        <v>3</v>
      </c>
      <c r="J586" s="42">
        <f>IF('G MTTS'!Z582=0," ",'G MTTS'!Z582*$A$3)</f>
        <v>4</v>
      </c>
      <c r="K586" s="43">
        <f>'G MTTS'!AF582</f>
        <v>40000</v>
      </c>
      <c r="L586" s="43">
        <f>'G MTTS'!X582</f>
        <v>0</v>
      </c>
      <c r="M586" s="43">
        <f>'G MTTS'!AA582</f>
        <v>100000</v>
      </c>
      <c r="N586" s="44">
        <f>'G MTTS'!AG582</f>
        <v>7</v>
      </c>
      <c r="O586" s="44">
        <f>'G MTTS'!AH582</f>
        <v>6</v>
      </c>
      <c r="P586" s="44">
        <f>'G MTTS'!AI582</f>
        <v>6</v>
      </c>
      <c r="Q586" s="45">
        <f>'G MTTS'!AJ582</f>
        <v>15</v>
      </c>
      <c r="R586" s="46">
        <f t="shared" si="49"/>
        <v>0.576400462962963</v>
      </c>
      <c r="S586" s="47" t="str">
        <f t="shared" si="51"/>
        <v>MICRO</v>
      </c>
    </row>
    <row r="587" ht="29.25" customHeight="1" outlineLevel="1" spans="1:19">
      <c r="A587" s="60" t="s">
        <v>522</v>
      </c>
      <c r="B587" s="36">
        <f>'G MTTS'!B583</f>
        <v>0.500011574074074</v>
      </c>
      <c r="C587" s="48" t="str">
        <f>'G MTTS'!J583</f>
        <v>#AS 8K Reentry</v>
      </c>
      <c r="D587" s="49" t="str">
        <f>'G MTTS'!M583</f>
        <v>Side Event</v>
      </c>
      <c r="E587" s="50" t="str">
        <f>'G MTTS'!N583</f>
        <v>NLH</v>
      </c>
      <c r="F587" s="51" t="str">
        <f>'G MTTS'!O583</f>
        <v>OFF</v>
      </c>
      <c r="G587" s="52">
        <f>IF('G MTTS'!Q583=0," ",'G MTTS'!Q583*A$3)</f>
        <v>8000</v>
      </c>
      <c r="H587" s="53">
        <f>IF('G MTTS'!V583=0," ",'G MTTS'!V583*$A$3)</f>
        <v>75</v>
      </c>
      <c r="I587" s="53">
        <f>IF('G MTTS'!W583=0," ",'G MTTS'!W583*$A$3)</f>
        <v>75</v>
      </c>
      <c r="J587" s="53" t="str">
        <f>IF('G MTTS'!Z583=0," ",'G MTTS'!Z583*$A$3)</f>
        <v> </v>
      </c>
      <c r="K587" s="54">
        <f>'G MTTS'!AF583</f>
        <v>80000</v>
      </c>
      <c r="L587" s="54">
        <f>'G MTTS'!X583</f>
        <v>0</v>
      </c>
      <c r="M587" s="54" t="str">
        <f>'G MTTS'!AA583</f>
        <v>REENTRY</v>
      </c>
      <c r="N587" s="55">
        <f>'G MTTS'!AG583</f>
        <v>12</v>
      </c>
      <c r="O587" s="55">
        <f>'G MTTS'!AH583</f>
        <v>10</v>
      </c>
      <c r="P587" s="55">
        <f>'G MTTS'!AI583</f>
        <v>10</v>
      </c>
      <c r="Q587" s="56">
        <f>'G MTTS'!AJ583</f>
        <v>15</v>
      </c>
      <c r="R587" s="46">
        <f t="shared" si="49"/>
        <v>0.635428240740741</v>
      </c>
      <c r="S587" s="47" t="str">
        <f t="shared" si="51"/>
        <v>LOW</v>
      </c>
    </row>
    <row r="588" ht="29.25" customHeight="1" outlineLevel="1" spans="1:19">
      <c r="B588" s="36">
        <f>'G MTTS'!B584</f>
        <v>0.500011574074074</v>
      </c>
      <c r="C588" s="37" t="str">
        <f>'G MTTS'!J584</f>
        <v>500 Omax PKO</v>
      </c>
      <c r="D588" s="38" t="str">
        <f>'G MTTS'!M584</f>
        <v>Side Event</v>
      </c>
      <c r="E588" s="39" t="str">
        <f>'G MTTS'!N584</f>
        <v>PLO5</v>
      </c>
      <c r="F588" s="40" t="str">
        <f>'G MTTS'!O584</f>
        <v>Progressive KO 1/2</v>
      </c>
      <c r="G588" s="41">
        <f>IF('G MTTS'!Q584=0," ",'G MTTS'!Q584*A$3)</f>
        <v>500</v>
      </c>
      <c r="H588" s="42">
        <f>IF('G MTTS'!V584=0," ",'G MTTS'!V584*$A$3)</f>
        <v>3</v>
      </c>
      <c r="I588" s="42">
        <f>IF('G MTTS'!W584=0," ",'G MTTS'!W584*$A$3)</f>
        <v>3</v>
      </c>
      <c r="J588" s="42" t="str">
        <f>IF('G MTTS'!Z584=0," ",'G MTTS'!Z584*$A$3)</f>
        <v> </v>
      </c>
      <c r="K588" s="43">
        <f>'G MTTS'!AF584</f>
        <v>50000</v>
      </c>
      <c r="L588" s="43">
        <f>'G MTTS'!X584</f>
        <v>0</v>
      </c>
      <c r="M588" s="43" t="str">
        <f>'G MTTS'!AA584</f>
        <v>REENTRY</v>
      </c>
      <c r="N588" s="44">
        <f>'G MTTS'!AG584</f>
        <v>8</v>
      </c>
      <c r="O588" s="44">
        <f>'G MTTS'!AH584</f>
        <v>7</v>
      </c>
      <c r="P588" s="44">
        <f>'G MTTS'!AI584</f>
        <v>7</v>
      </c>
      <c r="Q588" s="45">
        <f>'G MTTS'!AJ584</f>
        <v>15</v>
      </c>
      <c r="R588" s="46">
        <f t="shared" si="49"/>
        <v>0.590289351851852</v>
      </c>
      <c r="S588" s="47" t="str">
        <f t="shared" si="51"/>
        <v>MICRO</v>
      </c>
    </row>
    <row r="589" ht="29.25" customHeight="1" outlineLevel="1" spans="1:19">
      <c r="A589" s="60" t="s">
        <v>522</v>
      </c>
      <c r="B589" s="36">
        <f>'G MTTS'!B585</f>
        <v>0.520844907407407</v>
      </c>
      <c r="C589" s="48" t="str">
        <f>'G MTTS'!J585</f>
        <v>#AS 10K OmaX PKO</v>
      </c>
      <c r="D589" s="49" t="str">
        <f>'G MTTS'!M585</f>
        <v>Side Event</v>
      </c>
      <c r="E589" s="50" t="str">
        <f>'G MTTS'!N585</f>
        <v>PLO5</v>
      </c>
      <c r="F589" s="51" t="str">
        <f>'G MTTS'!O585</f>
        <v>Progressive KO 1/2</v>
      </c>
      <c r="G589" s="52">
        <f>IF('G MTTS'!Q585=0," ",'G MTTS'!Q585*A$3)</f>
        <v>10000</v>
      </c>
      <c r="H589" s="53">
        <f>IF('G MTTS'!V585=0," ",'G MTTS'!V585*$A$3)</f>
        <v>60</v>
      </c>
      <c r="I589" s="53">
        <f>IF('G MTTS'!W585=0," ",'G MTTS'!W585*$A$3)</f>
        <v>60</v>
      </c>
      <c r="J589" s="53" t="str">
        <f>IF('G MTTS'!Z585=0," ",'G MTTS'!Z585*$A$3)</f>
        <v> </v>
      </c>
      <c r="K589" s="54">
        <f>'G MTTS'!AF585</f>
        <v>40000</v>
      </c>
      <c r="L589" s="54">
        <f>'G MTTS'!X585</f>
        <v>0</v>
      </c>
      <c r="M589" s="54" t="str">
        <f>'G MTTS'!AA585</f>
        <v>REENTRY</v>
      </c>
      <c r="N589" s="55">
        <f>'G MTTS'!AG585</f>
        <v>12</v>
      </c>
      <c r="O589" s="55">
        <f>'G MTTS'!AH585</f>
        <v>10</v>
      </c>
      <c r="P589" s="55">
        <f>'G MTTS'!AI585</f>
        <v>10</v>
      </c>
      <c r="Q589" s="56">
        <f>'G MTTS'!AJ585</f>
        <v>14</v>
      </c>
      <c r="R589" s="46">
        <f t="shared" si="49"/>
        <v>0.644456018518519</v>
      </c>
      <c r="S589" s="47" t="str">
        <f t="shared" si="51"/>
        <v>LOW</v>
      </c>
    </row>
    <row r="590" ht="29.25" customHeight="1" outlineLevel="1" spans="1:19">
      <c r="B590" s="36">
        <f>'G MTTS'!B586</f>
        <v>0.541678240740741</v>
      </c>
      <c r="C590" s="37" t="str">
        <f>'G MTTS'!J586</f>
        <v>#AS 8K Battle</v>
      </c>
      <c r="D590" s="38" t="str">
        <f>'G MTTS'!M586</f>
        <v>Side Event</v>
      </c>
      <c r="E590" s="39" t="str">
        <f>'G MTTS'!N586</f>
        <v>NLH</v>
      </c>
      <c r="F590" s="40" t="str">
        <f>'G MTTS'!O586</f>
        <v>Regular KO 1/2</v>
      </c>
      <c r="G590" s="41">
        <f>IF('G MTTS'!Q586=0," ",'G MTTS'!Q586*A$3)</f>
        <v>8000</v>
      </c>
      <c r="H590" s="42">
        <f>IF('G MTTS'!V586=0," ",'G MTTS'!V586*$A$3)</f>
        <v>25</v>
      </c>
      <c r="I590" s="42">
        <f>IF('G MTTS'!W586=0," ",'G MTTS'!W586*$A$3)</f>
        <v>25</v>
      </c>
      <c r="J590" s="42" t="str">
        <f>IF('G MTTS'!Z586=0," ",'G MTTS'!Z586*$A$3)</f>
        <v> </v>
      </c>
      <c r="K590" s="43">
        <f>'G MTTS'!AF586</f>
        <v>80000</v>
      </c>
      <c r="L590" s="43">
        <f>'G MTTS'!X586</f>
        <v>0</v>
      </c>
      <c r="M590" s="43" t="str">
        <f>'G MTTS'!AA586</f>
        <v>REENTRY</v>
      </c>
      <c r="N590" s="44">
        <f>'G MTTS'!AG586</f>
        <v>10</v>
      </c>
      <c r="O590" s="44">
        <f>'G MTTS'!AH586</f>
        <v>8</v>
      </c>
      <c r="P590" s="44">
        <f>'G MTTS'!AI586</f>
        <v>8</v>
      </c>
      <c r="Q590" s="45">
        <f>'G MTTS'!AJ586</f>
        <v>15</v>
      </c>
      <c r="R590" s="46">
        <f t="shared" si="49"/>
        <v>0.652789351851852</v>
      </c>
      <c r="S590" s="47" t="str">
        <f t="shared" si="51"/>
        <v>MICRO</v>
      </c>
    </row>
    <row r="591" ht="29.25" customHeight="1" outlineLevel="1" spans="1:19">
      <c r="B591" s="36">
        <f>'G MTTS'!B587</f>
        <v>0.552094907407407</v>
      </c>
      <c r="C591" s="48" t="str">
        <f>'G MTTS'!J587</f>
        <v>#AS 3.5K Freeze</v>
      </c>
      <c r="D591" s="49" t="str">
        <f>'G MTTS'!M587</f>
        <v>Side Event</v>
      </c>
      <c r="E591" s="50" t="str">
        <f>'G MTTS'!N587</f>
        <v>NLH</v>
      </c>
      <c r="F591" s="51" t="str">
        <f>'G MTTS'!O587</f>
        <v>OFF</v>
      </c>
      <c r="G591" s="52">
        <f>IF('G MTTS'!Q587=0," ",'G MTTS'!Q587*A$3)</f>
        <v>3500</v>
      </c>
      <c r="H591" s="53">
        <f>IF('G MTTS'!V587=0," ",'G MTTS'!V587*$A$3)</f>
        <v>35</v>
      </c>
      <c r="I591" s="53" t="str">
        <f>IF('G MTTS'!W587=0," ",'G MTTS'!W587*$A$3)</f>
        <v> </v>
      </c>
      <c r="J591" s="53" t="str">
        <f>IF('G MTTS'!Z587=0," ",'G MTTS'!Z587*$A$3)</f>
        <v> </v>
      </c>
      <c r="K591" s="54">
        <f>'G MTTS'!AF587</f>
        <v>40000</v>
      </c>
      <c r="L591" s="54">
        <f>'G MTTS'!X587</f>
        <v>0</v>
      </c>
      <c r="M591" s="54" t="str">
        <f>'G MTTS'!AA587</f>
        <v>FREEZE</v>
      </c>
      <c r="N591" s="55">
        <f>'G MTTS'!AG587</f>
        <v>10</v>
      </c>
      <c r="O591" s="55">
        <f>'G MTTS'!AH587</f>
        <v>10</v>
      </c>
      <c r="P591" s="55">
        <f>'G MTTS'!AI587</f>
        <v>10</v>
      </c>
      <c r="Q591" s="56">
        <f>'G MTTS'!AJ587</f>
        <v>14</v>
      </c>
      <c r="R591" s="46">
        <f t="shared" si="49"/>
        <v>0.656261574074074</v>
      </c>
      <c r="S591" s="47" t="str">
        <f t="shared" si="51"/>
        <v>LOW</v>
      </c>
    </row>
    <row r="592" ht="29.25" customHeight="1" outlineLevel="1" spans="1:19">
      <c r="A592" s="60"/>
      <c r="B592" s="36">
        <f>'G MTTS'!B588</f>
        <v>0.583344907407407</v>
      </c>
      <c r="C592" s="37" t="str">
        <f>'G MTTS'!J588</f>
        <v>1K Omax</v>
      </c>
      <c r="D592" s="38" t="str">
        <f>'G MTTS'!M588</f>
        <v>Side Event</v>
      </c>
      <c r="E592" s="39" t="str">
        <f>'G MTTS'!N588</f>
        <v>PLO6</v>
      </c>
      <c r="F592" s="40" t="str">
        <f>'G MTTS'!O588</f>
        <v>OFF</v>
      </c>
      <c r="G592" s="41">
        <f>IF('G MTTS'!Q588=0," ",'G MTTS'!Q588*A$3)</f>
        <v>1000</v>
      </c>
      <c r="H592" s="42">
        <f>IF('G MTTS'!V588=0," ",'G MTTS'!V588*$A$3)</f>
        <v>10</v>
      </c>
      <c r="I592" s="42">
        <f>IF('G MTTS'!W588=0," ",'G MTTS'!W588*$A$3)</f>
        <v>10</v>
      </c>
      <c r="J592" s="42">
        <f>IF('G MTTS'!Z588=0," ",'G MTTS'!Z588*$A$3)</f>
        <v>10</v>
      </c>
      <c r="K592" s="43">
        <f>'G MTTS'!AF588</f>
        <v>30000</v>
      </c>
      <c r="L592" s="43">
        <f>'G MTTS'!X588</f>
        <v>0</v>
      </c>
      <c r="M592" s="43">
        <f>'G MTTS'!AA588</f>
        <v>90000</v>
      </c>
      <c r="N592" s="44">
        <f>'G MTTS'!AG588</f>
        <v>8</v>
      </c>
      <c r="O592" s="44">
        <f>'G MTTS'!AH588</f>
        <v>8</v>
      </c>
      <c r="P592" s="44">
        <f>'G MTTS'!AI588</f>
        <v>8</v>
      </c>
      <c r="Q592" s="45">
        <f>'G MTTS'!AJ588</f>
        <v>11</v>
      </c>
      <c r="R592" s="46">
        <f t="shared" si="49"/>
        <v>0.647928240740741</v>
      </c>
      <c r="S592" s="47" t="str">
        <f t="shared" si="51"/>
        <v>MICRO</v>
      </c>
    </row>
    <row r="593" ht="29.25" customHeight="1" outlineLevel="1" spans="1:19">
      <c r="A593" s="60" t="s">
        <v>522</v>
      </c>
      <c r="B593" s="36">
        <f>'G MTTS'!B589</f>
        <v>0.583344907407407</v>
      </c>
      <c r="C593" s="48" t="str">
        <f>'G MTTS'!J589</f>
        <v>#AS 7.5K Mini Plus</v>
      </c>
      <c r="D593" s="49" t="str">
        <f>'G MTTS'!M589</f>
        <v>Side Event</v>
      </c>
      <c r="E593" s="50" t="str">
        <f>'G MTTS'!N589</f>
        <v>NLH</v>
      </c>
      <c r="F593" s="51" t="str">
        <f>'G MTTS'!O589</f>
        <v>OFF</v>
      </c>
      <c r="G593" s="52">
        <f>IF('G MTTS'!Q589=0," ",'G MTTS'!Q589*A$3)</f>
        <v>7500</v>
      </c>
      <c r="H593" s="53">
        <f>IF('G MTTS'!V589=0," ",'G MTTS'!V589*$A$3)</f>
        <v>5</v>
      </c>
      <c r="I593" s="53">
        <f>IF('G MTTS'!W589=0," ",'G MTTS'!W589*$A$3)</f>
        <v>5</v>
      </c>
      <c r="J593" s="53">
        <f>IF('G MTTS'!Z589=0," ",'G MTTS'!Z589*$A$3)</f>
        <v>5</v>
      </c>
      <c r="K593" s="54">
        <f>'G MTTS'!AF589</f>
        <v>40000</v>
      </c>
      <c r="L593" s="54">
        <f>'G MTTS'!X589</f>
        <v>0</v>
      </c>
      <c r="M593" s="54">
        <f>'G MTTS'!AA589</f>
        <v>120000</v>
      </c>
      <c r="N593" s="55">
        <f>'G MTTS'!AG589</f>
        <v>8</v>
      </c>
      <c r="O593" s="55">
        <f>'G MTTS'!AH589</f>
        <v>7</v>
      </c>
      <c r="P593" s="55">
        <f>'G MTTS'!AI589</f>
        <v>7</v>
      </c>
      <c r="Q593" s="56">
        <f>'G MTTS'!AJ589</f>
        <v>15</v>
      </c>
      <c r="R593" s="46">
        <f t="shared" si="49"/>
        <v>0.673622685185185</v>
      </c>
      <c r="S593" s="47" t="str">
        <f t="shared" si="51"/>
        <v>MICRO</v>
      </c>
    </row>
    <row r="594" ht="29.25" customHeight="1" outlineLevel="1" spans="1:19">
      <c r="B594" s="36">
        <f>'G MTTS'!B590</f>
        <v>0.583344907407407</v>
      </c>
      <c r="C594" s="179" t="str">
        <f>'G MTTS'!J590</f>
        <v>Sit&amp;go 200p max.</v>
      </c>
      <c r="D594" s="38" t="str">
        <f>'G MTTS'!M590</f>
        <v>Side Event</v>
      </c>
      <c r="E594" s="39" t="str">
        <f>'G MTTS'!N590</f>
        <v>NLH</v>
      </c>
      <c r="F594" s="40" t="str">
        <f>'G MTTS'!O590</f>
        <v>OFF</v>
      </c>
      <c r="G594" s="41">
        <f>IF('G MTTS'!Q590=0," ",'G MTTS'!Q590*A$3)</f>
        <v>200</v>
      </c>
      <c r="H594" s="42">
        <f>IF('G MTTS'!V590=0," ",'G MTTS'!V590*$A$3)</f>
        <v>3</v>
      </c>
      <c r="I594" s="42">
        <f>IF('G MTTS'!W590=0," ",'G MTTS'!W590*$A$3)</f>
        <v>3</v>
      </c>
      <c r="J594" s="42">
        <f>IF('G MTTS'!Z590=0," ",'G MTTS'!Z590*$A$3)</f>
        <v>3</v>
      </c>
      <c r="K594" s="43">
        <f>'G MTTS'!AF590</f>
        <v>20000</v>
      </c>
      <c r="L594" s="43">
        <f>'G MTTS'!X590</f>
        <v>0</v>
      </c>
      <c r="M594" s="43">
        <f>'G MTTS'!AA590</f>
        <v>30000</v>
      </c>
      <c r="N594" s="44">
        <f>'G MTTS'!AG590</f>
        <v>5</v>
      </c>
      <c r="O594" s="44">
        <f>'G MTTS'!AH590</f>
        <v>5</v>
      </c>
      <c r="P594" s="44">
        <f>'G MTTS'!AI590</f>
        <v>5</v>
      </c>
      <c r="Q594" s="45">
        <f>'G MTTS'!AJ590</f>
        <v>15</v>
      </c>
      <c r="R594" s="46">
        <f t="shared" si="49"/>
        <v>0.638900462962963</v>
      </c>
      <c r="S594" s="47" t="str">
        <f t="shared" si="51"/>
        <v>MICRO</v>
      </c>
    </row>
    <row r="595" ht="29.25" customHeight="1" outlineLevel="1" spans="1:19">
      <c r="B595" s="36">
        <f>'G MTTS'!B591</f>
        <v>0.625011574074074</v>
      </c>
      <c r="C595" s="178" t="str">
        <f>'G MTTS'!J591</f>
        <v>500 Omax PKO</v>
      </c>
      <c r="D595" s="49" t="str">
        <f>'G MTTS'!M591</f>
        <v>Side Event</v>
      </c>
      <c r="E595" s="50" t="str">
        <f>'G MTTS'!N591</f>
        <v>PLO4</v>
      </c>
      <c r="F595" s="51" t="str">
        <f>'G MTTS'!O591</f>
        <v>Progressive KO 1/2</v>
      </c>
      <c r="G595" s="52">
        <f>IF('G MTTS'!Q591=0," ",'G MTTS'!Q591*A$3)</f>
        <v>500</v>
      </c>
      <c r="H595" s="53">
        <f>IF('G MTTS'!V591=0," ",'G MTTS'!V591*$A$3)</f>
        <v>3</v>
      </c>
      <c r="I595" s="53">
        <f>IF('G MTTS'!W591=0," ",'G MTTS'!W591*$A$3)</f>
        <v>3</v>
      </c>
      <c r="J595" s="53" t="str">
        <f>IF('G MTTS'!Z591=0," ",'G MTTS'!Z591*$A$3)</f>
        <v> </v>
      </c>
      <c r="K595" s="54">
        <f>'G MTTS'!AF591</f>
        <v>50000</v>
      </c>
      <c r="L595" s="54">
        <f>'G MTTS'!X591</f>
        <v>0</v>
      </c>
      <c r="M595" s="54" t="str">
        <f>'G MTTS'!AA591</f>
        <v>REENTRY</v>
      </c>
      <c r="N595" s="55">
        <f>'G MTTS'!AG591</f>
        <v>8</v>
      </c>
      <c r="O595" s="55">
        <f>'G MTTS'!AH591</f>
        <v>7</v>
      </c>
      <c r="P595" s="55">
        <f>'G MTTS'!AI591</f>
        <v>7</v>
      </c>
      <c r="Q595" s="56">
        <f>'G MTTS'!AJ591</f>
        <v>15</v>
      </c>
      <c r="R595" s="46">
        <f t="shared" si="49"/>
        <v>0.715289351851852</v>
      </c>
      <c r="S595" s="47" t="str">
        <f t="shared" si="51"/>
        <v>MICRO</v>
      </c>
    </row>
    <row r="596" ht="29.25" customHeight="1" outlineLevel="1" spans="1:19">
      <c r="A596" s="60" t="s">
        <v>522</v>
      </c>
      <c r="B596" s="36">
        <f>'G MTTS'!B592</f>
        <v>0.625011574074074</v>
      </c>
      <c r="C596" s="179" t="str">
        <f>'G MTTS'!J592</f>
        <v>#AS 2K Omax K.O</v>
      </c>
      <c r="D596" s="38" t="str">
        <f>'G MTTS'!M592</f>
        <v>Side Event</v>
      </c>
      <c r="E596" s="39" t="str">
        <f>'G MTTS'!N592</f>
        <v>PLO5</v>
      </c>
      <c r="F596" s="40" t="str">
        <f>'G MTTS'!O592</f>
        <v>Regular KO 1/3</v>
      </c>
      <c r="G596" s="41">
        <f>IF('G MTTS'!Q592=0," ",'G MTTS'!Q592*A$3)</f>
        <v>2000</v>
      </c>
      <c r="H596" s="42">
        <f>IF('G MTTS'!V592=0," ",'G MTTS'!V592*$A$3)</f>
        <v>20</v>
      </c>
      <c r="I596" s="42">
        <f>IF('G MTTS'!W592=0," ",'G MTTS'!W592*$A$3)</f>
        <v>20</v>
      </c>
      <c r="J596" s="42" t="str">
        <f>IF('G MTTS'!Z592=0," ",'G MTTS'!Z592*$A$3)</f>
        <v> </v>
      </c>
      <c r="K596" s="43">
        <f>'G MTTS'!AF592</f>
        <v>40000</v>
      </c>
      <c r="L596" s="43">
        <f>'G MTTS'!X592</f>
        <v>0</v>
      </c>
      <c r="M596" s="43" t="str">
        <f>'G MTTS'!AA592</f>
        <v>REENTRY</v>
      </c>
      <c r="N596" s="44">
        <f>'G MTTS'!AG592</f>
        <v>10</v>
      </c>
      <c r="O596" s="44">
        <f>'G MTTS'!AH592</f>
        <v>8</v>
      </c>
      <c r="P596" s="44">
        <f>'G MTTS'!AI592</f>
        <v>8</v>
      </c>
      <c r="Q596" s="45">
        <f>'G MTTS'!AJ592</f>
        <v>14</v>
      </c>
      <c r="R596" s="46">
        <f t="shared" si="49"/>
        <v>0.729178240740741</v>
      </c>
      <c r="S596" s="47" t="str">
        <f t="shared" si="51"/>
        <v>MICRO</v>
      </c>
    </row>
    <row r="597" ht="29.25" customHeight="1" outlineLevel="1" spans="1:19">
      <c r="B597" s="36">
        <f>'G MTTS'!B593</f>
        <v>0.645844907407407</v>
      </c>
      <c r="C597" s="178" t="str">
        <f>'G MTTS'!J593</f>
        <v>#AS 10K OmaX PKO</v>
      </c>
      <c r="D597" s="49" t="str">
        <f>'G MTTS'!M593</f>
        <v>Side Event</v>
      </c>
      <c r="E597" s="50" t="str">
        <f>'G MTTS'!N593</f>
        <v>PLO6</v>
      </c>
      <c r="F597" s="51" t="str">
        <f>'G MTTS'!O593</f>
        <v>Progressive KO 1/2</v>
      </c>
      <c r="G597" s="52">
        <f>IF('G MTTS'!Q593=0," ",'G MTTS'!Q593*A$3)</f>
        <v>10000</v>
      </c>
      <c r="H597" s="53">
        <f>IF('G MTTS'!V593=0," ",'G MTTS'!V593*$A$3)</f>
        <v>150</v>
      </c>
      <c r="I597" s="53">
        <f>IF('G MTTS'!W593=0," ",'G MTTS'!W593*$A$3)</f>
        <v>150</v>
      </c>
      <c r="J597" s="53" t="str">
        <f>IF('G MTTS'!Z593=0," ",'G MTTS'!Z593*$A$3)</f>
        <v> </v>
      </c>
      <c r="K597" s="54">
        <f>'G MTTS'!AF593</f>
        <v>40000</v>
      </c>
      <c r="L597" s="54">
        <f>'G MTTS'!X593</f>
        <v>0</v>
      </c>
      <c r="M597" s="54" t="str">
        <f>'G MTTS'!AA593</f>
        <v>REENTRY</v>
      </c>
      <c r="N597" s="55">
        <f>'G MTTS'!AG593</f>
        <v>10</v>
      </c>
      <c r="O597" s="55">
        <f>'G MTTS'!AH593</f>
        <v>10</v>
      </c>
      <c r="P597" s="55">
        <f>'G MTTS'!AI593</f>
        <v>10</v>
      </c>
      <c r="Q597" s="56">
        <f>'G MTTS'!AJ593</f>
        <v>14</v>
      </c>
      <c r="R597" s="46">
        <f t="shared" si="49"/>
        <v>0.750011574074074</v>
      </c>
      <c r="S597" s="47" t="str">
        <f t="shared" si="51"/>
        <v>MEDIUM</v>
      </c>
    </row>
    <row r="598" ht="29.25" customHeight="1" outlineLevel="1" spans="1:19">
      <c r="A598" s="60" t="s">
        <v>522</v>
      </c>
      <c r="B598" s="36">
        <f>'G MTTS'!B594</f>
        <v>0.666678240740741</v>
      </c>
      <c r="C598" s="179" t="str">
        <f>'G MTTS'!J594</f>
        <v>500 Omax</v>
      </c>
      <c r="D598" s="38" t="str">
        <f>'G MTTS'!M594</f>
        <v>Side Event</v>
      </c>
      <c r="E598" s="39" t="str">
        <f>'G MTTS'!N594</f>
        <v>PLO4</v>
      </c>
      <c r="F598" s="40" t="str">
        <f>'G MTTS'!O594</f>
        <v>OFF</v>
      </c>
      <c r="G598" s="41">
        <f>IF('G MTTS'!Q594=0," ",'G MTTS'!Q594*A$3)</f>
        <v>500</v>
      </c>
      <c r="H598" s="42">
        <f>IF('G MTTS'!V594=0," ",'G MTTS'!V594*$A$3)</f>
        <v>4</v>
      </c>
      <c r="I598" s="42">
        <f>IF('G MTTS'!W594=0," ",'G MTTS'!W594*$A$3)</f>
        <v>4</v>
      </c>
      <c r="J598" s="42">
        <f>IF('G MTTS'!Z594=0," ",'G MTTS'!Z594*$A$3)</f>
        <v>4</v>
      </c>
      <c r="K598" s="43">
        <f>'G MTTS'!AF594</f>
        <v>40000</v>
      </c>
      <c r="L598" s="43">
        <f>'G MTTS'!X594</f>
        <v>0</v>
      </c>
      <c r="M598" s="43">
        <f>'G MTTS'!AA594</f>
        <v>100000</v>
      </c>
      <c r="N598" s="44">
        <f>'G MTTS'!AG594</f>
        <v>8</v>
      </c>
      <c r="O598" s="44">
        <f>'G MTTS'!AH594</f>
        <v>7</v>
      </c>
      <c r="P598" s="44">
        <f>'G MTTS'!AI594</f>
        <v>7</v>
      </c>
      <c r="Q598" s="45">
        <f>'G MTTS'!AJ594</f>
        <v>12</v>
      </c>
      <c r="R598" s="46">
        <f t="shared" si="49"/>
        <v>0.73681712962963</v>
      </c>
      <c r="S598" s="47" t="str">
        <f t="shared" si="51"/>
        <v>MICRO</v>
      </c>
    </row>
    <row r="599" ht="29.25" customHeight="1" outlineLevel="1" spans="1:19">
      <c r="B599" s="36">
        <f>'G MTTS'!B595</f>
        <v>0.666678240740741</v>
      </c>
      <c r="C599" s="178" t="str">
        <f>'G MTTS'!J595</f>
        <v>1K Plus</v>
      </c>
      <c r="D599" s="49" t="str">
        <f>'G MTTS'!M595</f>
        <v>Side Event</v>
      </c>
      <c r="E599" s="50" t="str">
        <f>'G MTTS'!N595</f>
        <v>NLH</v>
      </c>
      <c r="F599" s="51" t="str">
        <f>'G MTTS'!O595</f>
        <v>OFF</v>
      </c>
      <c r="G599" s="52">
        <f>IF('G MTTS'!Q595=0," ",'G MTTS'!Q595*A$3)</f>
        <v>1000</v>
      </c>
      <c r="H599" s="53">
        <f>IF('G MTTS'!V595=0," ",'G MTTS'!V595*$A$3)</f>
        <v>2</v>
      </c>
      <c r="I599" s="53">
        <f>IF('G MTTS'!W595=0," ",'G MTTS'!W595*$A$3)</f>
        <v>2</v>
      </c>
      <c r="J599" s="53">
        <f>IF('G MTTS'!Z595=0," ",'G MTTS'!Z595*$A$3)</f>
        <v>3</v>
      </c>
      <c r="K599" s="54">
        <f>'G MTTS'!AF595</f>
        <v>20000</v>
      </c>
      <c r="L599" s="54">
        <f>'G MTTS'!X595</f>
        <v>0</v>
      </c>
      <c r="M599" s="54">
        <f>'G MTTS'!AA595</f>
        <v>60000</v>
      </c>
      <c r="N599" s="55">
        <f>'G MTTS'!AG595</f>
        <v>8</v>
      </c>
      <c r="O599" s="55">
        <f>'G MTTS'!AH595</f>
        <v>7</v>
      </c>
      <c r="P599" s="55">
        <f>'G MTTS'!AI595</f>
        <v>7</v>
      </c>
      <c r="Q599" s="56">
        <f>'G MTTS'!AJ595</f>
        <v>12</v>
      </c>
      <c r="R599" s="46">
        <f t="shared" si="49"/>
        <v>0.73681712962963</v>
      </c>
      <c r="S599" s="47" t="str">
        <f t="shared" si="51"/>
        <v>MICRO</v>
      </c>
    </row>
    <row r="600" ht="29.25" customHeight="1" outlineLevel="1" spans="1:19">
      <c r="B600" s="36">
        <f>'G MTTS'!B596</f>
        <v>0.666678240740741</v>
      </c>
      <c r="C600" s="37" t="str">
        <f>'G MTTS'!J596</f>
        <v>1K Battle PKO</v>
      </c>
      <c r="D600" s="38" t="str">
        <f>'G MTTS'!M596</f>
        <v>Side Event</v>
      </c>
      <c r="E600" s="39" t="str">
        <f>'G MTTS'!N596</f>
        <v>NLH</v>
      </c>
      <c r="F600" s="40" t="str">
        <f>'G MTTS'!O596</f>
        <v>Progressive KO 1/2</v>
      </c>
      <c r="G600" s="41">
        <f>IF('G MTTS'!Q596=0," ",'G MTTS'!Q596*A$3)</f>
        <v>1000</v>
      </c>
      <c r="H600" s="42">
        <f>IF('G MTTS'!V596=0," ",'G MTTS'!V596*$A$3)</f>
        <v>5</v>
      </c>
      <c r="I600" s="42">
        <f>IF('G MTTS'!W596=0," ",'G MTTS'!W596*$A$3)</f>
        <v>5</v>
      </c>
      <c r="J600" s="42" t="str">
        <f>IF('G MTTS'!Z596=0," ",'G MTTS'!Z596*$A$3)</f>
        <v> </v>
      </c>
      <c r="K600" s="43">
        <f>'G MTTS'!AF596</f>
        <v>50000</v>
      </c>
      <c r="L600" s="43">
        <f>'G MTTS'!X596</f>
        <v>0</v>
      </c>
      <c r="M600" s="43" t="str">
        <f>'G MTTS'!AA596</f>
        <v>REENTRY</v>
      </c>
      <c r="N600" s="44">
        <f>'G MTTS'!AG596</f>
        <v>8</v>
      </c>
      <c r="O600" s="44">
        <f>'G MTTS'!AH596</f>
        <v>7</v>
      </c>
      <c r="P600" s="44">
        <f>'G MTTS'!AI596</f>
        <v>7</v>
      </c>
      <c r="Q600" s="45">
        <f>'G MTTS'!AJ596</f>
        <v>15</v>
      </c>
      <c r="R600" s="46">
        <f t="shared" si="49"/>
        <v>0.756956018518519</v>
      </c>
      <c r="S600" s="47" t="str">
        <f t="shared" si="51"/>
        <v>MICRO</v>
      </c>
    </row>
    <row r="601" ht="29.25" customHeight="1" outlineLevel="1" spans="1:19">
      <c r="A601" s="60" t="s">
        <v>522</v>
      </c>
      <c r="B601" s="36">
        <f>'G MTTS'!B597</f>
        <v>0.687511574074074</v>
      </c>
      <c r="C601" s="48" t="str">
        <f>'G MTTS'!J597</f>
        <v>#AS 3.5K Freeze</v>
      </c>
      <c r="D601" s="49" t="str">
        <f>'G MTTS'!M597</f>
        <v>Side Event</v>
      </c>
      <c r="E601" s="50" t="str">
        <f>'G MTTS'!N597</f>
        <v>NLH</v>
      </c>
      <c r="F601" s="51" t="str">
        <f>'G MTTS'!O597</f>
        <v>OFF</v>
      </c>
      <c r="G601" s="52">
        <f>IF('G MTTS'!Q597=0," ",'G MTTS'!Q597*A$3)</f>
        <v>3500</v>
      </c>
      <c r="H601" s="53">
        <f>IF('G MTTS'!V597=0," ",'G MTTS'!V597*$A$3)</f>
        <v>35</v>
      </c>
      <c r="I601" s="53" t="str">
        <f>IF('G MTTS'!W597=0," ",'G MTTS'!W597*$A$3)</f>
        <v> </v>
      </c>
      <c r="J601" s="53" t="str">
        <f>IF('G MTTS'!Z597=0," ",'G MTTS'!Z597*$A$3)</f>
        <v> </v>
      </c>
      <c r="K601" s="54">
        <f>'G MTTS'!AF597</f>
        <v>40000</v>
      </c>
      <c r="L601" s="54">
        <f>'G MTTS'!X597</f>
        <v>0</v>
      </c>
      <c r="M601" s="54" t="str">
        <f>'G MTTS'!AA597</f>
        <v>FREEZE</v>
      </c>
      <c r="N601" s="55">
        <f>'G MTTS'!AG597</f>
        <v>10</v>
      </c>
      <c r="O601" s="55">
        <f>'G MTTS'!AH597</f>
        <v>10</v>
      </c>
      <c r="P601" s="55">
        <f>'G MTTS'!AI597</f>
        <v>10</v>
      </c>
      <c r="Q601" s="56">
        <f>'G MTTS'!AJ597</f>
        <v>14</v>
      </c>
      <c r="R601" s="46">
        <f t="shared" si="49"/>
        <v>0.791678240740741</v>
      </c>
      <c r="S601" s="47" t="str">
        <f t="shared" si="51"/>
        <v>LOW</v>
      </c>
    </row>
    <row r="602" ht="29.25" customHeight="1" outlineLevel="1" spans="1:19">
      <c r="B602" s="36">
        <f>'G MTTS'!B598</f>
        <v>0.708344907407407</v>
      </c>
      <c r="C602" s="37" t="str">
        <f>'G MTTS'!J598</f>
        <v>#AS 12.5K Battle PKO</v>
      </c>
      <c r="D602" s="38" t="str">
        <f>'G MTTS'!M598</f>
        <v>Side Event</v>
      </c>
      <c r="E602" s="39" t="str">
        <f>'G MTTS'!N598</f>
        <v>NLH</v>
      </c>
      <c r="F602" s="40" t="str">
        <f>'G MTTS'!O598</f>
        <v>Progressive KO 1/2</v>
      </c>
      <c r="G602" s="41">
        <f>IF('G MTTS'!Q598=0," ",'G MTTS'!Q598*A$3)</f>
        <v>12500</v>
      </c>
      <c r="H602" s="42">
        <f>IF('G MTTS'!V598=0," ",'G MTTS'!V598*$A$3)</f>
        <v>25</v>
      </c>
      <c r="I602" s="42">
        <f>IF('G MTTS'!W598=0," ",'G MTTS'!W598*$A$3)</f>
        <v>25</v>
      </c>
      <c r="J602" s="42" t="str">
        <f>IF('G MTTS'!Z598=0," ",'G MTTS'!Z598*$A$3)</f>
        <v> </v>
      </c>
      <c r="K602" s="43">
        <f>'G MTTS'!AF598</f>
        <v>80000</v>
      </c>
      <c r="L602" s="43">
        <f>'G MTTS'!X598</f>
        <v>0</v>
      </c>
      <c r="M602" s="43" t="str">
        <f>'G MTTS'!AA598</f>
        <v>REENTRY</v>
      </c>
      <c r="N602" s="44">
        <f>'G MTTS'!AG598</f>
        <v>12</v>
      </c>
      <c r="O602" s="44">
        <f>'G MTTS'!AH598</f>
        <v>10</v>
      </c>
      <c r="P602" s="44">
        <f>'G MTTS'!AI598</f>
        <v>10</v>
      </c>
      <c r="Q602" s="45">
        <f>'G MTTS'!AJ598</f>
        <v>15</v>
      </c>
      <c r="R602" s="46">
        <f t="shared" si="49"/>
        <v>0.843761574074074</v>
      </c>
      <c r="S602" s="47" t="str">
        <f t="shared" si="51"/>
        <v>MICRO</v>
      </c>
    </row>
    <row r="603" ht="29.25" customHeight="1" outlineLevel="1" spans="1:19">
      <c r="B603" s="36">
        <f>'G MTTS'!B599</f>
        <v>0.708344907407407</v>
      </c>
      <c r="C603" s="48" t="str">
        <f>'G MTTS'!J599</f>
        <v>Sit&amp;go 200p max.</v>
      </c>
      <c r="D603" s="49" t="str">
        <f>'G MTTS'!M599</f>
        <v>Side Event</v>
      </c>
      <c r="E603" s="50" t="str">
        <f>'G MTTS'!N599</f>
        <v>NLH</v>
      </c>
      <c r="F603" s="51" t="str">
        <f>'G MTTS'!O599</f>
        <v>OFF</v>
      </c>
      <c r="G603" s="52">
        <f>IF('G MTTS'!Q599=0," ",'G MTTS'!Q599*A$3)</f>
        <v>200</v>
      </c>
      <c r="H603" s="53">
        <f>IF('G MTTS'!V599=0," ",'G MTTS'!V599*$A$3)</f>
        <v>3</v>
      </c>
      <c r="I603" s="53">
        <f>IF('G MTTS'!W599=0," ",'G MTTS'!W599*$A$3)</f>
        <v>3</v>
      </c>
      <c r="J603" s="53">
        <f>IF('G MTTS'!Z599=0," ",'G MTTS'!Z599*$A$3)</f>
        <v>3</v>
      </c>
      <c r="K603" s="54">
        <f>'G MTTS'!AF599</f>
        <v>20000</v>
      </c>
      <c r="L603" s="54">
        <f>'G MTTS'!X599</f>
        <v>0</v>
      </c>
      <c r="M603" s="54">
        <f>'G MTTS'!AA599</f>
        <v>30000</v>
      </c>
      <c r="N603" s="55">
        <f>'G MTTS'!AG599</f>
        <v>5</v>
      </c>
      <c r="O603" s="55">
        <f>'G MTTS'!AH599</f>
        <v>5</v>
      </c>
      <c r="P603" s="55">
        <f>'G MTTS'!AI599</f>
        <v>5</v>
      </c>
      <c r="Q603" s="56">
        <f>'G MTTS'!AJ599</f>
        <v>15</v>
      </c>
      <c r="R603" s="46">
        <f t="shared" si="49"/>
        <v>0.763900462962963</v>
      </c>
      <c r="S603" s="47" t="str">
        <f t="shared" si="51"/>
        <v>MICRO</v>
      </c>
    </row>
    <row r="604" ht="29.25" customHeight="1" outlineLevel="1" spans="1:19">
      <c r="A604" s="60" t="s">
        <v>522</v>
      </c>
      <c r="B604" s="36">
        <f>'G MTTS'!B600</f>
        <v>0.750011574074074</v>
      </c>
      <c r="C604" s="179" t="str">
        <f>'G MTTS'!J600</f>
        <v>500 Omax PKO</v>
      </c>
      <c r="D604" s="38" t="str">
        <f>'G MTTS'!M600</f>
        <v>Side Event</v>
      </c>
      <c r="E604" s="39" t="str">
        <f>'G MTTS'!N600</f>
        <v>PLO4</v>
      </c>
      <c r="F604" s="40" t="str">
        <f>'G MTTS'!O600</f>
        <v>Progressive KO 1/2</v>
      </c>
      <c r="G604" s="41">
        <f>IF('G MTTS'!Q600=0," ",'G MTTS'!Q600*A$3)</f>
        <v>500</v>
      </c>
      <c r="H604" s="42">
        <f>IF('G MTTS'!V600=0," ",'G MTTS'!V600*$A$3)</f>
        <v>3</v>
      </c>
      <c r="I604" s="42">
        <f>IF('G MTTS'!W600=0," ",'G MTTS'!W600*$A$3)</f>
        <v>3</v>
      </c>
      <c r="J604" s="42" t="str">
        <f>IF('G MTTS'!Z600=0," ",'G MTTS'!Z600*$A$3)</f>
        <v> </v>
      </c>
      <c r="K604" s="43">
        <f>'G MTTS'!AF600</f>
        <v>50000</v>
      </c>
      <c r="L604" s="43">
        <f>'G MTTS'!X600</f>
        <v>0</v>
      </c>
      <c r="M604" s="43" t="str">
        <f>'G MTTS'!AA600</f>
        <v>REENTRY</v>
      </c>
      <c r="N604" s="44">
        <f>'G MTTS'!AG600</f>
        <v>8</v>
      </c>
      <c r="O604" s="44">
        <f>'G MTTS'!AH600</f>
        <v>7</v>
      </c>
      <c r="P604" s="44">
        <f>'G MTTS'!AI600</f>
        <v>7</v>
      </c>
      <c r="Q604" s="45">
        <f>'G MTTS'!AJ600</f>
        <v>15</v>
      </c>
      <c r="R604" s="46">
        <f t="shared" si="49"/>
        <v>0.840289351851852</v>
      </c>
      <c r="S604" s="47" t="str">
        <f t="shared" si="51"/>
        <v>MICRO</v>
      </c>
    </row>
    <row r="605" ht="29.25" customHeight="1" outlineLevel="1" spans="1:19">
      <c r="B605" s="36">
        <f>'G MTTS'!B601</f>
        <v>0.750011574074074</v>
      </c>
      <c r="C605" s="178" t="str">
        <f>'G MTTS'!J601</f>
        <v>#AS 10K Bounty</v>
      </c>
      <c r="D605" s="49" t="str">
        <f>'G MTTS'!M601</f>
        <v>Side Event</v>
      </c>
      <c r="E605" s="50" t="str">
        <f>'G MTTS'!N601</f>
        <v>NLH</v>
      </c>
      <c r="F605" s="51" t="str">
        <f>'G MTTS'!O601</f>
        <v>Progressive KO 1/2</v>
      </c>
      <c r="G605" s="52">
        <f>IF('G MTTS'!Q601=0," ",'G MTTS'!Q601*A$3)</f>
        <v>10000</v>
      </c>
      <c r="H605" s="53">
        <f>IF('G MTTS'!V601=0," ",'G MTTS'!V601*$A$3)</f>
        <v>110</v>
      </c>
      <c r="I605" s="53">
        <f>IF('G MTTS'!W601=0," ",'G MTTS'!W601*$A$3)</f>
        <v>110</v>
      </c>
      <c r="J605" s="53" t="str">
        <f>IF('G MTTS'!Z601=0," ",'G MTTS'!Z601*$A$3)</f>
        <v> </v>
      </c>
      <c r="K605" s="54">
        <f>'G MTTS'!AF601</f>
        <v>50000</v>
      </c>
      <c r="L605" s="54">
        <f>'G MTTS'!X601</f>
        <v>0</v>
      </c>
      <c r="M605" s="54" t="str">
        <f>'G MTTS'!AA601</f>
        <v>REENTRY</v>
      </c>
      <c r="N605" s="55">
        <f>'G MTTS'!AG601</f>
        <v>12</v>
      </c>
      <c r="O605" s="55">
        <f>'G MTTS'!AH601</f>
        <v>10</v>
      </c>
      <c r="P605" s="55">
        <f>'G MTTS'!AI601</f>
        <v>10</v>
      </c>
      <c r="Q605" s="56">
        <f>'G MTTS'!AJ601</f>
        <v>15</v>
      </c>
      <c r="R605" s="46">
        <f t="shared" si="49"/>
        <v>0.885428240740741</v>
      </c>
      <c r="S605" s="47" t="str">
        <f t="shared" si="51"/>
        <v>MEDIUM</v>
      </c>
    </row>
    <row r="606" ht="29.25" customHeight="1" outlineLevel="1" spans="1:19">
      <c r="B606" s="36">
        <f>'G MTTS'!B602</f>
        <v>0.770844907407407</v>
      </c>
      <c r="C606" s="179" t="str">
        <f>'G MTTS'!J602</f>
        <v>#AS 7K Mini Plus+SPS</v>
      </c>
      <c r="D606" s="38" t="str">
        <f>'G MTTS'!M602</f>
        <v>Side Event</v>
      </c>
      <c r="E606" s="39" t="str">
        <f>'G MTTS'!N602</f>
        <v>NLH</v>
      </c>
      <c r="F606" s="40" t="str">
        <f>'G MTTS'!O602</f>
        <v>OFF</v>
      </c>
      <c r="G606" s="41">
        <f>IF('G MTTS'!Q602=0," ",'G MTTS'!Q602*A$3)</f>
        <v>8000</v>
      </c>
      <c r="H606" s="42">
        <f>IF('G MTTS'!V602=0," ",'G MTTS'!V602*$A$3)</f>
        <v>3</v>
      </c>
      <c r="I606" s="42">
        <f>IF('G MTTS'!W602=0," ",'G MTTS'!W602*$A$3)</f>
        <v>3</v>
      </c>
      <c r="J606" s="42">
        <f>IF('G MTTS'!Z602=0," ",'G MTTS'!Z602*$A$3)</f>
        <v>3</v>
      </c>
      <c r="K606" s="43">
        <f>'G MTTS'!AF602</f>
        <v>40000</v>
      </c>
      <c r="L606" s="43">
        <f>'G MTTS'!X602</f>
        <v>0</v>
      </c>
      <c r="M606" s="43">
        <f>'G MTTS'!AA602</f>
        <v>160000</v>
      </c>
      <c r="N606" s="44">
        <f>'G MTTS'!AG602</f>
        <v>8</v>
      </c>
      <c r="O606" s="44">
        <f>'G MTTS'!AH602</f>
        <v>7</v>
      </c>
      <c r="P606" s="44">
        <f>'G MTTS'!AI602</f>
        <v>7</v>
      </c>
      <c r="Q606" s="45">
        <f>'G MTTS'!AJ602</f>
        <v>15</v>
      </c>
      <c r="R606" s="46">
        <f t="shared" si="49"/>
        <v>0.861122685185185</v>
      </c>
      <c r="S606" s="47" t="str">
        <f t="shared" si="51"/>
        <v>MICRO</v>
      </c>
    </row>
    <row r="607" ht="29.25" customHeight="1" outlineLevel="1" spans="1:19">
      <c r="A607" s="60" t="s">
        <v>522</v>
      </c>
      <c r="B607" s="36">
        <f>'G MTTS'!B603</f>
        <v>0.770844907407407</v>
      </c>
      <c r="C607" s="178" t="str">
        <f>'G MTTS'!J603</f>
        <v>#AS 5K Deep Freeze</v>
      </c>
      <c r="D607" s="49" t="str">
        <f>'G MTTS'!M603</f>
        <v>Side Event</v>
      </c>
      <c r="E607" s="50" t="str">
        <f>'G MTTS'!N603</f>
        <v>NLH</v>
      </c>
      <c r="F607" s="51" t="str">
        <f>'G MTTS'!O603</f>
        <v>OFF</v>
      </c>
      <c r="G607" s="52">
        <f>IF('G MTTS'!Q603=0," ",'G MTTS'!Q603*A$3)</f>
        <v>5000</v>
      </c>
      <c r="H607" s="53">
        <f>IF('G MTTS'!V603=0," ",'G MTTS'!V603*$A$3)</f>
        <v>55</v>
      </c>
      <c r="I607" s="53" t="str">
        <f>IF('G MTTS'!W603=0," ",'G MTTS'!W603*$A$3)</f>
        <v> </v>
      </c>
      <c r="J607" s="53" t="str">
        <f>IF('G MTTS'!Z603=0," ",'G MTTS'!Z603*$A$3)</f>
        <v> </v>
      </c>
      <c r="K607" s="54">
        <f>'G MTTS'!AF603</f>
        <v>60000</v>
      </c>
      <c r="L607" s="54">
        <f>'G MTTS'!X603</f>
        <v>0</v>
      </c>
      <c r="M607" s="54" t="str">
        <f>'G MTTS'!AA603</f>
        <v>FREEZE</v>
      </c>
      <c r="N607" s="55">
        <f>'G MTTS'!AG603</f>
        <v>10</v>
      </c>
      <c r="O607" s="55">
        <f>'G MTTS'!AH603</f>
        <v>10</v>
      </c>
      <c r="P607" s="55">
        <f>'G MTTS'!AI603</f>
        <v>10</v>
      </c>
      <c r="Q607" s="56">
        <f>'G MTTS'!AJ603</f>
        <v>15</v>
      </c>
      <c r="R607" s="46">
        <f t="shared" si="49"/>
        <v>0.881956018518518</v>
      </c>
      <c r="S607" s="47" t="str">
        <f t="shared" si="51"/>
        <v>LOW</v>
      </c>
    </row>
    <row r="608" ht="29.25" customHeight="1" outlineLevel="1" spans="1:19">
      <c r="B608" s="36">
        <f>'G MTTS'!B604</f>
        <v>0.791678240740741</v>
      </c>
      <c r="C608" s="179" t="str">
        <f>'G MTTS'!J604</f>
        <v>#AS 15K OmaX PKO</v>
      </c>
      <c r="D608" s="38" t="str">
        <f>'G MTTS'!M604</f>
        <v>Side Event</v>
      </c>
      <c r="E608" s="39" t="str">
        <f>'G MTTS'!N604</f>
        <v>PLO5</v>
      </c>
      <c r="F608" s="40" t="str">
        <f>'G MTTS'!O604</f>
        <v>Progressive KO 1/2</v>
      </c>
      <c r="G608" s="41">
        <f>IF('G MTTS'!Q604=0," ",'G MTTS'!Q604*A$3)</f>
        <v>15000</v>
      </c>
      <c r="H608" s="42">
        <f>IF('G MTTS'!V604=0," ",'G MTTS'!V604*$A$3)</f>
        <v>75</v>
      </c>
      <c r="I608" s="42">
        <f>IF('G MTTS'!W604=0," ",'G MTTS'!W604*$A$3)</f>
        <v>75</v>
      </c>
      <c r="J608" s="42" t="str">
        <f>IF('G MTTS'!Z604=0," ",'G MTTS'!Z604*$A$3)</f>
        <v> </v>
      </c>
      <c r="K608" s="43">
        <f>'G MTTS'!AF604</f>
        <v>50000</v>
      </c>
      <c r="L608" s="43">
        <f>'G MTTS'!X604</f>
        <v>0</v>
      </c>
      <c r="M608" s="43" t="str">
        <f>'G MTTS'!AA604</f>
        <v>REENTRY</v>
      </c>
      <c r="N608" s="44">
        <f>'G MTTS'!AG604</f>
        <v>12</v>
      </c>
      <c r="O608" s="44">
        <f>'G MTTS'!AH604</f>
        <v>10</v>
      </c>
      <c r="P608" s="44">
        <f>'G MTTS'!AI604</f>
        <v>10</v>
      </c>
      <c r="Q608" s="45">
        <f>'G MTTS'!AJ604</f>
        <v>15</v>
      </c>
      <c r="R608" s="46">
        <f t="shared" si="49"/>
        <v>0.927094907407407</v>
      </c>
      <c r="S608" s="47" t="str">
        <f t="shared" si="51"/>
        <v>LOW</v>
      </c>
    </row>
    <row r="609" ht="29.25" customHeight="1" outlineLevel="1" spans="1:19">
      <c r="B609" s="36">
        <f>'G MTTS'!B605</f>
        <v>0.791678240740741</v>
      </c>
      <c r="C609" s="178" t="str">
        <f>'G MTTS'!J605</f>
        <v>600 Bounty</v>
      </c>
      <c r="D609" s="49" t="str">
        <f>'G MTTS'!M605</f>
        <v>Side Event</v>
      </c>
      <c r="E609" s="50" t="str">
        <f>'G MTTS'!N605</f>
        <v>NLH</v>
      </c>
      <c r="F609" s="51" t="str">
        <f>'G MTTS'!O605</f>
        <v>Progressive KO 1/3</v>
      </c>
      <c r="G609" s="52">
        <f>IF('G MTTS'!Q605=0," ",'G MTTS'!Q605*A$3)</f>
        <v>600</v>
      </c>
      <c r="H609" s="53">
        <f>IF('G MTTS'!V605=0," ",'G MTTS'!V605*$A$3)</f>
        <v>6</v>
      </c>
      <c r="I609" s="53">
        <f>IF('G MTTS'!W605=0," ",'G MTTS'!W605*$A$3)</f>
        <v>6</v>
      </c>
      <c r="J609" s="53" t="str">
        <f>IF('G MTTS'!Z605=0," ",'G MTTS'!Z605*$A$3)</f>
        <v> </v>
      </c>
      <c r="K609" s="54">
        <f>'G MTTS'!AF605</f>
        <v>30000</v>
      </c>
      <c r="L609" s="54">
        <f>'G MTTS'!X605</f>
        <v>0</v>
      </c>
      <c r="M609" s="54" t="str">
        <f>'G MTTS'!AA605</f>
        <v>REENTRY</v>
      </c>
      <c r="N609" s="55">
        <f>'G MTTS'!AG605</f>
        <v>10</v>
      </c>
      <c r="O609" s="55">
        <f>'G MTTS'!AH605</f>
        <v>8</v>
      </c>
      <c r="P609" s="55">
        <f>'G MTTS'!AI605</f>
        <v>8</v>
      </c>
      <c r="Q609" s="56">
        <f>'G MTTS'!AJ605</f>
        <v>12</v>
      </c>
      <c r="R609" s="46">
        <f t="shared" si="49"/>
        <v>0.881956018518519</v>
      </c>
      <c r="S609" s="47" t="str">
        <f t="shared" si="51"/>
        <v>MICRO</v>
      </c>
    </row>
    <row r="610" ht="29.25" customHeight="1" outlineLevel="1" spans="1:19">
      <c r="A610" s="60" t="s">
        <v>522</v>
      </c>
      <c r="B610" s="36">
        <f>'G MTTS'!B606</f>
        <v>0.791678240740741</v>
      </c>
      <c r="C610" s="179" t="str">
        <f>'G MTTS'!J606</f>
        <v>#AS 2K Omax K.O</v>
      </c>
      <c r="D610" s="38" t="str">
        <f>'G MTTS'!M606</f>
        <v>Side Event</v>
      </c>
      <c r="E610" s="39" t="str">
        <f>'G MTTS'!N606</f>
        <v>PLO5</v>
      </c>
      <c r="F610" s="40" t="str">
        <f>'G MTTS'!O606</f>
        <v>Regular KO 1/3</v>
      </c>
      <c r="G610" s="41">
        <f>IF('G MTTS'!Q606=0," ",'G MTTS'!Q606*A$3)</f>
        <v>2000</v>
      </c>
      <c r="H610" s="42">
        <f>IF('G MTTS'!V606=0," ",'G MTTS'!V606*$A$3)</f>
        <v>10</v>
      </c>
      <c r="I610" s="42">
        <f>IF('G MTTS'!W606=0," ",'G MTTS'!W606*$A$3)</f>
        <v>10</v>
      </c>
      <c r="J610" s="42" t="str">
        <f>IF('G MTTS'!Z606=0," ",'G MTTS'!Z606*$A$3)</f>
        <v> </v>
      </c>
      <c r="K610" s="43">
        <f>'G MTTS'!AF606</f>
        <v>50000</v>
      </c>
      <c r="L610" s="43">
        <f>'G MTTS'!X606</f>
        <v>0</v>
      </c>
      <c r="M610" s="43" t="str">
        <f>'G MTTS'!AA606</f>
        <v>REENTRY</v>
      </c>
      <c r="N610" s="44">
        <f>'G MTTS'!AG606</f>
        <v>10</v>
      </c>
      <c r="O610" s="44">
        <f>'G MTTS'!AH606</f>
        <v>8</v>
      </c>
      <c r="P610" s="44">
        <f>'G MTTS'!AI606</f>
        <v>8</v>
      </c>
      <c r="Q610" s="45">
        <f>'G MTTS'!AJ606</f>
        <v>15</v>
      </c>
      <c r="R610" s="46">
        <f t="shared" si="49"/>
        <v>0.902789351851852</v>
      </c>
      <c r="S610" s="47" t="str">
        <f t="shared" si="51"/>
        <v>MICRO</v>
      </c>
    </row>
    <row r="611" ht="29.25" customHeight="1" outlineLevel="1" spans="1:19">
      <c r="B611" s="36">
        <f>'G MTTS'!B607</f>
        <v>0.791678240740741</v>
      </c>
      <c r="C611" s="178" t="str">
        <f>'G MTTS'!J607</f>
        <v>Sit&amp;go 200p max.</v>
      </c>
      <c r="D611" s="49" t="str">
        <f>'G MTTS'!M607</f>
        <v>Side Event</v>
      </c>
      <c r="E611" s="50" t="str">
        <f>'G MTTS'!N607</f>
        <v>NLH</v>
      </c>
      <c r="F611" s="51" t="str">
        <f>'G MTTS'!O607</f>
        <v>OFF</v>
      </c>
      <c r="G611" s="52">
        <f>IF('G MTTS'!Q607=0," ",'G MTTS'!Q607*A$3)</f>
        <v>250</v>
      </c>
      <c r="H611" s="53">
        <f>IF('G MTTS'!V607=0," ",'G MTTS'!V607*$A$3)</f>
        <v>3</v>
      </c>
      <c r="I611" s="53">
        <f>IF('G MTTS'!W607=0," ",'G MTTS'!W607*$A$3)</f>
        <v>3</v>
      </c>
      <c r="J611" s="53">
        <f>IF('G MTTS'!Z607=0," ",'G MTTS'!Z607*$A$3)</f>
        <v>3</v>
      </c>
      <c r="K611" s="54">
        <f>'G MTTS'!AF607</f>
        <v>20000</v>
      </c>
      <c r="L611" s="54">
        <f>'G MTTS'!X607</f>
        <v>0</v>
      </c>
      <c r="M611" s="54">
        <f>'G MTTS'!AA607</f>
        <v>30000</v>
      </c>
      <c r="N611" s="55">
        <f>'G MTTS'!AG607</f>
        <v>5</v>
      </c>
      <c r="O611" s="55">
        <f>'G MTTS'!AH607</f>
        <v>5</v>
      </c>
      <c r="P611" s="55">
        <f>'G MTTS'!AI607</f>
        <v>5</v>
      </c>
      <c r="Q611" s="56">
        <f>'G MTTS'!AJ607</f>
        <v>15</v>
      </c>
      <c r="R611" s="46">
        <f t="shared" si="49"/>
        <v>0.847233796296296</v>
      </c>
      <c r="S611" s="47" t="str">
        <f t="shared" si="51"/>
        <v>MICRO</v>
      </c>
    </row>
    <row r="612" ht="29.25" customHeight="1" outlineLevel="1" spans="1:19">
      <c r="B612" s="36">
        <f>'G MTTS'!B608</f>
        <v>0.791678240740741</v>
      </c>
      <c r="C612" s="179" t="str">
        <f>'G MTTS'!J608</f>
        <v>#AS 10K Plus</v>
      </c>
      <c r="D612" s="38" t="str">
        <f>'G MTTS'!M608</f>
        <v>Side Event</v>
      </c>
      <c r="E612" s="39" t="str">
        <f>'G MTTS'!N608</f>
        <v>NLH</v>
      </c>
      <c r="F612" s="40" t="str">
        <f>'G MTTS'!O608</f>
        <v>OFF</v>
      </c>
      <c r="G612" s="41">
        <f>IF('G MTTS'!Q608=0," ",'G MTTS'!Q608*A$3)</f>
        <v>10000</v>
      </c>
      <c r="H612" s="42">
        <f>IF('G MTTS'!V608=0," ",'G MTTS'!V608*$A$3)</f>
        <v>15</v>
      </c>
      <c r="I612" s="42">
        <f>IF('G MTTS'!W608=0," ",'G MTTS'!W608*$A$3)</f>
        <v>15</v>
      </c>
      <c r="J612" s="42">
        <f>IF('G MTTS'!Z608=0," ",'G MTTS'!Z608*$A$3)</f>
        <v>15</v>
      </c>
      <c r="K612" s="43">
        <f>'G MTTS'!AF608</f>
        <v>40000</v>
      </c>
      <c r="L612" s="43">
        <f>'G MTTS'!X608</f>
        <v>0</v>
      </c>
      <c r="M612" s="43">
        <f>'G MTTS'!AA608</f>
        <v>120000</v>
      </c>
      <c r="N612" s="44">
        <f>'G MTTS'!AG608</f>
        <v>10</v>
      </c>
      <c r="O612" s="44">
        <f>'G MTTS'!AH608</f>
        <v>8</v>
      </c>
      <c r="P612" s="44">
        <f>'G MTTS'!AI608</f>
        <v>8</v>
      </c>
      <c r="Q612" s="45">
        <f>'G MTTS'!AJ608</f>
        <v>14</v>
      </c>
      <c r="R612" s="46">
        <f t="shared" si="49"/>
        <v>0.895844907407407</v>
      </c>
      <c r="S612" s="47" t="str">
        <f t="shared" si="51"/>
        <v>MICRO</v>
      </c>
    </row>
    <row r="613" ht="29.25" customHeight="1" outlineLevel="1" spans="1:19">
      <c r="B613" s="36">
        <f>'G MTTS'!B609</f>
        <v>0.812511574074074</v>
      </c>
      <c r="C613" s="178" t="str">
        <f>'G MTTS'!J609</f>
        <v>FreeRoll Suprema</v>
      </c>
      <c r="D613" s="49" t="str">
        <f>'G MTTS'!M609</f>
        <v>Side Event</v>
      </c>
      <c r="E613" s="50" t="str">
        <f>'G MTTS'!N609</f>
        <v>NLH</v>
      </c>
      <c r="F613" s="51" t="str">
        <f>'G MTTS'!O609</f>
        <v>OFF</v>
      </c>
      <c r="G613" s="52">
        <f>IF('G MTTS'!Q609=0," ",'G MTTS'!Q609*A$3)</f>
        <v>500</v>
      </c>
      <c r="H613" s="53" t="str">
        <f>IF('G MTTS'!V609=0," ",'G MTTS'!V609*$A$3)</f>
        <v> </v>
      </c>
      <c r="I613" s="53" t="str">
        <f>IF('G MTTS'!W609=0," ",'G MTTS'!W609*$A$3)</f>
        <v> </v>
      </c>
      <c r="J613" s="53" t="str">
        <f>IF('G MTTS'!Z609=0," ",'G MTTS'!Z609*$A$3)</f>
        <v> </v>
      </c>
      <c r="K613" s="54">
        <f>'G MTTS'!AF609</f>
        <v>10000</v>
      </c>
      <c r="L613" s="54">
        <f>'G MTTS'!X609</f>
        <v>0</v>
      </c>
      <c r="M613" s="54" t="str">
        <f>'G MTTS'!AA609</f>
        <v>FREEZE</v>
      </c>
      <c r="N613" s="55">
        <f>'G MTTS'!AG609</f>
        <v>6</v>
      </c>
      <c r="O613" s="55">
        <f>'G MTTS'!AH609</f>
        <v>5</v>
      </c>
      <c r="P613" s="55">
        <f>'G MTTS'!AI609</f>
        <v>5</v>
      </c>
      <c r="Q613" s="56">
        <f>'G MTTS'!AJ609</f>
        <v>10</v>
      </c>
      <c r="R613" s="46">
        <f t="shared" si="49"/>
        <v>0.857650462962963</v>
      </c>
      <c r="S613" s="47" t="str">
        <f t="shared" si="51"/>
        <v>SUPER HIGH</v>
      </c>
    </row>
    <row r="614" ht="29.25" customHeight="1" outlineLevel="1" spans="1:19">
      <c r="A614" s="60" t="s">
        <v>522</v>
      </c>
      <c r="B614" s="36">
        <f>'G MTTS'!B610</f>
        <v>0.833344907407407</v>
      </c>
      <c r="C614" s="179" t="str">
        <f>'G MTTS'!J610</f>
        <v>#AS 30K Plus HR</v>
      </c>
      <c r="D614" s="38" t="str">
        <f>'G MTTS'!M610</f>
        <v>Side Event</v>
      </c>
      <c r="E614" s="39" t="str">
        <f>'G MTTS'!N610</f>
        <v>NLH</v>
      </c>
      <c r="F614" s="40" t="str">
        <f>'G MTTS'!O610</f>
        <v>OFF</v>
      </c>
      <c r="G614" s="41">
        <f>IF('G MTTS'!Q610=0," ",'G MTTS'!Q610*A$3)</f>
        <v>30000</v>
      </c>
      <c r="H614" s="42">
        <f>IF('G MTTS'!V610=0," ",'G MTTS'!V610*$A$3)</f>
        <v>75</v>
      </c>
      <c r="I614" s="42">
        <f>IF('G MTTS'!W610=0," ",'G MTTS'!W610*$A$3)</f>
        <v>75</v>
      </c>
      <c r="J614" s="42">
        <f>IF('G MTTS'!Z610=0," ",'G MTTS'!Z610*$A$3)</f>
        <v>75</v>
      </c>
      <c r="K614" s="43">
        <f>'G MTTS'!AF610</f>
        <v>40000</v>
      </c>
      <c r="L614" s="43">
        <f>'G MTTS'!X610</f>
        <v>0</v>
      </c>
      <c r="M614" s="43">
        <f>'G MTTS'!AA610</f>
        <v>120000</v>
      </c>
      <c r="N614" s="44">
        <f>'G MTTS'!AG610</f>
        <v>10</v>
      </c>
      <c r="O614" s="44">
        <f>'G MTTS'!AH610</f>
        <v>10</v>
      </c>
      <c r="P614" s="44">
        <f>'G MTTS'!AI610</f>
        <v>10</v>
      </c>
      <c r="Q614" s="45">
        <f>'G MTTS'!AJ610</f>
        <v>14</v>
      </c>
      <c r="R614" s="46">
        <f t="shared" si="49"/>
        <v>0.937511574074074</v>
      </c>
      <c r="S614" s="47" t="str">
        <f t="shared" si="51"/>
        <v>LOW</v>
      </c>
    </row>
    <row r="615" ht="29.25" customHeight="1" outlineLevel="1" spans="1:19">
      <c r="B615" s="36">
        <f>'G MTTS'!B611</f>
        <v>0.833344907407407</v>
      </c>
      <c r="C615" s="178" t="str">
        <f>'G MTTS'!J611</f>
        <v>#AS 3K Mini Plus</v>
      </c>
      <c r="D615" s="49" t="str">
        <f>'G MTTS'!M611</f>
        <v>Side Event</v>
      </c>
      <c r="E615" s="50" t="str">
        <f>'G MTTS'!N611</f>
        <v>NLH</v>
      </c>
      <c r="F615" s="51" t="str">
        <f>'G MTTS'!O611</f>
        <v>OFF</v>
      </c>
      <c r="G615" s="52">
        <f>IF('G MTTS'!Q611=0," ",'G MTTS'!Q611*A$3)</f>
        <v>3000</v>
      </c>
      <c r="H615" s="53">
        <f>IF('G MTTS'!V611=0," ",'G MTTS'!V611*$A$3)</f>
        <v>1</v>
      </c>
      <c r="I615" s="53">
        <f>IF('G MTTS'!W611=0," ",'G MTTS'!W611*$A$3)</f>
        <v>5</v>
      </c>
      <c r="J615" s="53">
        <f>IF('G MTTS'!Z611=0," ",'G MTTS'!Z611*$A$3)</f>
        <v>5</v>
      </c>
      <c r="K615" s="54">
        <f>'G MTTS'!AF611</f>
        <v>50000</v>
      </c>
      <c r="L615" s="54">
        <f>'G MTTS'!X611</f>
        <v>0</v>
      </c>
      <c r="M615" s="54">
        <f>'G MTTS'!AA611</f>
        <v>150000</v>
      </c>
      <c r="N615" s="55">
        <f>'G MTTS'!AG611</f>
        <v>8</v>
      </c>
      <c r="O615" s="55">
        <f>'G MTTS'!AH611</f>
        <v>6</v>
      </c>
      <c r="P615" s="55">
        <f>'G MTTS'!AI611</f>
        <v>6</v>
      </c>
      <c r="Q615" s="56">
        <f>'G MTTS'!AJ611</f>
        <v>14</v>
      </c>
      <c r="R615" s="46">
        <f t="shared" si="49"/>
        <v>0.914594907407407</v>
      </c>
      <c r="S615" s="47" t="str">
        <f t="shared" si="51"/>
        <v>MICRO</v>
      </c>
    </row>
    <row r="616" ht="29.25" customHeight="1" outlineLevel="1" spans="1:19">
      <c r="B616" s="36">
        <f>'G MTTS'!B612</f>
        <v>0.833344907407407</v>
      </c>
      <c r="C616" s="179" t="str">
        <f>'G MTTS'!J612</f>
        <v>#AS 3K Mystery PLO</v>
      </c>
      <c r="D616" s="38" t="str">
        <f>'G MTTS'!M612</f>
        <v>Side Event</v>
      </c>
      <c r="E616" s="39" t="str">
        <f>'G MTTS'!N612</f>
        <v>PLO4</v>
      </c>
      <c r="F616" s="40" t="str">
        <f>'G MTTS'!O612</f>
        <v>Mystery Bounty 1/2</v>
      </c>
      <c r="G616" s="41">
        <f>IF('G MTTS'!Q612=0," ",'G MTTS'!Q612*A$3)</f>
        <v>3000</v>
      </c>
      <c r="H616" s="42">
        <f>IF('G MTTS'!V612=0," ",'G MTTS'!V612*$A$3)</f>
        <v>30</v>
      </c>
      <c r="I616" s="42">
        <f>IF('G MTTS'!W612=0," ",'G MTTS'!W612*$A$3)</f>
        <v>30</v>
      </c>
      <c r="J616" s="42" t="str">
        <f>IF('G MTTS'!Z612=0," ",'G MTTS'!Z612*$A$3)</f>
        <v> </v>
      </c>
      <c r="K616" s="43">
        <f>'G MTTS'!AF612</f>
        <v>50000</v>
      </c>
      <c r="L616" s="43">
        <f>'G MTTS'!X612</f>
        <v>0</v>
      </c>
      <c r="M616" s="43" t="str">
        <f>'G MTTS'!AA612</f>
        <v>REENTRY</v>
      </c>
      <c r="N616" s="44">
        <f>'G MTTS'!AG612</f>
        <v>10</v>
      </c>
      <c r="O616" s="44">
        <f>'G MTTS'!AH612</f>
        <v>8</v>
      </c>
      <c r="P616" s="44">
        <f>'G MTTS'!AI612</f>
        <v>8</v>
      </c>
      <c r="Q616" s="45">
        <f>'G MTTS'!AJ612</f>
        <v>15</v>
      </c>
      <c r="R616" s="46">
        <f t="shared" si="49"/>
        <v>0.944456018518518</v>
      </c>
      <c r="S616" s="47" t="str">
        <f t="shared" si="51"/>
        <v>LOW</v>
      </c>
    </row>
    <row r="617" ht="29.25" customHeight="1" outlineLevel="1" spans="1:19">
      <c r="A617" s="60" t="s">
        <v>522</v>
      </c>
      <c r="B617" s="36">
        <f>'G MTTS'!B613</f>
        <v>0.854178240740741</v>
      </c>
      <c r="C617" s="178" t="str">
        <f>'G MTTS'!J613</f>
        <v>#AS 4K Mystery+Plus</v>
      </c>
      <c r="D617" s="49" t="str">
        <f>'G MTTS'!M613</f>
        <v>Side Event</v>
      </c>
      <c r="E617" s="50" t="str">
        <f>'G MTTS'!N613</f>
        <v>NLH</v>
      </c>
      <c r="F617" s="51" t="str">
        <f>'G MTTS'!O613</f>
        <v>Mystery Bounty 1/2</v>
      </c>
      <c r="G617" s="52">
        <f>IF('G MTTS'!Q613=0," ",'G MTTS'!Q613*A$3)</f>
        <v>4000</v>
      </c>
      <c r="H617" s="53">
        <f>IF('G MTTS'!V613=0," ",'G MTTS'!V613*$A$3)</f>
        <v>12</v>
      </c>
      <c r="I617" s="53">
        <f>IF('G MTTS'!W613=0," ",'G MTTS'!W613*$A$3)</f>
        <v>12</v>
      </c>
      <c r="J617" s="53">
        <f>IF('G MTTS'!Z613=0," ",'G MTTS'!Z613*$A$3)</f>
        <v>8</v>
      </c>
      <c r="K617" s="54">
        <f>'G MTTS'!AF613</f>
        <v>50000</v>
      </c>
      <c r="L617" s="54">
        <f>'G MTTS'!X613</f>
        <v>0</v>
      </c>
      <c r="M617" s="54">
        <f>'G MTTS'!AA613</f>
        <v>50000</v>
      </c>
      <c r="N617" s="55">
        <f>'G MTTS'!AG613</f>
        <v>7</v>
      </c>
      <c r="O617" s="55">
        <f>'G MTTS'!AH613</f>
        <v>7</v>
      </c>
      <c r="P617" s="55">
        <f>'G MTTS'!AI613</f>
        <v>7</v>
      </c>
      <c r="Q617" s="56">
        <f>'G MTTS'!AJ613</f>
        <v>15</v>
      </c>
      <c r="R617" s="46">
        <f t="shared" si="49"/>
        <v>0.93056712962963</v>
      </c>
      <c r="S617" s="47" t="str">
        <f t="shared" si="51"/>
        <v>MICRO</v>
      </c>
    </row>
    <row r="618" ht="29.25" customHeight="1" outlineLevel="1" spans="1:19">
      <c r="B618" s="36">
        <f>'G MTTS'!B614</f>
        <v>0.875011574074074</v>
      </c>
      <c r="C618" s="179" t="str">
        <f>'G MTTS'!J614</f>
        <v>#AS 1.2K Omax</v>
      </c>
      <c r="D618" s="38" t="str">
        <f>'G MTTS'!M614</f>
        <v>Side Event</v>
      </c>
      <c r="E618" s="39" t="str">
        <f>'G MTTS'!N614</f>
        <v>PLO5</v>
      </c>
      <c r="F618" s="40" t="str">
        <f>'G MTTS'!O614</f>
        <v>OFF</v>
      </c>
      <c r="G618" s="41">
        <f>IF('G MTTS'!Q614=0," ",'G MTTS'!Q614*A$3)</f>
        <v>1200</v>
      </c>
      <c r="H618" s="42">
        <f>IF('G MTTS'!V614=0," ",'G MTTS'!V614*$A$3)</f>
        <v>5</v>
      </c>
      <c r="I618" s="42">
        <f>IF('G MTTS'!W614=0," ",'G MTTS'!W614*$A$3)</f>
        <v>5</v>
      </c>
      <c r="J618" s="42">
        <f>IF('G MTTS'!Z614=0," ",'G MTTS'!Z614*$A$3)</f>
        <v>5</v>
      </c>
      <c r="K618" s="43">
        <f>'G MTTS'!AF614</f>
        <v>40000</v>
      </c>
      <c r="L618" s="43">
        <f>'G MTTS'!X614</f>
        <v>0</v>
      </c>
      <c r="M618" s="43">
        <f>'G MTTS'!AA614</f>
        <v>80000</v>
      </c>
      <c r="N618" s="44">
        <f>'G MTTS'!AG614</f>
        <v>8</v>
      </c>
      <c r="O618" s="44">
        <f>'G MTTS'!AH614</f>
        <v>7</v>
      </c>
      <c r="P618" s="44">
        <f>'G MTTS'!AI614</f>
        <v>7</v>
      </c>
      <c r="Q618" s="45">
        <f>'G MTTS'!AJ614</f>
        <v>12</v>
      </c>
      <c r="R618" s="46">
        <f t="shared" si="49"/>
        <v>0.945150462962963</v>
      </c>
      <c r="S618" s="47" t="str">
        <f t="shared" si="51"/>
        <v>MICRO</v>
      </c>
    </row>
    <row r="619" ht="29.25" customHeight="1" outlineLevel="1" spans="1:19">
      <c r="B619" s="36">
        <f>'G MTTS'!B615</f>
        <v>0.875011574074074</v>
      </c>
      <c r="C619" s="178" t="str">
        <f>'G MTTS'!J615</f>
        <v>750 Omax PKO</v>
      </c>
      <c r="D619" s="49" t="str">
        <f>'G MTTS'!M615</f>
        <v>Side Event</v>
      </c>
      <c r="E619" s="50" t="str">
        <f>'G MTTS'!N615</f>
        <v>PLO4</v>
      </c>
      <c r="F619" s="51" t="str">
        <f>'G MTTS'!O615</f>
        <v>Progressive KO 1/2</v>
      </c>
      <c r="G619" s="52">
        <f>IF('G MTTS'!Q615=0," ",'G MTTS'!Q615*A$3)</f>
        <v>750</v>
      </c>
      <c r="H619" s="53">
        <f>IF('G MTTS'!V615=0," ",'G MTTS'!V615*$A$3)</f>
        <v>3</v>
      </c>
      <c r="I619" s="53">
        <f>IF('G MTTS'!W615=0," ",'G MTTS'!W615*$A$3)</f>
        <v>3</v>
      </c>
      <c r="J619" s="53" t="str">
        <f>IF('G MTTS'!Z615=0," ",'G MTTS'!Z615*$A$3)</f>
        <v> </v>
      </c>
      <c r="K619" s="54">
        <f>'G MTTS'!AF615</f>
        <v>50000</v>
      </c>
      <c r="L619" s="54">
        <f>'G MTTS'!X615</f>
        <v>0</v>
      </c>
      <c r="M619" s="54" t="str">
        <f>'G MTTS'!AA615</f>
        <v>REENTRY</v>
      </c>
      <c r="N619" s="55">
        <f>'G MTTS'!AG615</f>
        <v>7</v>
      </c>
      <c r="O619" s="55">
        <f>'G MTTS'!AH615</f>
        <v>6</v>
      </c>
      <c r="P619" s="55">
        <f>'G MTTS'!AI615</f>
        <v>6</v>
      </c>
      <c r="Q619" s="56">
        <f>'G MTTS'!AJ615</f>
        <v>15</v>
      </c>
      <c r="R619" s="46">
        <f t="shared" si="49"/>
        <v>0.951400462962963</v>
      </c>
      <c r="S619" s="47" t="str">
        <f t="shared" si="51"/>
        <v>MICRO</v>
      </c>
    </row>
    <row r="620" ht="29.25" customHeight="1" outlineLevel="1" spans="1:19">
      <c r="A620" s="60" t="s">
        <v>522</v>
      </c>
      <c r="B620" s="36">
        <f>'G MTTS'!B616</f>
        <v>0.875011574074074</v>
      </c>
      <c r="C620" s="179" t="str">
        <f>'G MTTS'!J616</f>
        <v>#AS 7.5K Plus</v>
      </c>
      <c r="D620" s="180" t="str">
        <f>'G MTTS'!M616</f>
        <v>Side Event</v>
      </c>
      <c r="E620" s="181" t="str">
        <f>'G MTTS'!N616</f>
        <v>NLH</v>
      </c>
      <c r="F620" s="182" t="str">
        <f>'G MTTS'!O616</f>
        <v>OFF</v>
      </c>
      <c r="G620" s="183">
        <f>IF('G MTTS'!Q616=0," ",'G MTTS'!Q616*A$3)</f>
        <v>7500</v>
      </c>
      <c r="H620" s="184">
        <f>IF('G MTTS'!V616=0," ",'G MTTS'!V616*$A$3)</f>
        <v>5</v>
      </c>
      <c r="I620" s="184">
        <f>IF('G MTTS'!W616=0," ",'G MTTS'!W616*$A$3)</f>
        <v>5</v>
      </c>
      <c r="J620" s="184">
        <f>IF('G MTTS'!Z616=0," ",'G MTTS'!Z616*$A$3)</f>
        <v>5</v>
      </c>
      <c r="K620" s="185">
        <f>'G MTTS'!AF616</f>
        <v>50000</v>
      </c>
      <c r="L620" s="185">
        <f>'G MTTS'!X616</f>
        <v>0</v>
      </c>
      <c r="M620" s="185">
        <f>'G MTTS'!AA616</f>
        <v>250000</v>
      </c>
      <c r="N620" s="186">
        <f>'G MTTS'!AG616</f>
        <v>8</v>
      </c>
      <c r="O620" s="186">
        <f>'G MTTS'!AH616</f>
        <v>7</v>
      </c>
      <c r="P620" s="186">
        <f>'G MTTS'!AI616</f>
        <v>7</v>
      </c>
      <c r="Q620" s="187">
        <f>'G MTTS'!AJ616</f>
        <v>15</v>
      </c>
      <c r="R620" s="46">
        <f t="shared" si="49"/>
        <v>0.965289351851852</v>
      </c>
      <c r="S620" s="47" t="str">
        <f t="shared" si="51"/>
        <v>MICRO</v>
      </c>
    </row>
    <row r="621" ht="29.25" customHeight="1" outlineLevel="1" spans="1:19">
      <c r="B621" s="36">
        <f>'G MTTS'!B617</f>
        <v>0.916678240740741</v>
      </c>
      <c r="C621" s="178" t="str">
        <f>'G MTTS'!J617</f>
        <v>#AS 15K Plus+SPS</v>
      </c>
      <c r="D621" s="49" t="str">
        <f>'G MTTS'!M617</f>
        <v>Side Event</v>
      </c>
      <c r="E621" s="50" t="str">
        <f>'G MTTS'!N617</f>
        <v>NLH</v>
      </c>
      <c r="F621" s="51" t="str">
        <f>'G MTTS'!O617</f>
        <v>OFF</v>
      </c>
      <c r="G621" s="52">
        <f>IF('G MTTS'!Q617=0," ",'G MTTS'!Q617*A$3)</f>
        <v>16000</v>
      </c>
      <c r="H621" s="53">
        <f>IF('G MTTS'!V617=0," ",'G MTTS'!V617*$A$3)</f>
        <v>15</v>
      </c>
      <c r="I621" s="53">
        <f>IF('G MTTS'!W617=0," ",'G MTTS'!W617*$A$3)</f>
        <v>15</v>
      </c>
      <c r="J621" s="53">
        <f>IF('G MTTS'!Z617=0," ",'G MTTS'!Z617*$A$3)</f>
        <v>15</v>
      </c>
      <c r="K621" s="54">
        <f>'G MTTS'!AF617</f>
        <v>40000</v>
      </c>
      <c r="L621" s="54">
        <f>'G MTTS'!X617</f>
        <v>0</v>
      </c>
      <c r="M621" s="54">
        <f>'G MTTS'!AA617</f>
        <v>160000</v>
      </c>
      <c r="N621" s="55">
        <f>'G MTTS'!AG617</f>
        <v>8</v>
      </c>
      <c r="O621" s="55">
        <f>'G MTTS'!AH617</f>
        <v>7</v>
      </c>
      <c r="P621" s="55">
        <f>'G MTTS'!AI617</f>
        <v>7</v>
      </c>
      <c r="Q621" s="56">
        <f>'G MTTS'!AJ617</f>
        <v>13</v>
      </c>
      <c r="R621" s="46">
        <f t="shared" si="49"/>
        <v>0.992372685185185</v>
      </c>
      <c r="S621" s="47" t="str">
        <f t="shared" si="51"/>
        <v>MICRO</v>
      </c>
    </row>
    <row r="622" ht="29.25" customHeight="1" outlineLevel="1" spans="1:19">
      <c r="B622" s="36">
        <f>'G MTTS'!B618</f>
        <v>0.916678240740741</v>
      </c>
      <c r="C622" s="179" t="str">
        <f>'G MTTS'!J618</f>
        <v>#AS 10K Battle PKO</v>
      </c>
      <c r="D622" s="38" t="str">
        <f>'G MTTS'!M618</f>
        <v>Side Event</v>
      </c>
      <c r="E622" s="39" t="str">
        <f>'G MTTS'!N618</f>
        <v>NLH</v>
      </c>
      <c r="F622" s="40" t="str">
        <f>'G MTTS'!O618</f>
        <v>Progressive KO 1/2</v>
      </c>
      <c r="G622" s="41">
        <f>IF('G MTTS'!Q618=0," ",'G MTTS'!Q618*A$3)</f>
        <v>10000</v>
      </c>
      <c r="H622" s="42">
        <f>IF('G MTTS'!V618=0," ",'G MTTS'!V618*$A$3)</f>
        <v>110</v>
      </c>
      <c r="I622" s="42">
        <f>IF('G MTTS'!W618=0," ",'G MTTS'!W618*$A$3)</f>
        <v>110</v>
      </c>
      <c r="J622" s="42" t="str">
        <f>IF('G MTTS'!Z618=0," ",'G MTTS'!Z618*$A$3)</f>
        <v> </v>
      </c>
      <c r="K622" s="43">
        <f>'G MTTS'!AF618</f>
        <v>50000</v>
      </c>
      <c r="L622" s="43">
        <f>'G MTTS'!X618</f>
        <v>0</v>
      </c>
      <c r="M622" s="43" t="str">
        <f>'G MTTS'!AA618</f>
        <v>REENTRY</v>
      </c>
      <c r="N622" s="44">
        <f>'G MTTS'!AG618</f>
        <v>8</v>
      </c>
      <c r="O622" s="44">
        <f>'G MTTS'!AH618</f>
        <v>8</v>
      </c>
      <c r="P622" s="44">
        <f>'G MTTS'!AI618</f>
        <v>8</v>
      </c>
      <c r="Q622" s="45">
        <f>'G MTTS'!AJ618</f>
        <v>15</v>
      </c>
      <c r="R622" s="46">
        <f t="shared" si="49"/>
        <v>1.00695601851852</v>
      </c>
      <c r="S622" s="47" t="str">
        <f t="shared" si="51"/>
        <v>MEDIUM</v>
      </c>
    </row>
    <row r="623" ht="29.25" customHeight="1" outlineLevel="1" spans="1:19">
      <c r="A623" s="60" t="s">
        <v>522</v>
      </c>
      <c r="B623" s="36">
        <f>'G MTTS'!B619</f>
        <v>0.916678240740741</v>
      </c>
      <c r="C623" s="178" t="str">
        <f>'G MTTS'!J619</f>
        <v>#AS 10K OmaX Turbo</v>
      </c>
      <c r="D623" s="49" t="str">
        <f>'G MTTS'!M619</f>
        <v>Side Event</v>
      </c>
      <c r="E623" s="50" t="str">
        <f>'G MTTS'!N619</f>
        <v>PLO5</v>
      </c>
      <c r="F623" s="51" t="str">
        <f>'G MTTS'!O619</f>
        <v>Progressive KO 1/2</v>
      </c>
      <c r="G623" s="52">
        <f>IF('G MTTS'!Q619=0," ",'G MTTS'!Q619*A$3)</f>
        <v>10000</v>
      </c>
      <c r="H623" s="53">
        <f>IF('G MTTS'!V619=0," ",'G MTTS'!V619*$A$3)</f>
        <v>55</v>
      </c>
      <c r="I623" s="53">
        <f>IF('G MTTS'!W619=0," ",'G MTTS'!W619*$A$3)</f>
        <v>55</v>
      </c>
      <c r="J623" s="53" t="str">
        <f>IF('G MTTS'!Z619=0," ",'G MTTS'!Z619*$A$3)</f>
        <v> </v>
      </c>
      <c r="K623" s="54">
        <f>'G MTTS'!AF619</f>
        <v>40000</v>
      </c>
      <c r="L623" s="54">
        <f>'G MTTS'!X619</f>
        <v>0</v>
      </c>
      <c r="M623" s="54" t="str">
        <f>'G MTTS'!AA619</f>
        <v>REENTRY</v>
      </c>
      <c r="N623" s="55">
        <f>'G MTTS'!AG619</f>
        <v>7</v>
      </c>
      <c r="O623" s="55">
        <f>'G MTTS'!AH619</f>
        <v>7</v>
      </c>
      <c r="P623" s="55">
        <f>'G MTTS'!AI619</f>
        <v>7</v>
      </c>
      <c r="Q623" s="56">
        <f>'G MTTS'!AJ619</f>
        <v>14</v>
      </c>
      <c r="R623" s="46">
        <f t="shared" si="49"/>
        <v>0.988206018518519</v>
      </c>
      <c r="S623" s="47" t="str">
        <f t="shared" si="51"/>
        <v>LOW</v>
      </c>
    </row>
    <row r="624" ht="29.25" customHeight="1" outlineLevel="1" spans="1:19">
      <c r="B624" s="36">
        <f>'G MTTS'!B620</f>
        <v>0.927094907407407</v>
      </c>
      <c r="C624" s="179" t="str">
        <f>'G MTTS'!J620</f>
        <v>Sit&amp;go 200p max.</v>
      </c>
      <c r="D624" s="38" t="str">
        <f>'G MTTS'!M620</f>
        <v>Side Event</v>
      </c>
      <c r="E624" s="39" t="str">
        <f>'G MTTS'!N620</f>
        <v>NLH</v>
      </c>
      <c r="F624" s="40" t="str">
        <f>'G MTTS'!O620</f>
        <v>OFF</v>
      </c>
      <c r="G624" s="41">
        <f>IF('G MTTS'!Q620=0," ",'G MTTS'!Q620*A$3)</f>
        <v>300</v>
      </c>
      <c r="H624" s="42">
        <f>IF('G MTTS'!V620=0," ",'G MTTS'!V620*$A$3)</f>
        <v>3</v>
      </c>
      <c r="I624" s="42">
        <f>IF('G MTTS'!W620=0," ",'G MTTS'!W620*$A$3)</f>
        <v>3</v>
      </c>
      <c r="J624" s="42">
        <f>IF('G MTTS'!Z620=0," ",'G MTTS'!Z620*$A$3)</f>
        <v>3</v>
      </c>
      <c r="K624" s="43">
        <f>'G MTTS'!AF620</f>
        <v>20000</v>
      </c>
      <c r="L624" s="43">
        <f>'G MTTS'!X620</f>
        <v>0</v>
      </c>
      <c r="M624" s="43">
        <f>'G MTTS'!AA620</f>
        <v>30000</v>
      </c>
      <c r="N624" s="44">
        <f>'G MTTS'!AG620</f>
        <v>5</v>
      </c>
      <c r="O624" s="44">
        <f>'G MTTS'!AH620</f>
        <v>5</v>
      </c>
      <c r="P624" s="44">
        <f>'G MTTS'!AI620</f>
        <v>5</v>
      </c>
      <c r="Q624" s="45">
        <f>'G MTTS'!AJ620</f>
        <v>15</v>
      </c>
      <c r="R624" s="46">
        <f t="shared" si="49"/>
        <v>0.982650462962963</v>
      </c>
      <c r="S624" s="47" t="str">
        <f t="shared" si="51"/>
        <v>MICRO</v>
      </c>
    </row>
    <row r="625" ht="29.25" customHeight="1" outlineLevel="1" spans="1:19">
      <c r="B625" s="36">
        <f>'G MTTS'!B621</f>
        <v>0.958344907407407</v>
      </c>
      <c r="C625" s="178" t="str">
        <f>'G MTTS'!J621</f>
        <v>#AS 1.2K Battle</v>
      </c>
      <c r="D625" s="49" t="str">
        <f>'G MTTS'!M621</f>
        <v>Side Event</v>
      </c>
      <c r="E625" s="50" t="str">
        <f>'G MTTS'!N621</f>
        <v>NLH</v>
      </c>
      <c r="F625" s="51" t="str">
        <f>'G MTTS'!O621</f>
        <v>Regular KO 1/2</v>
      </c>
      <c r="G625" s="52">
        <f>IF('G MTTS'!Q621=0," ",'G MTTS'!Q621*A$3)</f>
        <v>1200</v>
      </c>
      <c r="H625" s="53">
        <f>IF('G MTTS'!V621=0," ",'G MTTS'!V621*$A$3)</f>
        <v>20</v>
      </c>
      <c r="I625" s="53">
        <f>IF('G MTTS'!W621=0," ",'G MTTS'!W621*$A$3)</f>
        <v>20</v>
      </c>
      <c r="J625" s="53" t="str">
        <f>IF('G MTTS'!Z621=0," ",'G MTTS'!Z621*$A$3)</f>
        <v> </v>
      </c>
      <c r="K625" s="54">
        <f>'G MTTS'!AF621</f>
        <v>30000</v>
      </c>
      <c r="L625" s="54">
        <f>'G MTTS'!X621</f>
        <v>0</v>
      </c>
      <c r="M625" s="54" t="str">
        <f>'G MTTS'!AA621</f>
        <v>REENTRY</v>
      </c>
      <c r="N625" s="55">
        <f>'G MTTS'!AG621</f>
        <v>7</v>
      </c>
      <c r="O625" s="55">
        <f>'G MTTS'!AH621</f>
        <v>6</v>
      </c>
      <c r="P625" s="55">
        <f>'G MTTS'!AI621</f>
        <v>6</v>
      </c>
      <c r="Q625" s="56">
        <f>'G MTTS'!AJ621</f>
        <v>13</v>
      </c>
      <c r="R625" s="46">
        <f t="shared" si="49"/>
        <v>1.02501157407407</v>
      </c>
      <c r="S625" s="47" t="str">
        <f t="shared" si="51"/>
        <v>MICRO</v>
      </c>
    </row>
    <row r="626" ht="29.25" customHeight="1" outlineLevel="1" spans="1:19">
      <c r="A626" s="60" t="s">
        <v>522</v>
      </c>
      <c r="B626" s="36">
        <f>'G MTTS'!B622</f>
        <v>0.958344907407407</v>
      </c>
      <c r="C626" s="179" t="str">
        <f>'G MTTS'!J622</f>
        <v>#AS 4K Plus</v>
      </c>
      <c r="D626" s="38" t="str">
        <f>'G MTTS'!M622</f>
        <v>Side Event</v>
      </c>
      <c r="E626" s="39" t="str">
        <f>'G MTTS'!N622</f>
        <v>NLH</v>
      </c>
      <c r="F626" s="40" t="str">
        <f>'G MTTS'!O622</f>
        <v>OFF</v>
      </c>
      <c r="G626" s="41">
        <f>IF('G MTTS'!Q622=0," ",'G MTTS'!Q622*A$3)</f>
        <v>4000</v>
      </c>
      <c r="H626" s="42">
        <f>IF('G MTTS'!V622=0," ",'G MTTS'!V622*$A$3)</f>
        <v>4</v>
      </c>
      <c r="I626" s="42">
        <f>IF('G MTTS'!W622=0," ",'G MTTS'!W622*$A$3)</f>
        <v>4</v>
      </c>
      <c r="J626" s="42">
        <f>IF('G MTTS'!Z622=0," ",'G MTTS'!Z622*$A$3)</f>
        <v>4</v>
      </c>
      <c r="K626" s="43">
        <f>'G MTTS'!AF622</f>
        <v>20000</v>
      </c>
      <c r="L626" s="43">
        <f>'G MTTS'!X622</f>
        <v>0</v>
      </c>
      <c r="M626" s="43">
        <f>'G MTTS'!AA622</f>
        <v>50000</v>
      </c>
      <c r="N626" s="44">
        <f>'G MTTS'!AG622</f>
        <v>6</v>
      </c>
      <c r="O626" s="44">
        <f>'G MTTS'!AH622</f>
        <v>5</v>
      </c>
      <c r="P626" s="44">
        <f>'G MTTS'!AI622</f>
        <v>5</v>
      </c>
      <c r="Q626" s="45">
        <f>'G MTTS'!AJ622</f>
        <v>12</v>
      </c>
      <c r="R626" s="46">
        <f t="shared" si="49"/>
        <v>1.01181712962963</v>
      </c>
      <c r="S626" s="47" t="str">
        <f t="shared" si="51"/>
        <v>MICRO</v>
      </c>
    </row>
    <row r="627" ht="29.25" customHeight="1" outlineLevel="1" spans="1:19">
      <c r="B627" s="36">
        <f>'G MTTS'!B623</f>
        <v>0.958344907407407</v>
      </c>
      <c r="C627" s="178" t="str">
        <f>'G MTTS'!J623</f>
        <v>400 Plus</v>
      </c>
      <c r="D627" s="49" t="str">
        <f>'G MTTS'!M623</f>
        <v>Side Event</v>
      </c>
      <c r="E627" s="50" t="str">
        <f>'G MTTS'!N623</f>
        <v>NLH</v>
      </c>
      <c r="F627" s="51" t="str">
        <f>'G MTTS'!O623</f>
        <v>OFF</v>
      </c>
      <c r="G627" s="52">
        <f>IF('G MTTS'!Q623=0," ",'G MTTS'!Q623*A$3)</f>
        <v>400</v>
      </c>
      <c r="H627" s="53">
        <f>IF('G MTTS'!V623=0," ",'G MTTS'!V623*$A$3)</f>
        <v>1</v>
      </c>
      <c r="I627" s="53">
        <f>IF('G MTTS'!W623=0," ",'G MTTS'!W623*$A$3)</f>
        <v>1</v>
      </c>
      <c r="J627" s="53">
        <f>IF('G MTTS'!Z623=0," ",'G MTTS'!Z623*$A$3)</f>
        <v>1</v>
      </c>
      <c r="K627" s="54">
        <f>'G MTTS'!AF623</f>
        <v>20000</v>
      </c>
      <c r="L627" s="54">
        <f>'G MTTS'!X623</f>
        <v>0</v>
      </c>
      <c r="M627" s="54">
        <f>'G MTTS'!AA623</f>
        <v>40000</v>
      </c>
      <c r="N627" s="55">
        <f>'G MTTS'!AG623</f>
        <v>5</v>
      </c>
      <c r="O627" s="55">
        <f>'G MTTS'!AH623</f>
        <v>5</v>
      </c>
      <c r="P627" s="55">
        <f>'G MTTS'!AI623</f>
        <v>5</v>
      </c>
      <c r="Q627" s="56">
        <f>'G MTTS'!AJ623</f>
        <v>12</v>
      </c>
      <c r="R627" s="46">
        <f t="shared" si="49"/>
        <v>1.0034837962963</v>
      </c>
      <c r="S627" s="47" t="str">
        <f t="shared" si="51"/>
        <v>MICRO</v>
      </c>
    </row>
    <row r="628" ht="29.25" customHeight="1" outlineLevel="1" spans="1:19">
      <c r="B628" s="36">
        <f>'G MTTS'!B624</f>
        <v>0.965289351851852</v>
      </c>
      <c r="C628" s="179" t="str">
        <f>'G MTTS'!J624</f>
        <v>400 Omax</v>
      </c>
      <c r="D628" s="38" t="str">
        <f>'G MTTS'!M624</f>
        <v>Side Event</v>
      </c>
      <c r="E628" s="39" t="str">
        <f>'G MTTS'!N624</f>
        <v>PLO4</v>
      </c>
      <c r="F628" s="40" t="str">
        <f>'G MTTS'!O624</f>
        <v>OFF</v>
      </c>
      <c r="G628" s="41">
        <f>IF('G MTTS'!Q624=0," ",'G MTTS'!Q624*A$3)</f>
        <v>400</v>
      </c>
      <c r="H628" s="42">
        <f>IF('G MTTS'!V624=0," ",'G MTTS'!V624*$A$3)</f>
        <v>3</v>
      </c>
      <c r="I628" s="42">
        <f>IF('G MTTS'!W624=0," ",'G MTTS'!W624*$A$3)</f>
        <v>3</v>
      </c>
      <c r="J628" s="42">
        <f>IF('G MTTS'!Z624=0," ",'G MTTS'!Z624*$A$3)</f>
        <v>3</v>
      </c>
      <c r="K628" s="43">
        <f>'G MTTS'!AF624</f>
        <v>40000</v>
      </c>
      <c r="L628" s="43">
        <f>'G MTTS'!X624</f>
        <v>0</v>
      </c>
      <c r="M628" s="43">
        <f>'G MTTS'!AA624</f>
        <v>80000</v>
      </c>
      <c r="N628" s="44">
        <f>'G MTTS'!AG624</f>
        <v>6</v>
      </c>
      <c r="O628" s="44">
        <f>'G MTTS'!AH624</f>
        <v>5</v>
      </c>
      <c r="P628" s="44">
        <f>'G MTTS'!AI624</f>
        <v>5</v>
      </c>
      <c r="Q628" s="45">
        <f>'G MTTS'!AJ624</f>
        <v>12</v>
      </c>
      <c r="R628" s="46">
        <f t="shared" si="49"/>
        <v>1.01876157407407</v>
      </c>
      <c r="S628" s="47" t="str">
        <f t="shared" si="51"/>
        <v>MICRO</v>
      </c>
    </row>
    <row r="629" ht="29.25" customHeight="1" outlineLevel="1" spans="1:19">
      <c r="A629" s="60" t="s">
        <v>522</v>
      </c>
      <c r="B629" s="36">
        <f>'G MTTS'!B625</f>
        <v>0.979178240740741</v>
      </c>
      <c r="C629" s="178" t="str">
        <f>'G MTTS'!J625</f>
        <v>#AS 3K Big Mystery</v>
      </c>
      <c r="D629" s="49" t="str">
        <f>'G MTTS'!M625</f>
        <v>Side Event</v>
      </c>
      <c r="E629" s="50" t="str">
        <f>'G MTTS'!N625</f>
        <v>NLH</v>
      </c>
      <c r="F629" s="51" t="str">
        <f>'G MTTS'!O625</f>
        <v>Mystery Bounty 1/2</v>
      </c>
      <c r="G629" s="52">
        <f>IF('G MTTS'!Q625=0," ",'G MTTS'!Q625*A$3)</f>
        <v>3000</v>
      </c>
      <c r="H629" s="53">
        <f>IF('G MTTS'!V625=0," ",'G MTTS'!V625*$A$3)</f>
        <v>10</v>
      </c>
      <c r="I629" s="53">
        <f>IF('G MTTS'!W625=0," ",'G MTTS'!W625*$A$3)</f>
        <v>10</v>
      </c>
      <c r="J629" s="53" t="str">
        <f>IF('G MTTS'!Z625=0," ",'G MTTS'!Z625*$A$3)</f>
        <v> </v>
      </c>
      <c r="K629" s="54">
        <f>'G MTTS'!AF625</f>
        <v>50000</v>
      </c>
      <c r="L629" s="54">
        <f>'G MTTS'!X625</f>
        <v>0</v>
      </c>
      <c r="M629" s="54" t="str">
        <f>'G MTTS'!AA625</f>
        <v>REENTRY</v>
      </c>
      <c r="N629" s="55">
        <f>'G MTTS'!AG625</f>
        <v>6</v>
      </c>
      <c r="O629" s="55">
        <f>'G MTTS'!AH625</f>
        <v>5</v>
      </c>
      <c r="P629" s="55">
        <f>'G MTTS'!AI625</f>
        <v>5</v>
      </c>
      <c r="Q629" s="56">
        <f>'G MTTS'!AJ625</f>
        <v>15</v>
      </c>
      <c r="R629" s="46">
        <f t="shared" si="49"/>
        <v>1.04515046296296</v>
      </c>
      <c r="S629" s="47" t="str">
        <f t="shared" si="51"/>
        <v>MICRO</v>
      </c>
    </row>
    <row r="630" ht="29.25" customHeight="1" outlineLevel="1" spans="1:19">
      <c r="B630" s="36">
        <f>'G MTTS'!B626</f>
        <v>0.979178240740741</v>
      </c>
      <c r="C630" s="179" t="str">
        <f>'G MTTS'!J626</f>
        <v>#AS 10K Bounty Night</v>
      </c>
      <c r="D630" s="38" t="str">
        <f>'G MTTS'!M626</f>
        <v>Side Event</v>
      </c>
      <c r="E630" s="39" t="str">
        <f>'G MTTS'!N626</f>
        <v>NLH</v>
      </c>
      <c r="F630" s="40" t="str">
        <f>'G MTTS'!O626</f>
        <v>Progressive KO 1/2</v>
      </c>
      <c r="G630" s="41">
        <f>IF('G MTTS'!Q626=0," ",'G MTTS'!Q626*A$3)</f>
        <v>10000</v>
      </c>
      <c r="H630" s="42">
        <f>IF('G MTTS'!V626=0," ",'G MTTS'!V626*$A$3)</f>
        <v>55</v>
      </c>
      <c r="I630" s="42">
        <f>IF('G MTTS'!W626=0," ",'G MTTS'!W626*$A$3)</f>
        <v>55</v>
      </c>
      <c r="J630" s="42" t="str">
        <f>IF('G MTTS'!Z626=0," ",'G MTTS'!Z626*$A$3)</f>
        <v> </v>
      </c>
      <c r="K630" s="43">
        <f>'G MTTS'!AF626</f>
        <v>50000</v>
      </c>
      <c r="L630" s="43">
        <f>'G MTTS'!X626</f>
        <v>0</v>
      </c>
      <c r="M630" s="43" t="str">
        <f>'G MTTS'!AA626</f>
        <v>REENTRY</v>
      </c>
      <c r="N630" s="44">
        <f>'G MTTS'!AG626</f>
        <v>7</v>
      </c>
      <c r="O630" s="44">
        <f>'G MTTS'!AH626</f>
        <v>6</v>
      </c>
      <c r="P630" s="44">
        <f>'G MTTS'!AI626</f>
        <v>6</v>
      </c>
      <c r="Q630" s="45">
        <f>'G MTTS'!AJ626</f>
        <v>13</v>
      </c>
      <c r="R630" s="46">
        <f t="shared" si="49"/>
        <v>1.04584490740741</v>
      </c>
      <c r="S630" s="47" t="str">
        <f t="shared" si="51"/>
        <v>LOW</v>
      </c>
    </row>
    <row r="631" ht="29.25" customHeight="1" outlineLevel="1" spans="1:19">
      <c r="B631" s="36">
        <f>'G MTTS'!B627</f>
        <v>0.979178240740741</v>
      </c>
      <c r="C631" s="178" t="str">
        <f>'G MTTS'!J627</f>
        <v>#AS 10K Sonic</v>
      </c>
      <c r="D631" s="49" t="str">
        <f>'G MTTS'!M627</f>
        <v>Side Event</v>
      </c>
      <c r="E631" s="50" t="str">
        <f>'G MTTS'!N627</f>
        <v>NLH</v>
      </c>
      <c r="F631" s="51" t="str">
        <f>'G MTTS'!O627</f>
        <v>OFF</v>
      </c>
      <c r="G631" s="52">
        <f>IF('G MTTS'!Q627=0," ",'G MTTS'!Q627*A$3)</f>
        <v>10000</v>
      </c>
      <c r="H631" s="53">
        <f>IF('G MTTS'!V627=0," ",'G MTTS'!V627*$A$3)</f>
        <v>150</v>
      </c>
      <c r="I631" s="53">
        <f>IF('G MTTS'!W627=0," ",'G MTTS'!W627*$A$3)</f>
        <v>150</v>
      </c>
      <c r="J631" s="53" t="str">
        <f>IF('G MTTS'!Z627=0," ",'G MTTS'!Z627*$A$3)</f>
        <v> </v>
      </c>
      <c r="K631" s="54">
        <f>'G MTTS'!AF627</f>
        <v>50000</v>
      </c>
      <c r="L631" s="54">
        <f>'G MTTS'!X627</f>
        <v>0</v>
      </c>
      <c r="M631" s="54" t="str">
        <f>'G MTTS'!AA627</f>
        <v>REENTRY</v>
      </c>
      <c r="N631" s="55">
        <f>'G MTTS'!AG627</f>
        <v>5</v>
      </c>
      <c r="O631" s="55">
        <f>'G MTTS'!AH627</f>
        <v>5</v>
      </c>
      <c r="P631" s="55">
        <f>'G MTTS'!AI627</f>
        <v>5</v>
      </c>
      <c r="Q631" s="56">
        <f>'G MTTS'!AJ627</f>
        <v>13</v>
      </c>
      <c r="R631" s="46">
        <f t="shared" si="49"/>
        <v>1.02778935185185</v>
      </c>
      <c r="S631" s="47" t="str">
        <f t="shared" si="51"/>
        <v>MEDIUM</v>
      </c>
    </row>
    <row r="632" ht="29.25" customHeight="1" outlineLevel="1" spans="1:19">
      <c r="A632" s="60"/>
      <c r="B632" s="153"/>
      <c r="C632" s="154"/>
      <c r="D632" s="155"/>
      <c r="E632" s="156"/>
      <c r="F632" s="157"/>
      <c r="G632" s="158"/>
      <c r="H632" s="159"/>
      <c r="I632" s="159"/>
      <c r="J632" s="159"/>
      <c r="K632" s="160"/>
      <c r="L632" s="160"/>
      <c r="M632" s="160"/>
      <c r="N632" s="161"/>
      <c r="O632" s="161"/>
      <c r="P632" s="161"/>
      <c r="Q632" s="162"/>
      <c r="R632" s="46"/>
      <c r="S632" s="47" t="str">
        <f t="shared" si="51"/>
        <v> </v>
      </c>
    </row>
    <row r="633" ht="29.25" customHeight="1" outlineLevel="1" spans="1:19">
      <c r="A633" s="96" t="s">
        <v>193</v>
      </c>
      <c r="B633" s="22"/>
      <c r="C633" s="96" t="s">
        <v>514</v>
      </c>
      <c r="Q633" s="22"/>
      <c r="R633" s="46" t="str">
        <f t="shared" ref="R633:R634" si="52">IF(B633=0," ",TIME(,ROUNDDOWN(N633*Q633/60,0)*5+(N633*Q633),)+B633)</f>
        <v> </v>
      </c>
      <c r="S633" s="47" t="str">
        <f t="shared" si="51"/>
        <v> </v>
      </c>
    </row>
    <row r="634" ht="29.25" customHeight="1" outlineLevel="1" spans="1:19">
      <c r="A634" s="97" t="str">
        <f>'G MTTS'!J629</f>
        <v>#AS Reentry</v>
      </c>
      <c r="B634" s="98">
        <f>'G MTTS'!B629</f>
        <v>0.416678240740741</v>
      </c>
      <c r="C634" s="99" t="str">
        <f>'G MTTS'!L629</f>
        <v>4 Seats Reentry</v>
      </c>
      <c r="D634" s="100" t="str">
        <f>'G MTTS'!M629</f>
        <v>SAT</v>
      </c>
      <c r="E634" s="101" t="str">
        <f>'G MTTS'!N629</f>
        <v>NLH</v>
      </c>
      <c r="F634" s="102" t="str">
        <f>'G MTTS'!O629</f>
        <v>OFF</v>
      </c>
      <c r="G634" s="103">
        <f>IF('G MTTS'!Q629=0," ",'G MTTS'!Q629*$A$3)</f>
        <v>300</v>
      </c>
      <c r="H634" s="104">
        <f>IF('G MTTS'!V629=0," ",'G MTTS'!V629*$A$3)</f>
        <v>4</v>
      </c>
      <c r="I634" s="104">
        <f>IF('G MTTS'!W629=0," ",'G MTTS'!W629*$A$3)</f>
        <v>4</v>
      </c>
      <c r="J634" s="104">
        <f>IF('G MTTS'!Z629=0," ",'G MTTS'!Z629*$A$3)</f>
        <v>4</v>
      </c>
      <c r="K634" s="105">
        <f>'G MTTS'!AF629</f>
        <v>10000</v>
      </c>
      <c r="L634" s="105">
        <f>'G MTTS'!X629</f>
        <v>0</v>
      </c>
      <c r="M634" s="105">
        <f>'G MTTS'!AA629</f>
        <v>20000</v>
      </c>
      <c r="N634" s="106">
        <f>'G MTTS'!AG629</f>
        <v>4</v>
      </c>
      <c r="O634" s="106">
        <f>'G MTTS'!AH629</f>
        <v>4</v>
      </c>
      <c r="P634" s="106">
        <f>'G MTTS'!AI629</f>
        <v>4</v>
      </c>
      <c r="Q634" s="107">
        <f>'G MTTS'!AJ629</f>
        <v>9</v>
      </c>
      <c r="R634" s="46">
        <f t="shared" si="52"/>
        <v>0.441678240740741</v>
      </c>
      <c r="S634" s="47" t="str">
        <f t="shared" si="51"/>
        <v>MICRO</v>
      </c>
    </row>
    <row r="635" ht="29.25" customHeight="1" outlineLevel="1" spans="1:19">
      <c r="A635" s="135"/>
      <c r="B635" s="109"/>
      <c r="C635" s="110"/>
      <c r="D635" s="111"/>
      <c r="E635" s="112"/>
      <c r="F635" s="113"/>
      <c r="G635" s="114"/>
      <c r="H635" s="115"/>
      <c r="I635" s="115"/>
      <c r="J635" s="115"/>
      <c r="K635" s="116"/>
      <c r="L635" s="116"/>
      <c r="M635" s="116"/>
      <c r="N635" s="117"/>
      <c r="O635" s="117"/>
      <c r="P635" s="117"/>
      <c r="Q635" s="118"/>
      <c r="R635" s="46"/>
      <c r="S635" s="47"/>
    </row>
    <row r="636" ht="29.25" customHeight="1" outlineLevel="1" spans="1:19">
      <c r="A636" s="119" t="str">
        <f>'G MTTS'!J631</f>
        <v>#AS OmaX PKO</v>
      </c>
      <c r="B636" s="98">
        <f>'G MTTS'!B631</f>
        <v>0.437511574074074</v>
      </c>
      <c r="C636" s="99" t="str">
        <f>'G MTTS'!L631</f>
        <v>5 Seats OmaX PKO</v>
      </c>
      <c r="D636" s="100" t="str">
        <f>'G MTTS'!M631</f>
        <v>SAT</v>
      </c>
      <c r="E636" s="101" t="str">
        <f>'G MTTS'!N631</f>
        <v>PLO5</v>
      </c>
      <c r="F636" s="102" t="str">
        <f>'G MTTS'!O631</f>
        <v>OFF</v>
      </c>
      <c r="G636" s="103">
        <f>IF('G MTTS'!Q631=0," ",'G MTTS'!Q631*$A$3)</f>
        <v>300</v>
      </c>
      <c r="H636" s="104">
        <f>IF('G MTTS'!V631=0," ",'G MTTS'!V631*$A$3)</f>
        <v>3</v>
      </c>
      <c r="I636" s="104">
        <f>IF('G MTTS'!W631=0," ",'G MTTS'!W631*$A$3)</f>
        <v>3</v>
      </c>
      <c r="J636" s="104">
        <f>IF('G MTTS'!Z631=0," ",'G MTTS'!Z631*$A$3)</f>
        <v>4</v>
      </c>
      <c r="K636" s="105">
        <f>'G MTTS'!AF631</f>
        <v>10000</v>
      </c>
      <c r="L636" s="105">
        <f>'G MTTS'!X631</f>
        <v>0</v>
      </c>
      <c r="M636" s="105">
        <f>'G MTTS'!AA631</f>
        <v>20000</v>
      </c>
      <c r="N636" s="106">
        <f>'G MTTS'!AG631</f>
        <v>4</v>
      </c>
      <c r="O636" s="106">
        <f>'G MTTS'!AH631</f>
        <v>4</v>
      </c>
      <c r="P636" s="106">
        <f>'G MTTS'!AI631</f>
        <v>4</v>
      </c>
      <c r="Q636" s="107">
        <f>'G MTTS'!AJ631</f>
        <v>9</v>
      </c>
      <c r="R636" s="46">
        <f t="shared" ref="R636:R641" si="53">IF(B636=0," ",TIME(,ROUNDDOWN(N636*Q636/60,0)*5+(N636*Q636),)+B636)</f>
        <v>0.462511574074074</v>
      </c>
      <c r="S636" s="47" t="str">
        <f t="shared" ref="S636:S641" si="54">IFERROR(IF(H636=0," ",IF(H636&lt;=25,"MICRO",IF(H636&lt;=99,"LOW",IF(H636&lt;=499,"MEDIUM",IF(H636&lt;=2500,"HIGH",IF(H636&gt;2500,"SUPER HIGH",)))))),"")</f>
        <v>MICRO</v>
      </c>
    </row>
    <row r="637" ht="29.25" customHeight="1" outlineLevel="1" spans="1:19">
      <c r="A637" s="135"/>
      <c r="B637" s="109"/>
      <c r="C637" s="110"/>
      <c r="D637" s="111"/>
      <c r="E637" s="112"/>
      <c r="F637" s="113"/>
      <c r="G637" s="114"/>
      <c r="H637" s="115"/>
      <c r="I637" s="115"/>
      <c r="J637" s="115"/>
      <c r="K637" s="116"/>
      <c r="L637" s="116"/>
      <c r="M637" s="116"/>
      <c r="N637" s="117"/>
      <c r="O637" s="117"/>
      <c r="P637" s="117"/>
      <c r="Q637" s="118"/>
      <c r="R637" s="46" t="str">
        <f t="shared" si="53"/>
        <v> </v>
      </c>
      <c r="S637" s="47" t="str">
        <f t="shared" si="54"/>
        <v> </v>
      </c>
    </row>
    <row r="638" ht="29.25" customHeight="1" outlineLevel="1" spans="1:19">
      <c r="A638" s="121" t="str">
        <f>'G MTTS'!J633</f>
        <v>#AS WarmUp</v>
      </c>
      <c r="B638" s="122">
        <f>'G MTTS'!B633</f>
        <v>0.437511574074074</v>
      </c>
      <c r="C638" s="123" t="str">
        <f>'G MTTS'!L633</f>
        <v>5 Seats WarmUp</v>
      </c>
      <c r="D638" s="120" t="str">
        <f>'G MTTS'!M633</f>
        <v>SAT</v>
      </c>
      <c r="E638" s="101" t="str">
        <f>'G MTTS'!N633</f>
        <v>NLH</v>
      </c>
      <c r="F638" s="102" t="str">
        <f>'G MTTS'!O633</f>
        <v>OFF</v>
      </c>
      <c r="G638" s="103">
        <f>IF('G MTTS'!Q633=0," ",'G MTTS'!Q633*$A$3)</f>
        <v>550</v>
      </c>
      <c r="H638" s="104">
        <f>IF('G MTTS'!V633=0," ",'G MTTS'!V633*$A$3)</f>
        <v>6</v>
      </c>
      <c r="I638" s="104">
        <f>IF('G MTTS'!W633=0," ",'G MTTS'!W633*$A$3)</f>
        <v>6</v>
      </c>
      <c r="J638" s="104">
        <f>IF('G MTTS'!Z633=0," ",'G MTTS'!Z633*$A$3)</f>
        <v>6</v>
      </c>
      <c r="K638" s="105">
        <f>'G MTTS'!AF633</f>
        <v>10000</v>
      </c>
      <c r="L638" s="105">
        <f>'G MTTS'!X633</f>
        <v>0</v>
      </c>
      <c r="M638" s="105">
        <f>'G MTTS'!AA633</f>
        <v>20000</v>
      </c>
      <c r="N638" s="106">
        <f>'G MTTS'!AG633</f>
        <v>5</v>
      </c>
      <c r="O638" s="106">
        <f>'G MTTS'!AH633</f>
        <v>5</v>
      </c>
      <c r="P638" s="106">
        <f>'G MTTS'!AI633</f>
        <v>4</v>
      </c>
      <c r="Q638" s="107">
        <f>'G MTTS'!AJ633</f>
        <v>9</v>
      </c>
      <c r="R638" s="46">
        <f t="shared" si="53"/>
        <v>0.468761574074074</v>
      </c>
      <c r="S638" s="47" t="str">
        <f t="shared" si="54"/>
        <v>MICRO</v>
      </c>
    </row>
    <row r="639" ht="29.25" customHeight="1" outlineLevel="1" spans="1:19">
      <c r="A639" s="124"/>
      <c r="B639" s="125">
        <f>'G MTTS'!B634</f>
        <v>0.479178240740741</v>
      </c>
      <c r="C639" s="126" t="str">
        <f>'G MTTS'!L634</f>
        <v>5 Seats WarmUp</v>
      </c>
      <c r="D639" s="120" t="str">
        <f>'G MTTS'!M634</f>
        <v>SAT</v>
      </c>
      <c r="E639" s="101" t="str">
        <f>'G MTTS'!N634</f>
        <v>NLH</v>
      </c>
      <c r="F639" s="102" t="str">
        <f>'G MTTS'!O634</f>
        <v>OFF</v>
      </c>
      <c r="G639" s="103">
        <f>IF('G MTTS'!Q634=0," ",'G MTTS'!Q634*$A$3)</f>
        <v>550</v>
      </c>
      <c r="H639" s="104">
        <f>IF('G MTTS'!V634=0," ",'G MTTS'!V634*$A$3)</f>
        <v>6</v>
      </c>
      <c r="I639" s="104">
        <f>IF('G MTTS'!W634=0," ",'G MTTS'!W634*$A$3)</f>
        <v>6</v>
      </c>
      <c r="J639" s="104">
        <f>IF('G MTTS'!Z634=0," ",'G MTTS'!Z634*$A$3)</f>
        <v>6</v>
      </c>
      <c r="K639" s="105">
        <f>'G MTTS'!AF634</f>
        <v>10000</v>
      </c>
      <c r="L639" s="105">
        <f>'G MTTS'!X634</f>
        <v>0</v>
      </c>
      <c r="M639" s="105">
        <f>'G MTTS'!AA634</f>
        <v>20000</v>
      </c>
      <c r="N639" s="106">
        <f>'G MTTS'!AG634</f>
        <v>4</v>
      </c>
      <c r="O639" s="106">
        <f>'G MTTS'!AH634</f>
        <v>4</v>
      </c>
      <c r="P639" s="106">
        <f>'G MTTS'!AI634</f>
        <v>4</v>
      </c>
      <c r="Q639" s="107">
        <f>'G MTTS'!AJ634</f>
        <v>9</v>
      </c>
      <c r="R639" s="46">
        <f t="shared" si="53"/>
        <v>0.504178240740741</v>
      </c>
      <c r="S639" s="47" t="str">
        <f t="shared" si="54"/>
        <v>MICRO</v>
      </c>
    </row>
    <row r="640" ht="29.25" customHeight="1" outlineLevel="1" spans="1:19">
      <c r="A640" s="135"/>
      <c r="B640" s="109"/>
      <c r="C640" s="110"/>
      <c r="D640" s="111"/>
      <c r="E640" s="112"/>
      <c r="F640" s="113"/>
      <c r="G640" s="114"/>
      <c r="H640" s="115"/>
      <c r="I640" s="115"/>
      <c r="J640" s="115"/>
      <c r="K640" s="116"/>
      <c r="L640" s="116"/>
      <c r="M640" s="116"/>
      <c r="N640" s="117"/>
      <c r="O640" s="117"/>
      <c r="P640" s="117"/>
      <c r="Q640" s="118"/>
      <c r="R640" s="46" t="str">
        <f t="shared" si="53"/>
        <v> </v>
      </c>
      <c r="S640" s="47" t="str">
        <f t="shared" si="54"/>
        <v> </v>
      </c>
    </row>
    <row r="641" ht="29.25" customHeight="1" outlineLevel="1" spans="1:19">
      <c r="A641" s="97" t="str">
        <f>'G MTTS'!J636</f>
        <v>#AS OmaX PKO</v>
      </c>
      <c r="B641" s="98">
        <f>'G MTTS'!B636</f>
        <v>0.562511574074074</v>
      </c>
      <c r="C641" s="99" t="str">
        <f>'G MTTS'!L636</f>
        <v>4 Seats OmaX PKO</v>
      </c>
      <c r="D641" s="100" t="str">
        <f>'G MTTS'!M636</f>
        <v>SAT</v>
      </c>
      <c r="E641" s="101" t="str">
        <f>'G MTTS'!N636</f>
        <v>PLO6</v>
      </c>
      <c r="F641" s="102" t="str">
        <f>'G MTTS'!O636</f>
        <v>OFF</v>
      </c>
      <c r="G641" s="103">
        <f>IF('G MTTS'!Q636=0," ",'G MTTS'!Q636*$A$3)</f>
        <v>600</v>
      </c>
      <c r="H641" s="104">
        <f>IF('G MTTS'!V636=0," ",'G MTTS'!V636*$A$3)</f>
        <v>8</v>
      </c>
      <c r="I641" s="104">
        <f>IF('G MTTS'!W636=0," ",'G MTTS'!W636*$A$3)</f>
        <v>8</v>
      </c>
      <c r="J641" s="104">
        <f>IF('G MTTS'!Z636=0," ",'G MTTS'!Z636*$A$3)</f>
        <v>8</v>
      </c>
      <c r="K641" s="105">
        <f>'G MTTS'!AF636</f>
        <v>10000</v>
      </c>
      <c r="L641" s="105">
        <f>'G MTTS'!X636</f>
        <v>0</v>
      </c>
      <c r="M641" s="105">
        <f>'G MTTS'!AA636</f>
        <v>20000</v>
      </c>
      <c r="N641" s="106">
        <f>'G MTTS'!AG636</f>
        <v>4</v>
      </c>
      <c r="O641" s="106">
        <f>'G MTTS'!AH636</f>
        <v>4</v>
      </c>
      <c r="P641" s="106">
        <f>'G MTTS'!AI636</f>
        <v>4</v>
      </c>
      <c r="Q641" s="107">
        <f>'G MTTS'!AJ636</f>
        <v>9</v>
      </c>
      <c r="R641" s="46">
        <f t="shared" si="53"/>
        <v>0.587511574074074</v>
      </c>
      <c r="S641" s="47" t="str">
        <f t="shared" si="54"/>
        <v>MICRO</v>
      </c>
    </row>
    <row r="642" ht="29.25" customHeight="1" outlineLevel="1" spans="1:19">
      <c r="A642" s="135"/>
      <c r="B642" s="109"/>
      <c r="C642" s="110"/>
      <c r="D642" s="111"/>
      <c r="E642" s="112"/>
      <c r="F642" s="113"/>
      <c r="G642" s="114"/>
      <c r="H642" s="115"/>
      <c r="I642" s="115"/>
      <c r="J642" s="115"/>
      <c r="K642" s="116"/>
      <c r="L642" s="116"/>
      <c r="M642" s="116"/>
      <c r="N642" s="117"/>
      <c r="O642" s="117"/>
      <c r="P642" s="117"/>
      <c r="Q642" s="118"/>
      <c r="R642" s="46"/>
      <c r="S642" s="47"/>
    </row>
    <row r="643" ht="29.25" customHeight="1" outlineLevel="1" spans="1:19">
      <c r="A643" s="121" t="str">
        <f>'G MTTS'!J638</f>
        <v>#AS Battle HR+SPS</v>
      </c>
      <c r="B643" s="122">
        <f>'G MTTS'!B638</f>
        <v>0.541678240740741</v>
      </c>
      <c r="C643" s="123" t="str">
        <f>'G MTTS'!L638</f>
        <v>4 Seats Battle HR</v>
      </c>
      <c r="D643" s="120" t="str">
        <f>'G MTTS'!M638</f>
        <v>SAT</v>
      </c>
      <c r="E643" s="101" t="str">
        <f>'G MTTS'!N638</f>
        <v>NLH</v>
      </c>
      <c r="F643" s="102" t="str">
        <f>'G MTTS'!O638</f>
        <v>OFF</v>
      </c>
      <c r="G643" s="103">
        <f>IF('G MTTS'!Q638=0," ",'G MTTS'!Q638*$A$3)</f>
        <v>600</v>
      </c>
      <c r="H643" s="104">
        <f>IF('G MTTS'!V638=0," ",'G MTTS'!V638*$A$3)</f>
        <v>9</v>
      </c>
      <c r="I643" s="104">
        <f>IF('G MTTS'!W638=0," ",'G MTTS'!W638*$A$3)</f>
        <v>9</v>
      </c>
      <c r="J643" s="104">
        <f>IF('G MTTS'!Z638=0," ",'G MTTS'!Z638*$A$3)</f>
        <v>9</v>
      </c>
      <c r="K643" s="105">
        <f>'G MTTS'!AF638</f>
        <v>10000</v>
      </c>
      <c r="L643" s="105">
        <f>'G MTTS'!X638</f>
        <v>0</v>
      </c>
      <c r="M643" s="105">
        <f>'G MTTS'!AA638</f>
        <v>20000</v>
      </c>
      <c r="N643" s="106">
        <f>'G MTTS'!AG638</f>
        <v>5</v>
      </c>
      <c r="O643" s="106">
        <f>'G MTTS'!AH638</f>
        <v>5</v>
      </c>
      <c r="P643" s="106">
        <f>'G MTTS'!AI638</f>
        <v>4</v>
      </c>
      <c r="Q643" s="107">
        <f>'G MTTS'!AJ638</f>
        <v>9</v>
      </c>
      <c r="R643" s="46">
        <f t="shared" ref="R643:R649" si="55">IF(B643=0," ",TIME(,ROUNDDOWN(N643*Q643/60,0)*5+(N643*Q643),)+B643)</f>
        <v>0.572928240740741</v>
      </c>
      <c r="S643" s="47" t="str">
        <f t="shared" ref="S643:S649" si="56">IFERROR(IF(H643=0," ",IF(H643&lt;=25,"MICRO",IF(H643&lt;=99,"LOW",IF(H643&lt;=499,"MEDIUM",IF(H643&lt;=2500,"HIGH",IF(H643&gt;2500,"SUPER HIGH",)))))),"")</f>
        <v>MICRO</v>
      </c>
    </row>
    <row r="644" ht="29.25" customHeight="1" outlineLevel="1" spans="1:19">
      <c r="A644" s="29"/>
      <c r="B644" s="128">
        <f>'G MTTS'!B639</f>
        <v>0.583344907407407</v>
      </c>
      <c r="C644" s="129" t="str">
        <f>'G MTTS'!L639</f>
        <v>6 Seats Battle HR</v>
      </c>
      <c r="D644" s="120" t="str">
        <f>'G MTTS'!M639</f>
        <v>SAT</v>
      </c>
      <c r="E644" s="101" t="str">
        <f>'G MTTS'!N639</f>
        <v>NLH</v>
      </c>
      <c r="F644" s="102" t="str">
        <f>'G MTTS'!O639</f>
        <v>OFF</v>
      </c>
      <c r="G644" s="103">
        <f>IF('G MTTS'!Q639=0," ",'G MTTS'!Q639*$A$3)</f>
        <v>900</v>
      </c>
      <c r="H644" s="104">
        <f>IF('G MTTS'!V639=0," ",'G MTTS'!V639*$A$3)</f>
        <v>10</v>
      </c>
      <c r="I644" s="104">
        <f>IF('G MTTS'!W639=0," ",'G MTTS'!W639*$A$3)</f>
        <v>10</v>
      </c>
      <c r="J644" s="104">
        <f>IF('G MTTS'!Z639=0," ",'G MTTS'!Z639*$A$3)</f>
        <v>10</v>
      </c>
      <c r="K644" s="105">
        <f>'G MTTS'!AF639</f>
        <v>10000</v>
      </c>
      <c r="L644" s="105">
        <f>'G MTTS'!X639</f>
        <v>0</v>
      </c>
      <c r="M644" s="105">
        <f>'G MTTS'!AA639</f>
        <v>20000</v>
      </c>
      <c r="N644" s="106">
        <f>'G MTTS'!AG639</f>
        <v>5</v>
      </c>
      <c r="O644" s="106">
        <f>'G MTTS'!AH639</f>
        <v>5</v>
      </c>
      <c r="P644" s="106">
        <f>'G MTTS'!AI639</f>
        <v>4</v>
      </c>
      <c r="Q644" s="107">
        <f>'G MTTS'!AJ639</f>
        <v>9</v>
      </c>
      <c r="R644" s="46">
        <f t="shared" si="55"/>
        <v>0.614594907407407</v>
      </c>
      <c r="S644" s="47" t="str">
        <f t="shared" si="56"/>
        <v>MICRO</v>
      </c>
    </row>
    <row r="645" ht="29.25" customHeight="1" outlineLevel="1" spans="1:19">
      <c r="A645" s="29"/>
      <c r="B645" s="128">
        <f>'G MTTS'!B640</f>
        <v>0.625011574074074</v>
      </c>
      <c r="C645" s="129" t="str">
        <f>'G MTTS'!L640</f>
        <v>7 Seats Battle HR</v>
      </c>
      <c r="D645" s="120" t="str">
        <f>'G MTTS'!M640</f>
        <v>SAT</v>
      </c>
      <c r="E645" s="101" t="str">
        <f>'G MTTS'!N640</f>
        <v>NLH</v>
      </c>
      <c r="F645" s="102" t="str">
        <f>'G MTTS'!O640</f>
        <v>OFF</v>
      </c>
      <c r="G645" s="103">
        <f>IF('G MTTS'!Q640=0," ",'G MTTS'!Q640*$A$3)</f>
        <v>1050</v>
      </c>
      <c r="H645" s="104">
        <f>IF('G MTTS'!V640=0," ",'G MTTS'!V640*$A$3)</f>
        <v>10</v>
      </c>
      <c r="I645" s="104">
        <f>IF('G MTTS'!W640=0," ",'G MTTS'!W640*$A$3)</f>
        <v>10</v>
      </c>
      <c r="J645" s="104">
        <f>IF('G MTTS'!Z640=0," ",'G MTTS'!Z640*$A$3)</f>
        <v>10</v>
      </c>
      <c r="K645" s="105">
        <f>'G MTTS'!AF640</f>
        <v>10000</v>
      </c>
      <c r="L645" s="105">
        <f>'G MTTS'!X640</f>
        <v>0</v>
      </c>
      <c r="M645" s="105">
        <f>'G MTTS'!AA640</f>
        <v>20000</v>
      </c>
      <c r="N645" s="106">
        <f>'G MTTS'!AG640</f>
        <v>5</v>
      </c>
      <c r="O645" s="106">
        <f>'G MTTS'!AH640</f>
        <v>5</v>
      </c>
      <c r="P645" s="106">
        <f>'G MTTS'!AI640</f>
        <v>4</v>
      </c>
      <c r="Q645" s="107">
        <f>'G MTTS'!AJ640</f>
        <v>9</v>
      </c>
      <c r="R645" s="46">
        <f t="shared" si="55"/>
        <v>0.656261574074074</v>
      </c>
      <c r="S645" s="47" t="str">
        <f t="shared" si="56"/>
        <v>MICRO</v>
      </c>
    </row>
    <row r="646" ht="29.25" customHeight="1" outlineLevel="1" spans="1:19">
      <c r="A646" s="29"/>
      <c r="B646" s="128">
        <f>'G MTTS'!B641</f>
        <v>0.666678240740741</v>
      </c>
      <c r="C646" s="129" t="str">
        <f>'G MTTS'!L641</f>
        <v>8 Seats Battle HR</v>
      </c>
      <c r="D646" s="120" t="str">
        <f>'G MTTS'!M641</f>
        <v>SAT</v>
      </c>
      <c r="E646" s="101" t="str">
        <f>'G MTTS'!N641</f>
        <v>NLH</v>
      </c>
      <c r="F646" s="102" t="str">
        <f>'G MTTS'!O641</f>
        <v>OFF</v>
      </c>
      <c r="G646" s="103">
        <f>IF('G MTTS'!Q641=0," ",'G MTTS'!Q641*$A$3)</f>
        <v>1200</v>
      </c>
      <c r="H646" s="104">
        <f>IF('G MTTS'!V641=0," ",'G MTTS'!V641*$A$3)</f>
        <v>10</v>
      </c>
      <c r="I646" s="104">
        <f>IF('G MTTS'!W641=0," ",'G MTTS'!W641*$A$3)</f>
        <v>10</v>
      </c>
      <c r="J646" s="104">
        <f>IF('G MTTS'!Z641=0," ",'G MTTS'!Z641*$A$3)</f>
        <v>10</v>
      </c>
      <c r="K646" s="105">
        <f>'G MTTS'!AF641</f>
        <v>10000</v>
      </c>
      <c r="L646" s="105">
        <f>'G MTTS'!X641</f>
        <v>0</v>
      </c>
      <c r="M646" s="105">
        <f>'G MTTS'!AA641</f>
        <v>20000</v>
      </c>
      <c r="N646" s="106">
        <f>'G MTTS'!AG641</f>
        <v>5</v>
      </c>
      <c r="O646" s="106">
        <f>'G MTTS'!AH641</f>
        <v>5</v>
      </c>
      <c r="P646" s="106">
        <f>'G MTTS'!AI641</f>
        <v>4</v>
      </c>
      <c r="Q646" s="107">
        <f>'G MTTS'!AJ641</f>
        <v>9</v>
      </c>
      <c r="R646" s="46">
        <f t="shared" si="55"/>
        <v>0.697928240740741</v>
      </c>
      <c r="S646" s="47" t="str">
        <f t="shared" si="56"/>
        <v>MICRO</v>
      </c>
    </row>
    <row r="647" ht="29.25" customHeight="1" outlineLevel="1" spans="1:19">
      <c r="A647" s="124"/>
      <c r="B647" s="125">
        <f>'G MTTS'!B642</f>
        <v>0.729178240740741</v>
      </c>
      <c r="C647" s="126" t="str">
        <f>'G MTTS'!L642</f>
        <v>10 Seats Battle HR</v>
      </c>
      <c r="D647" s="120" t="str">
        <f>'G MTTS'!M642</f>
        <v>SAT</v>
      </c>
      <c r="E647" s="101" t="str">
        <f>'G MTTS'!N642</f>
        <v>NLH</v>
      </c>
      <c r="F647" s="102" t="str">
        <f>'G MTTS'!O642</f>
        <v>OFF</v>
      </c>
      <c r="G647" s="103">
        <f>IF('G MTTS'!Q642=0," ",'G MTTS'!Q642*$A$3)</f>
        <v>1500</v>
      </c>
      <c r="H647" s="104">
        <f>IF('G MTTS'!V642=0," ",'G MTTS'!V642*$A$3)</f>
        <v>10</v>
      </c>
      <c r="I647" s="104">
        <f>IF('G MTTS'!W642=0," ",'G MTTS'!W642*$A$3)</f>
        <v>10</v>
      </c>
      <c r="J647" s="104">
        <f>IF('G MTTS'!Z642=0," ",'G MTTS'!Z642*$A$3)</f>
        <v>10</v>
      </c>
      <c r="K647" s="105">
        <f>'G MTTS'!AF642</f>
        <v>10000</v>
      </c>
      <c r="L647" s="105">
        <f>'G MTTS'!X642</f>
        <v>0</v>
      </c>
      <c r="M647" s="105">
        <f>'G MTTS'!AA642</f>
        <v>20000</v>
      </c>
      <c r="N647" s="106">
        <f>'G MTTS'!AG642</f>
        <v>4</v>
      </c>
      <c r="O647" s="106">
        <f>'G MTTS'!AH642</f>
        <v>4</v>
      </c>
      <c r="P647" s="106">
        <f>'G MTTS'!AI642</f>
        <v>3</v>
      </c>
      <c r="Q647" s="107">
        <f>'G MTTS'!AJ642</f>
        <v>9</v>
      </c>
      <c r="R647" s="46">
        <f t="shared" si="55"/>
        <v>0.754178240740741</v>
      </c>
      <c r="S647" s="47" t="str">
        <f t="shared" si="56"/>
        <v>MICRO</v>
      </c>
    </row>
    <row r="648" ht="29.25" customHeight="1" outlineLevel="1" spans="1:19">
      <c r="A648" s="135"/>
      <c r="B648" s="109"/>
      <c r="C648" s="110"/>
      <c r="D648" s="111"/>
      <c r="E648" s="112"/>
      <c r="F648" s="113"/>
      <c r="G648" s="114"/>
      <c r="H648" s="115"/>
      <c r="I648" s="115"/>
      <c r="J648" s="115"/>
      <c r="K648" s="116"/>
      <c r="L648" s="116"/>
      <c r="M648" s="116"/>
      <c r="N648" s="117"/>
      <c r="O648" s="117"/>
      <c r="P648" s="117"/>
      <c r="Q648" s="118"/>
      <c r="R648" s="46" t="str">
        <f t="shared" si="55"/>
        <v> </v>
      </c>
      <c r="S648" s="47" t="str">
        <f t="shared" si="56"/>
        <v> </v>
      </c>
    </row>
    <row r="649" ht="29.25" customHeight="1" outlineLevel="1" spans="1:19">
      <c r="A649" s="119" t="str">
        <f>'G MTTS'!J644</f>
        <v>#AS Bounty</v>
      </c>
      <c r="B649" s="98">
        <f>'G MTTS'!B644</f>
        <v>0.645844907407407</v>
      </c>
      <c r="C649" s="99" t="str">
        <f>'G MTTS'!L644</f>
        <v>4 Seats Bounty</v>
      </c>
      <c r="D649" s="100" t="str">
        <f>'G MTTS'!M644</f>
        <v>SAT</v>
      </c>
      <c r="E649" s="101" t="str">
        <f>'G MTTS'!N644</f>
        <v>NLH</v>
      </c>
      <c r="F649" s="102" t="str">
        <f>'G MTTS'!O644</f>
        <v>OFF</v>
      </c>
      <c r="G649" s="103">
        <f>IF('G MTTS'!Q644=0," ",'G MTTS'!Q644*$A$3)</f>
        <v>440</v>
      </c>
      <c r="H649" s="104">
        <f>IF('G MTTS'!V644=0," ",'G MTTS'!V644*$A$3)</f>
        <v>6</v>
      </c>
      <c r="I649" s="104">
        <f>IF('G MTTS'!W644=0," ",'G MTTS'!W644*$A$3)</f>
        <v>6</v>
      </c>
      <c r="J649" s="104">
        <f>IF('G MTTS'!Z644=0," ",'G MTTS'!Z644*$A$3)</f>
        <v>6</v>
      </c>
      <c r="K649" s="105">
        <f>'G MTTS'!AF644</f>
        <v>10000</v>
      </c>
      <c r="L649" s="105">
        <f>'G MTTS'!X644</f>
        <v>0</v>
      </c>
      <c r="M649" s="105">
        <f>'G MTTS'!AA644</f>
        <v>20000</v>
      </c>
      <c r="N649" s="106">
        <f>'G MTTS'!AG644</f>
        <v>5</v>
      </c>
      <c r="O649" s="106">
        <f>'G MTTS'!AH644</f>
        <v>5</v>
      </c>
      <c r="P649" s="106">
        <f>'G MTTS'!AI644</f>
        <v>4</v>
      </c>
      <c r="Q649" s="107">
        <f>'G MTTS'!AJ644</f>
        <v>9</v>
      </c>
      <c r="R649" s="46">
        <f t="shared" si="55"/>
        <v>0.677094907407407</v>
      </c>
      <c r="S649" s="47" t="str">
        <f t="shared" si="56"/>
        <v>MICRO</v>
      </c>
    </row>
    <row r="650" ht="29.25" customHeight="1" outlineLevel="1" spans="1:19">
      <c r="A650" s="135"/>
      <c r="B650" s="109"/>
      <c r="C650" s="110"/>
      <c r="D650" s="111"/>
      <c r="E650" s="112"/>
      <c r="F650" s="113"/>
      <c r="G650" s="114"/>
      <c r="H650" s="115"/>
      <c r="I650" s="115"/>
      <c r="J650" s="115"/>
      <c r="K650" s="116"/>
      <c r="L650" s="116"/>
      <c r="M650" s="116"/>
      <c r="N650" s="117"/>
      <c r="O650" s="117"/>
      <c r="P650" s="117"/>
      <c r="Q650" s="118"/>
      <c r="R650" s="46"/>
      <c r="S650" s="47"/>
    </row>
    <row r="651" ht="29.25" customHeight="1" outlineLevel="1" spans="1:19">
      <c r="A651" s="119" t="str">
        <f>'G MTTS'!J646</f>
        <v>#AS Big Plus+SPT</v>
      </c>
      <c r="B651" s="98">
        <f>'G MTTS'!B646</f>
        <v>0.666678240740741</v>
      </c>
      <c r="C651" s="99" t="str">
        <f>'G MTTS'!L646</f>
        <v>5 Seats Plus</v>
      </c>
      <c r="D651" s="120" t="str">
        <f>'G MTTS'!M646</f>
        <v>SAT</v>
      </c>
      <c r="E651" s="101" t="str">
        <f>'G MTTS'!N646</f>
        <v>NLH</v>
      </c>
      <c r="F651" s="102" t="str">
        <f>'G MTTS'!O646</f>
        <v>OFF</v>
      </c>
      <c r="G651" s="103">
        <f>IF('G MTTS'!Q646=0," ",'G MTTS'!Q646*$A$3)</f>
        <v>200</v>
      </c>
      <c r="H651" s="104" t="str">
        <f>IF('G MTTS'!V646=0," ",'G MTTS'!V646*$A$3)</f>
        <v> </v>
      </c>
      <c r="I651" s="104">
        <f>IF('G MTTS'!W646=0," ",'G MTTS'!W646*$A$3)</f>
        <v>1</v>
      </c>
      <c r="J651" s="104">
        <f>IF('G MTTS'!Z646=0," ",'G MTTS'!Z646*$A$3)</f>
        <v>2</v>
      </c>
      <c r="K651" s="105">
        <f>'G MTTS'!AF646</f>
        <v>7500</v>
      </c>
      <c r="L651" s="105">
        <f>'G MTTS'!X646</f>
        <v>10000</v>
      </c>
      <c r="M651" s="105">
        <f>'G MTTS'!AA646</f>
        <v>15000</v>
      </c>
      <c r="N651" s="106">
        <f>'G MTTS'!AG646</f>
        <v>4</v>
      </c>
      <c r="O651" s="106">
        <f>'G MTTS'!AH646</f>
        <v>3</v>
      </c>
      <c r="P651" s="106">
        <f>'G MTTS'!AI646</f>
        <v>3</v>
      </c>
      <c r="Q651" s="107">
        <f>'G MTTS'!AJ646</f>
        <v>9</v>
      </c>
      <c r="R651" s="46">
        <f>IF(B651=0," ",TIME(,ROUNDDOWN(N651*Q651/60,0)*5+(N651*Q651),)+B651)</f>
        <v>0.691678240740741</v>
      </c>
      <c r="S651" s="47" t="str">
        <f>IFERROR(IF(H651=0," ",IF(H651&lt;=25,"MICRO",IF(H651&lt;=99,"LOW",IF(H651&lt;=499,"MEDIUM",IF(H651&lt;=2500,"HIGH",IF(H651&gt;2500,"SUPER HIGH",)))))),"")</f>
        <v>SUPER HIGH</v>
      </c>
    </row>
    <row r="652" ht="29.25" customHeight="1" outlineLevel="1" spans="1:19">
      <c r="A652" s="135"/>
      <c r="B652" s="109"/>
      <c r="C652" s="110"/>
      <c r="D652" s="111"/>
      <c r="E652" s="112"/>
      <c r="F652" s="113"/>
      <c r="G652" s="114"/>
      <c r="H652" s="115"/>
      <c r="I652" s="115"/>
      <c r="J652" s="115"/>
      <c r="K652" s="116"/>
      <c r="L652" s="116"/>
      <c r="M652" s="116"/>
      <c r="N652" s="117"/>
      <c r="O652" s="117"/>
      <c r="P652" s="117"/>
      <c r="Q652" s="118"/>
      <c r="R652" s="46"/>
      <c r="S652" s="47"/>
    </row>
    <row r="653" ht="29.25" customHeight="1" outlineLevel="1" spans="1:19">
      <c r="A653" s="119" t="str">
        <f>'G MTTS'!J648</f>
        <v>#AS Friday HR</v>
      </c>
      <c r="B653" s="98">
        <f>'G MTTS'!B648</f>
        <v>0.708344907407407</v>
      </c>
      <c r="C653" s="99" t="str">
        <f>'G MTTS'!L648</f>
        <v>4 Seats Friday HR</v>
      </c>
      <c r="D653" s="100" t="str">
        <f>'G MTTS'!M648</f>
        <v>SAT</v>
      </c>
      <c r="E653" s="101" t="str">
        <f>'G MTTS'!N648</f>
        <v>NLH</v>
      </c>
      <c r="F653" s="102" t="str">
        <f>'G MTTS'!O648</f>
        <v>OFF</v>
      </c>
      <c r="G653" s="103">
        <f>IF('G MTTS'!Q648=0," ",'G MTTS'!Q648*$A$3)</f>
        <v>2200</v>
      </c>
      <c r="H653" s="104">
        <f>IF('G MTTS'!V648=0," ",'G MTTS'!V648*$A$3)</f>
        <v>80</v>
      </c>
      <c r="I653" s="104">
        <f>IF('G MTTS'!W648=0," ",'G MTTS'!W648*$A$3)</f>
        <v>80</v>
      </c>
      <c r="J653" s="104" t="str">
        <f>IF('G MTTS'!Z648=0," ",'G MTTS'!Z648*$A$3)</f>
        <v> </v>
      </c>
      <c r="K653" s="105">
        <f>'G MTTS'!AF648</f>
        <v>10000</v>
      </c>
      <c r="L653" s="105">
        <f>'G MTTS'!X648</f>
        <v>0</v>
      </c>
      <c r="M653" s="105" t="str">
        <f>'G MTTS'!AA648</f>
        <v>REENTRY</v>
      </c>
      <c r="N653" s="106">
        <f>'G MTTS'!AG648</f>
        <v>4</v>
      </c>
      <c r="O653" s="106">
        <f>'G MTTS'!AH648</f>
        <v>4</v>
      </c>
      <c r="P653" s="106">
        <f>'G MTTS'!AI648</f>
        <v>4</v>
      </c>
      <c r="Q653" s="107">
        <f>'G MTTS'!AJ648</f>
        <v>9</v>
      </c>
      <c r="R653" s="46">
        <f>IF(B653=0," ",TIME(,ROUNDDOWN(N653*Q653/60,0)*5+(N653*Q653),)+B653)</f>
        <v>0.733344907407407</v>
      </c>
      <c r="S653" s="47" t="str">
        <f>IFERROR(IF(H653=0," ",IF(H653&lt;=25,"MICRO",IF(H653&lt;=99,"LOW",IF(H653&lt;=499,"MEDIUM",IF(H653&lt;=2500,"HIGH",IF(H653&gt;2500,"SUPER HIGH",)))))),"")</f>
        <v>LOW</v>
      </c>
    </row>
    <row r="654" ht="29.25" customHeight="1" outlineLevel="1" spans="1:19">
      <c r="A654" s="135"/>
      <c r="B654" s="109"/>
      <c r="C654" s="110"/>
      <c r="D654" s="111"/>
      <c r="E654" s="112"/>
      <c r="F654" s="113"/>
      <c r="G654" s="114"/>
      <c r="H654" s="115"/>
      <c r="I654" s="115"/>
      <c r="J654" s="115"/>
      <c r="K654" s="116"/>
      <c r="L654" s="116"/>
      <c r="M654" s="116"/>
      <c r="N654" s="117"/>
      <c r="O654" s="117"/>
      <c r="P654" s="117"/>
      <c r="Q654" s="118"/>
      <c r="R654" s="46"/>
      <c r="S654" s="47"/>
    </row>
    <row r="655" ht="29.25" customHeight="1" outlineLevel="1" spans="1:19">
      <c r="A655" s="97" t="str">
        <f>'G MTTS'!J650</f>
        <v>#AS OmaX PKO</v>
      </c>
      <c r="B655" s="98">
        <f>'G MTTS'!B650</f>
        <v>0.708344907407407</v>
      </c>
      <c r="C655" s="99" t="str">
        <f>'G MTTS'!L650</f>
        <v>6 Seats OmaX PKO</v>
      </c>
      <c r="D655" s="100" t="str">
        <f>'G MTTS'!M650</f>
        <v>SAT</v>
      </c>
      <c r="E655" s="101" t="str">
        <f>'G MTTS'!N650</f>
        <v>PLO5</v>
      </c>
      <c r="F655" s="102" t="str">
        <f>'G MTTS'!O650</f>
        <v>OFF</v>
      </c>
      <c r="G655" s="103">
        <f>IF('G MTTS'!Q650=0," ",'G MTTS'!Q650*$A$3)</f>
        <v>450</v>
      </c>
      <c r="H655" s="104">
        <f>IF('G MTTS'!V650=0," ",'G MTTS'!V650*$A$3)</f>
        <v>4</v>
      </c>
      <c r="I655" s="104">
        <f>IF('G MTTS'!W650=0," ",'G MTTS'!W650*$A$3)</f>
        <v>4</v>
      </c>
      <c r="J655" s="104">
        <f>IF('G MTTS'!Z650=0," ",'G MTTS'!Z650*$A$3)</f>
        <v>4</v>
      </c>
      <c r="K655" s="105">
        <f>'G MTTS'!AF650</f>
        <v>10000</v>
      </c>
      <c r="L655" s="105">
        <f>'G MTTS'!X650</f>
        <v>0</v>
      </c>
      <c r="M655" s="105">
        <f>'G MTTS'!AA650</f>
        <v>20000</v>
      </c>
      <c r="N655" s="106">
        <f>'G MTTS'!AG650</f>
        <v>4</v>
      </c>
      <c r="O655" s="106">
        <f>'G MTTS'!AH650</f>
        <v>4</v>
      </c>
      <c r="P655" s="106">
        <f>'G MTTS'!AI650</f>
        <v>4</v>
      </c>
      <c r="Q655" s="107">
        <f>'G MTTS'!AJ650</f>
        <v>9</v>
      </c>
      <c r="R655" s="46">
        <f t="shared" ref="R655:R657" si="57">IF(B655=0," ",TIME(,ROUNDDOWN(N655*Q655/60,0)*5+(N655*Q655),)+B655)</f>
        <v>0.733344907407407</v>
      </c>
      <c r="S655" s="47" t="str">
        <f t="shared" ref="S655:S657" si="58">IFERROR(IF(H655=0," ",IF(H655&lt;=25,"MICRO",IF(H655&lt;=99,"LOW",IF(H655&lt;=499,"MEDIUM",IF(H655&lt;=2500,"HIGH",IF(H655&gt;2500,"SUPER HIGH",)))))),"")</f>
        <v>MICRO</v>
      </c>
    </row>
    <row r="656" ht="29.25" customHeight="1" outlineLevel="1" spans="1:19">
      <c r="A656" s="135"/>
      <c r="B656" s="109"/>
      <c r="C656" s="110"/>
      <c r="D656" s="111"/>
      <c r="E656" s="112"/>
      <c r="F656" s="113"/>
      <c r="G656" s="114"/>
      <c r="H656" s="115"/>
      <c r="I656" s="115"/>
      <c r="J656" s="115"/>
      <c r="K656" s="116"/>
      <c r="L656" s="116"/>
      <c r="M656" s="116"/>
      <c r="N656" s="117"/>
      <c r="O656" s="117"/>
      <c r="P656" s="117"/>
      <c r="Q656" s="118"/>
      <c r="R656" s="46" t="str">
        <f t="shared" si="57"/>
        <v> </v>
      </c>
      <c r="S656" s="47" t="str">
        <f t="shared" si="58"/>
        <v> </v>
      </c>
    </row>
    <row r="657" ht="29.25" customHeight="1" outlineLevel="1" spans="1:19">
      <c r="A657" s="97" t="str">
        <f>'G MTTS'!J652</f>
        <v>#AS OmaX HR</v>
      </c>
      <c r="B657" s="98">
        <f>'G MTTS'!B652</f>
        <v>0.750011574074074</v>
      </c>
      <c r="C657" s="99" t="str">
        <f>'G MTTS'!L652</f>
        <v>5 Seats OmaX HR</v>
      </c>
      <c r="D657" s="100" t="str">
        <f>'G MTTS'!M652</f>
        <v>SAT</v>
      </c>
      <c r="E657" s="101" t="str">
        <f>'G MTTS'!N652</f>
        <v>PLO5</v>
      </c>
      <c r="F657" s="102" t="str">
        <f>'G MTTS'!O652</f>
        <v>OFF</v>
      </c>
      <c r="G657" s="103">
        <f>IF('G MTTS'!Q652=0," ",'G MTTS'!Q652*$A$3)</f>
        <v>1750</v>
      </c>
      <c r="H657" s="104">
        <f>IF('G MTTS'!V652=0," ",'G MTTS'!V652*$A$3)</f>
        <v>20</v>
      </c>
      <c r="I657" s="104">
        <f>IF('G MTTS'!W652=0," ",'G MTTS'!W652*$A$3)</f>
        <v>20</v>
      </c>
      <c r="J657" s="104">
        <f>IF('G MTTS'!Z652=0," ",'G MTTS'!Z652*$A$3)</f>
        <v>20</v>
      </c>
      <c r="K657" s="105">
        <f>'G MTTS'!AF652</f>
        <v>10000</v>
      </c>
      <c r="L657" s="105">
        <f>'G MTTS'!X652</f>
        <v>0</v>
      </c>
      <c r="M657" s="105">
        <f>'G MTTS'!AA652</f>
        <v>20000</v>
      </c>
      <c r="N657" s="106">
        <f>'G MTTS'!AG652</f>
        <v>4</v>
      </c>
      <c r="O657" s="106">
        <f>'G MTTS'!AH652</f>
        <v>4</v>
      </c>
      <c r="P657" s="106">
        <f>'G MTTS'!AI652</f>
        <v>4</v>
      </c>
      <c r="Q657" s="107">
        <f>'G MTTS'!AJ652</f>
        <v>9</v>
      </c>
      <c r="R657" s="46">
        <f t="shared" si="57"/>
        <v>0.775011574074074</v>
      </c>
      <c r="S657" s="47" t="str">
        <f t="shared" si="58"/>
        <v>MICRO</v>
      </c>
    </row>
    <row r="658" ht="29.25" customHeight="1" outlineLevel="1" spans="1:19">
      <c r="A658" s="135"/>
      <c r="B658" s="109"/>
      <c r="C658" s="110"/>
      <c r="D658" s="111"/>
      <c r="E658" s="112"/>
      <c r="F658" s="113"/>
      <c r="G658" s="114"/>
      <c r="H658" s="115"/>
      <c r="I658" s="115"/>
      <c r="J658" s="115"/>
      <c r="K658" s="116"/>
      <c r="L658" s="116"/>
      <c r="M658" s="116"/>
      <c r="N658" s="117"/>
      <c r="O658" s="117"/>
      <c r="P658" s="117"/>
      <c r="Q658" s="118"/>
      <c r="R658" s="46"/>
      <c r="S658" s="47"/>
    </row>
    <row r="659" ht="29.25" customHeight="1" outlineLevel="1" spans="1:19">
      <c r="A659" s="119" t="str">
        <f>'G MTTS'!J654</f>
        <v>#AS Big Mystery+SPS</v>
      </c>
      <c r="B659" s="98">
        <f>'G MTTS'!B654</f>
        <v>0.750011574074074</v>
      </c>
      <c r="C659" s="99" t="str">
        <f>'G MTTS'!L654</f>
        <v>6 Seats Big Mystery</v>
      </c>
      <c r="D659" s="120" t="str">
        <f>'G MTTS'!M654</f>
        <v>SAT</v>
      </c>
      <c r="E659" s="101" t="str">
        <f>'G MTTS'!N654</f>
        <v>NLH</v>
      </c>
      <c r="F659" s="102" t="str">
        <f>'G MTTS'!O654</f>
        <v>OFF</v>
      </c>
      <c r="G659" s="103">
        <f>IF('G MTTS'!Q654=0," ",'G MTTS'!Q654*$A$3)</f>
        <v>450</v>
      </c>
      <c r="H659" s="104">
        <f>IF('G MTTS'!V654=0," ",'G MTTS'!V654*$A$3)</f>
        <v>4</v>
      </c>
      <c r="I659" s="104">
        <f>IF('G MTTS'!W654=0," ",'G MTTS'!W654*$A$3)</f>
        <v>4</v>
      </c>
      <c r="J659" s="104">
        <f>IF('G MTTS'!Z654=0," ",'G MTTS'!Z654*$A$3)</f>
        <v>4</v>
      </c>
      <c r="K659" s="105">
        <f>'G MTTS'!AF654</f>
        <v>10000</v>
      </c>
      <c r="L659" s="105">
        <f>'G MTTS'!X654</f>
        <v>0</v>
      </c>
      <c r="M659" s="105">
        <f>'G MTTS'!AA654</f>
        <v>20000</v>
      </c>
      <c r="N659" s="106">
        <f>'G MTTS'!AG654</f>
        <v>5</v>
      </c>
      <c r="O659" s="106">
        <f>'G MTTS'!AH654</f>
        <v>5</v>
      </c>
      <c r="P659" s="106">
        <f>'G MTTS'!AI654</f>
        <v>4</v>
      </c>
      <c r="Q659" s="107">
        <f>'G MTTS'!AJ654</f>
        <v>9</v>
      </c>
      <c r="R659" s="46">
        <f>IF(B659=0," ",TIME(,ROUNDDOWN(N659*Q659/60,0)*5+(N659*Q659),)+B659)</f>
        <v>0.781261574074074</v>
      </c>
      <c r="S659" s="47" t="str">
        <f>IFERROR(IF(H659=0," ",IF(H659&lt;=25,"MICRO",IF(H659&lt;=99,"LOW",IF(H659&lt;=499,"MEDIUM",IF(H659&lt;=2500,"HIGH",IF(H659&gt;2500,"SUPER HIGH",)))))),"")</f>
        <v>MICRO</v>
      </c>
    </row>
    <row r="660" ht="29.25" customHeight="1" outlineLevel="1" spans="1:19">
      <c r="A660" s="135"/>
      <c r="B660" s="109"/>
      <c r="C660" s="110"/>
      <c r="D660" s="111"/>
      <c r="E660" s="112"/>
      <c r="F660" s="113"/>
      <c r="G660" s="114"/>
      <c r="H660" s="115"/>
      <c r="I660" s="115"/>
      <c r="J660" s="115"/>
      <c r="K660" s="116"/>
      <c r="L660" s="116"/>
      <c r="M660" s="116"/>
      <c r="N660" s="117"/>
      <c r="O660" s="117"/>
      <c r="P660" s="117"/>
      <c r="Q660" s="118"/>
      <c r="R660" s="46"/>
      <c r="S660" s="47"/>
    </row>
    <row r="661" ht="29.25" customHeight="1" outlineLevel="1" spans="1:19">
      <c r="A661" s="97" t="str">
        <f>'G MTTS'!J656</f>
        <v>#AS OmaX Turbo</v>
      </c>
      <c r="B661" s="98">
        <f>'G MTTS'!B656</f>
        <v>0.812511574074074</v>
      </c>
      <c r="C661" s="99" t="str">
        <f>'G MTTS'!L656</f>
        <v>6 Seats OmaX T.</v>
      </c>
      <c r="D661" s="100" t="str">
        <f>'G MTTS'!M656</f>
        <v>SAT</v>
      </c>
      <c r="E661" s="101" t="str">
        <f>'G MTTS'!N656</f>
        <v>PLO5</v>
      </c>
      <c r="F661" s="102" t="str">
        <f>'G MTTS'!O656</f>
        <v>OFF</v>
      </c>
      <c r="G661" s="103">
        <f>IF('G MTTS'!Q656=0," ",'G MTTS'!Q656*$A$3)</f>
        <v>330</v>
      </c>
      <c r="H661" s="104">
        <f>IF('G MTTS'!V656=0," ",'G MTTS'!V656*$A$3)</f>
        <v>3</v>
      </c>
      <c r="I661" s="104">
        <f>IF('G MTTS'!W656=0," ",'G MTTS'!W656*$A$3)</f>
        <v>3</v>
      </c>
      <c r="J661" s="104">
        <f>IF('G MTTS'!Z656=0," ",'G MTTS'!Z656*$A$3)</f>
        <v>3</v>
      </c>
      <c r="K661" s="105">
        <f>'G MTTS'!AF656</f>
        <v>10000</v>
      </c>
      <c r="L661" s="105">
        <f>'G MTTS'!X656</f>
        <v>0</v>
      </c>
      <c r="M661" s="105">
        <f>'G MTTS'!AA656</f>
        <v>20000</v>
      </c>
      <c r="N661" s="106">
        <f>'G MTTS'!AG656</f>
        <v>4</v>
      </c>
      <c r="O661" s="106">
        <f>'G MTTS'!AH656</f>
        <v>4</v>
      </c>
      <c r="P661" s="106">
        <f>'G MTTS'!AI656</f>
        <v>4</v>
      </c>
      <c r="Q661" s="107">
        <f>'G MTTS'!AJ656</f>
        <v>9</v>
      </c>
      <c r="R661" s="46">
        <f>IF(B661=0," ",TIME(,ROUNDDOWN(N661*Q661/60,0)*5+(N661*Q661),)+B661)</f>
        <v>0.837511574074074</v>
      </c>
      <c r="S661" s="47" t="str">
        <f>IFERROR(IF(H661=0," ",IF(H661&lt;=25,"MICRO",IF(H661&lt;=99,"LOW",IF(H661&lt;=499,"MEDIUM",IF(H661&lt;=2500,"HIGH",IF(H661&gt;2500,"SUPER HIGH",)))))),"")</f>
        <v>MICRO</v>
      </c>
    </row>
    <row r="662" ht="29.25" customHeight="1" outlineLevel="1" spans="1:19">
      <c r="A662" s="135"/>
      <c r="B662" s="109"/>
      <c r="C662" s="110"/>
      <c r="D662" s="111"/>
      <c r="E662" s="112"/>
      <c r="F662" s="113"/>
      <c r="G662" s="114"/>
      <c r="H662" s="115"/>
      <c r="I662" s="115"/>
      <c r="J662" s="115"/>
      <c r="K662" s="116"/>
      <c r="L662" s="116"/>
      <c r="M662" s="116"/>
      <c r="N662" s="117"/>
      <c r="O662" s="117"/>
      <c r="P662" s="117"/>
      <c r="Q662" s="118"/>
      <c r="R662" s="46"/>
      <c r="S662" s="47"/>
    </row>
    <row r="663" ht="29.25" customHeight="1" outlineLevel="1" spans="1:19">
      <c r="A663" s="97" t="str">
        <f>'G MTTS'!J658</f>
        <v>#AS Battle PKO</v>
      </c>
      <c r="B663" s="98">
        <f>'G MTTS'!B658</f>
        <v>0.833344907407407</v>
      </c>
      <c r="C663" s="99" t="str">
        <f>'G MTTS'!L658</f>
        <v>3 Seats Battle PKO</v>
      </c>
      <c r="D663" s="100" t="str">
        <f>'G MTTS'!M658</f>
        <v>SAT</v>
      </c>
      <c r="E663" s="101" t="str">
        <f>'G MTTS'!N658</f>
        <v>NLH</v>
      </c>
      <c r="F663" s="102" t="str">
        <f>'G MTTS'!O658</f>
        <v>OFF</v>
      </c>
      <c r="G663" s="103">
        <f>IF('G MTTS'!Q658=0," ",'G MTTS'!Q658*$A$3)</f>
        <v>330</v>
      </c>
      <c r="H663" s="104">
        <f>IF('G MTTS'!V658=0," ",'G MTTS'!V658*$A$3)</f>
        <v>6</v>
      </c>
      <c r="I663" s="104">
        <f>IF('G MTTS'!W658=0," ",'G MTTS'!W658*$A$3)</f>
        <v>6</v>
      </c>
      <c r="J663" s="104">
        <f>IF('G MTTS'!Z658=0," ",'G MTTS'!Z658*$A$3)</f>
        <v>6</v>
      </c>
      <c r="K663" s="105">
        <f>'G MTTS'!AF658</f>
        <v>10000</v>
      </c>
      <c r="L663" s="105">
        <f>'G MTTS'!X658</f>
        <v>0</v>
      </c>
      <c r="M663" s="105">
        <f>'G MTTS'!AA658</f>
        <v>20000</v>
      </c>
      <c r="N663" s="106">
        <f>'G MTTS'!AG658</f>
        <v>4</v>
      </c>
      <c r="O663" s="106">
        <f>'G MTTS'!AH658</f>
        <v>4</v>
      </c>
      <c r="P663" s="106">
        <f>'G MTTS'!AI658</f>
        <v>4</v>
      </c>
      <c r="Q663" s="107">
        <f>'G MTTS'!AJ658</f>
        <v>9</v>
      </c>
      <c r="R663" s="46">
        <f>IF(B663=0," ",TIME(,ROUNDDOWN(N663*Q663/60,0)*5+(N663*Q663),)+B663)</f>
        <v>0.858344907407407</v>
      </c>
      <c r="S663" s="47" t="str">
        <f>IFERROR(IF(H663=0," ",IF(H663&lt;=25,"MICRO",IF(H663&lt;=99,"LOW",IF(H663&lt;=499,"MEDIUM",IF(H663&lt;=2500,"HIGH",IF(H663&gt;2500,"SUPER HIGH",)))))),"")</f>
        <v>MICRO</v>
      </c>
    </row>
    <row r="664" ht="29.25" customHeight="1" outlineLevel="1" spans="1:19">
      <c r="A664" s="135"/>
      <c r="B664" s="109"/>
      <c r="C664" s="110"/>
      <c r="D664" s="111"/>
      <c r="E664" s="112"/>
      <c r="F664" s="113"/>
      <c r="G664" s="114"/>
      <c r="H664" s="115"/>
      <c r="I664" s="115"/>
      <c r="J664" s="115"/>
      <c r="K664" s="116"/>
      <c r="L664" s="116"/>
      <c r="M664" s="116"/>
      <c r="N664" s="117"/>
      <c r="O664" s="117"/>
      <c r="P664" s="117"/>
      <c r="Q664" s="118"/>
      <c r="R664" s="46"/>
      <c r="S664" s="47"/>
    </row>
    <row r="665" ht="29.25" customHeight="1" outlineLevel="1" spans="1:19">
      <c r="A665" s="97" t="str">
        <f>'G MTTS'!J660</f>
        <v>#AS Bounty Night</v>
      </c>
      <c r="B665" s="98">
        <f>'G MTTS'!B660</f>
        <v>0.854178240740741</v>
      </c>
      <c r="C665" s="99" t="str">
        <f>'G MTTS'!L660</f>
        <v>5 Seats Bounty</v>
      </c>
      <c r="D665" s="120" t="str">
        <f>'G MTTS'!M660</f>
        <v>SAT</v>
      </c>
      <c r="E665" s="101" t="str">
        <f>'G MTTS'!N660</f>
        <v>NLH</v>
      </c>
      <c r="F665" s="102" t="str">
        <f>'G MTTS'!O660</f>
        <v>OFF</v>
      </c>
      <c r="G665" s="103">
        <f>IF('G MTTS'!Q660=0," ",'G MTTS'!Q660*$A$3)</f>
        <v>275</v>
      </c>
      <c r="H665" s="104">
        <f>IF('G MTTS'!V660=0," ",'G MTTS'!V660*$A$3)</f>
        <v>3</v>
      </c>
      <c r="I665" s="104">
        <f>IF('G MTTS'!W660=0," ",'G MTTS'!W660*$A$3)</f>
        <v>3</v>
      </c>
      <c r="J665" s="104">
        <f>IF('G MTTS'!Z660=0," ",'G MTTS'!Z660*$A$3)</f>
        <v>3</v>
      </c>
      <c r="K665" s="105">
        <f>'G MTTS'!AF660</f>
        <v>10000</v>
      </c>
      <c r="L665" s="105">
        <f>'G MTTS'!X660</f>
        <v>0</v>
      </c>
      <c r="M665" s="105">
        <f>'G MTTS'!AA660</f>
        <v>20000</v>
      </c>
      <c r="N665" s="106">
        <f>'G MTTS'!AG660</f>
        <v>5</v>
      </c>
      <c r="O665" s="106">
        <f>'G MTTS'!AH660</f>
        <v>5</v>
      </c>
      <c r="P665" s="106">
        <f>'G MTTS'!AI660</f>
        <v>4</v>
      </c>
      <c r="Q665" s="107">
        <f>'G MTTS'!AJ660</f>
        <v>9</v>
      </c>
      <c r="R665" s="46">
        <f>IF(B665=0," ",TIME(,ROUNDDOWN(N665*Q665/60,0)*5+(N665*Q665),)+B665)</f>
        <v>0.885428240740741</v>
      </c>
      <c r="S665" s="47" t="str">
        <f>IFERROR(IF(H665=0," ",IF(H665&lt;=25,"MICRO",IF(H665&lt;=99,"LOW",IF(H665&lt;=499,"MEDIUM",IF(H665&lt;=2500,"HIGH",IF(H665&gt;2500,"SUPER HIGH",)))))),"")</f>
        <v>MICRO</v>
      </c>
    </row>
    <row r="666" ht="29.25" customHeight="1" outlineLevel="1" spans="1:19">
      <c r="A666" s="135"/>
      <c r="B666" s="109"/>
      <c r="C666" s="110"/>
      <c r="D666" s="111"/>
      <c r="E666" s="112"/>
      <c r="F666" s="113"/>
      <c r="G666" s="114"/>
      <c r="H666" s="115"/>
      <c r="I666" s="115"/>
      <c r="J666" s="115"/>
      <c r="K666" s="116"/>
      <c r="L666" s="116"/>
      <c r="M666" s="116"/>
      <c r="N666" s="117"/>
      <c r="O666" s="117"/>
      <c r="P666" s="117"/>
      <c r="Q666" s="118"/>
      <c r="R666" s="46"/>
      <c r="S666" s="47"/>
    </row>
    <row r="667" ht="29.25" customHeight="1" outlineLevel="1" spans="1:19">
      <c r="A667" s="119" t="str">
        <f>'G MTTS'!J662</f>
        <v>#AS Sonic</v>
      </c>
      <c r="B667" s="98">
        <f>'G MTTS'!B662</f>
        <v>0.875011574074074</v>
      </c>
      <c r="C667" s="99" t="str">
        <f>'G MTTS'!L662</f>
        <v>2 Seats Sonic</v>
      </c>
      <c r="D667" s="100" t="str">
        <f>'G MTTS'!M662</f>
        <v>SAT</v>
      </c>
      <c r="E667" s="101" t="str">
        <f>'G MTTS'!N662</f>
        <v>NLH</v>
      </c>
      <c r="F667" s="102" t="str">
        <f>'G MTTS'!O662</f>
        <v>OFF</v>
      </c>
      <c r="G667" s="103">
        <f>IF('G MTTS'!Q662=0," ",'G MTTS'!Q662*$A$3)</f>
        <v>300</v>
      </c>
      <c r="H667" s="104">
        <f>IF('G MTTS'!V662=0," ",'G MTTS'!V662*$A$3)</f>
        <v>8</v>
      </c>
      <c r="I667" s="104">
        <f>IF('G MTTS'!W662=0," ",'G MTTS'!W662*$A$3)</f>
        <v>8</v>
      </c>
      <c r="J667" s="104">
        <f>IF('G MTTS'!Z662=0," ",'G MTTS'!Z662*$A$3)</f>
        <v>8</v>
      </c>
      <c r="K667" s="105">
        <f>'G MTTS'!AF662</f>
        <v>10000</v>
      </c>
      <c r="L667" s="105">
        <f>'G MTTS'!X662</f>
        <v>0</v>
      </c>
      <c r="M667" s="105">
        <f>'G MTTS'!AA662</f>
        <v>20000</v>
      </c>
      <c r="N667" s="106">
        <f>'G MTTS'!AG662</f>
        <v>5</v>
      </c>
      <c r="O667" s="106">
        <f>'G MTTS'!AH662</f>
        <v>5</v>
      </c>
      <c r="P667" s="106">
        <f>'G MTTS'!AI662</f>
        <v>4</v>
      </c>
      <c r="Q667" s="107">
        <f>'G MTTS'!AJ662</f>
        <v>9</v>
      </c>
      <c r="R667" s="46">
        <f>IF(B667=0," ",TIME(,ROUNDDOWN(N667*Q667/60,0)*5+(N667*Q667),)+B667)</f>
        <v>0.906261574074074</v>
      </c>
      <c r="S667" s="47" t="str">
        <f>IFERROR(IF(H667=0," ",IF(H667&lt;=25,"MICRO",IF(H667&lt;=99,"LOW",IF(H667&lt;=499,"MEDIUM",IF(H667&lt;=2500,"HIGH",IF(H667&gt;2500,"SUPER HIGH",)))))),"")</f>
        <v>MICRO</v>
      </c>
    </row>
    <row r="668" ht="29.25" customHeight="1" outlineLevel="1" spans="1:19">
      <c r="A668" s="135"/>
      <c r="B668" s="109"/>
      <c r="C668" s="110"/>
      <c r="D668" s="111"/>
      <c r="E668" s="112"/>
      <c r="F668" s="113"/>
      <c r="G668" s="114"/>
      <c r="H668" s="115"/>
      <c r="I668" s="115"/>
      <c r="J668" s="115"/>
      <c r="K668" s="116"/>
      <c r="L668" s="116"/>
      <c r="M668" s="116"/>
      <c r="N668" s="117"/>
      <c r="O668" s="117"/>
      <c r="P668" s="117"/>
      <c r="Q668" s="118"/>
      <c r="R668" s="46"/>
      <c r="S668" s="47"/>
    </row>
    <row r="669" ht="29.25" customHeight="1" outlineLevel="1" spans="1:19">
      <c r="A669" s="119" t="str">
        <f>'G MTTS'!J664</f>
        <v>SPS 76-M Supremo</v>
      </c>
      <c r="B669" s="98">
        <f>'G MTTS'!B664</f>
        <v>0.833344907407407</v>
      </c>
      <c r="C669" s="99" t="str">
        <f>'G MTTS'!L664</f>
        <v>2 Seats 76-M Supremo</v>
      </c>
      <c r="D669" s="100" t="str">
        <f>'G MTTS'!M664</f>
        <v>SAT</v>
      </c>
      <c r="E669" s="101" t="str">
        <f>'G MTTS'!N664</f>
        <v>NLH</v>
      </c>
      <c r="F669" s="102" t="str">
        <f>'G MTTS'!O664</f>
        <v>OFF</v>
      </c>
      <c r="G669" s="103">
        <f>IF('G MTTS'!Q664=0," ",'G MTTS'!Q664*$A$3)</f>
        <v>2000</v>
      </c>
      <c r="H669" s="104">
        <f>IF('G MTTS'!V664=0," ",'G MTTS'!V664*$A$3)</f>
        <v>15</v>
      </c>
      <c r="I669" s="104">
        <f>IF('G MTTS'!W664=0," ",'G MTTS'!W664*$A$3)</f>
        <v>15</v>
      </c>
      <c r="J669" s="104">
        <f>IF('G MTTS'!Z664=0," ",'G MTTS'!Z664*$A$3)</f>
        <v>25</v>
      </c>
      <c r="K669" s="105">
        <f>'G MTTS'!AF664</f>
        <v>40000</v>
      </c>
      <c r="L669" s="105">
        <f>'G MTTS'!X664</f>
        <v>60000</v>
      </c>
      <c r="M669" s="105">
        <f>'G MTTS'!AA664</f>
        <v>160000</v>
      </c>
      <c r="N669" s="106">
        <f>'G MTTS'!AG664</f>
        <v>8</v>
      </c>
      <c r="O669" s="106">
        <f>'G MTTS'!AH664</f>
        <v>6</v>
      </c>
      <c r="P669" s="106">
        <f>'G MTTS'!AI664</f>
        <v>5</v>
      </c>
      <c r="Q669" s="107">
        <f>'G MTTS'!AJ664</f>
        <v>15</v>
      </c>
      <c r="R669" s="46">
        <f>IF(B669=0," ",TIME(,ROUNDDOWN(N669*Q669/60,0)*5+(N669*Q669),)+B669)</f>
        <v>0.923622685185185</v>
      </c>
      <c r="S669" s="47" t="str">
        <f>IFERROR(IF(H669=0," ",IF(H669&lt;=25,"MICRO",IF(H669&lt;=99,"LOW",IF(H669&lt;=499,"MEDIUM",IF(H669&lt;=2500,"HIGH",IF(H669&gt;2500,"SUPER HIGH",)))))),"")</f>
        <v>MICRO</v>
      </c>
    </row>
    <row r="670" ht="29.25" customHeight="1" outlineLevel="1" spans="1:19">
      <c r="A670" s="135"/>
      <c r="B670" s="109"/>
      <c r="C670" s="110"/>
      <c r="D670" s="111"/>
      <c r="E670" s="112"/>
      <c r="F670" s="113"/>
      <c r="G670" s="114"/>
      <c r="H670" s="115"/>
      <c r="I670" s="115"/>
      <c r="J670" s="115"/>
      <c r="K670" s="116"/>
      <c r="L670" s="116"/>
      <c r="M670" s="116"/>
      <c r="N670" s="117"/>
      <c r="O670" s="117"/>
      <c r="P670" s="117"/>
      <c r="Q670" s="118"/>
      <c r="R670" s="46"/>
      <c r="S670" s="47"/>
    </row>
    <row r="671" ht="29.25" customHeight="1" outlineLevel="1" spans="1:19">
      <c r="A671" s="121" t="str">
        <f>'G MTTS'!J666</f>
        <v>Suprema Poker Tour</v>
      </c>
      <c r="B671" s="122">
        <f>'G MTTS'!B666</f>
        <v>0.375011574074074</v>
      </c>
      <c r="C671" s="123" t="str">
        <f>'G MTTS'!L666</f>
        <v>2 Seats SPT</v>
      </c>
      <c r="D671" s="120" t="str">
        <f>'G MTTS'!M666</f>
        <v>SAT</v>
      </c>
      <c r="E671" s="101" t="str">
        <f>'G MTTS'!N666</f>
        <v>NLH</v>
      </c>
      <c r="F671" s="102" t="str">
        <f>'G MTTS'!O666</f>
        <v>OFF</v>
      </c>
      <c r="G671" s="103">
        <f>IF('G MTTS'!Q666=0," ",'G MTTS'!Q666*$A$3)</f>
        <v>400</v>
      </c>
      <c r="H671" s="104">
        <f>IF('G MTTS'!V666=0," ",'G MTTS'!V666*$A$3)</f>
        <v>3</v>
      </c>
      <c r="I671" s="104">
        <f>IF('G MTTS'!W666=0," ",'G MTTS'!W666*$A$3)</f>
        <v>5</v>
      </c>
      <c r="J671" s="104">
        <f>IF('G MTTS'!Z666=0," ",'G MTTS'!Z666*$A$3)</f>
        <v>10</v>
      </c>
      <c r="K671" s="105">
        <f>'G MTTS'!AF666</f>
        <v>30000</v>
      </c>
      <c r="L671" s="105">
        <f>'G MTTS'!X666</f>
        <v>0</v>
      </c>
      <c r="M671" s="105">
        <f>'G MTTS'!AA666</f>
        <v>50000</v>
      </c>
      <c r="N671" s="106">
        <f>'G MTTS'!AG666</f>
        <v>7</v>
      </c>
      <c r="O671" s="106">
        <f>'G MTTS'!AH666</f>
        <v>6</v>
      </c>
      <c r="P671" s="106">
        <f>'G MTTS'!AI666</f>
        <v>5</v>
      </c>
      <c r="Q671" s="107">
        <f>'G MTTS'!AJ666</f>
        <v>13</v>
      </c>
      <c r="R671" s="46">
        <f t="shared" ref="R671:R678" si="59">IF(B671=0," ",TIME(,ROUNDDOWN(N671*Q671/60,0)*5+(N671*Q671),)+B671)</f>
        <v>0.441678240740741</v>
      </c>
      <c r="S671" s="47" t="str">
        <f t="shared" ref="S671:S678" si="60">IFERROR(IF(H671=0," ",IF(H671&lt;=25,"MICRO",IF(H671&lt;=99,"LOW",IF(H671&lt;=499,"MEDIUM",IF(H671&lt;=2500,"HIGH",IF(H671&gt;2500,"SUPER HIGH",)))))),"")</f>
        <v>MICRO</v>
      </c>
    </row>
    <row r="672" ht="29.25" customHeight="1" outlineLevel="1" spans="1:19">
      <c r="A672" s="29"/>
      <c r="B672" s="128">
        <f>'G MTTS'!B667</f>
        <v>0.458344907407407</v>
      </c>
      <c r="C672" s="129" t="str">
        <f>'G MTTS'!L667</f>
        <v>3 Seats SPT</v>
      </c>
      <c r="D672" s="120" t="str">
        <f>'G MTTS'!M667</f>
        <v>SAT</v>
      </c>
      <c r="E672" s="101" t="str">
        <f>'G MTTS'!N667</f>
        <v>NLH</v>
      </c>
      <c r="F672" s="102" t="str">
        <f>'G MTTS'!O667</f>
        <v>OFF</v>
      </c>
      <c r="G672" s="103">
        <f>IF('G MTTS'!Q667=0," ",'G MTTS'!Q667*$A$3)</f>
        <v>600</v>
      </c>
      <c r="H672" s="104">
        <f>IF('G MTTS'!V667=0," ",'G MTTS'!V667*$A$3)</f>
        <v>5</v>
      </c>
      <c r="I672" s="104">
        <f>IF('G MTTS'!W667=0," ",'G MTTS'!W667*$A$3)</f>
        <v>5</v>
      </c>
      <c r="J672" s="104">
        <f>IF('G MTTS'!Z667=0," ",'G MTTS'!Z667*$A$3)</f>
        <v>15</v>
      </c>
      <c r="K672" s="105">
        <f>'G MTTS'!AF667</f>
        <v>30000</v>
      </c>
      <c r="L672" s="105">
        <f>'G MTTS'!X667</f>
        <v>0</v>
      </c>
      <c r="M672" s="105">
        <f>'G MTTS'!AA667</f>
        <v>50000</v>
      </c>
      <c r="N672" s="106">
        <f>'G MTTS'!AG667</f>
        <v>7</v>
      </c>
      <c r="O672" s="106">
        <f>'G MTTS'!AH667</f>
        <v>6</v>
      </c>
      <c r="P672" s="106">
        <f>'G MTTS'!AI667</f>
        <v>5</v>
      </c>
      <c r="Q672" s="107">
        <f>'G MTTS'!AJ667</f>
        <v>13</v>
      </c>
      <c r="R672" s="46">
        <f t="shared" si="59"/>
        <v>0.525011574074074</v>
      </c>
      <c r="S672" s="47" t="str">
        <f t="shared" si="60"/>
        <v>MICRO</v>
      </c>
    </row>
    <row r="673" ht="29.25" customHeight="1" outlineLevel="1" spans="1:19">
      <c r="A673" s="29"/>
      <c r="B673" s="128">
        <f>'G MTTS'!B668</f>
        <v>0.541678240740741</v>
      </c>
      <c r="C673" s="129" t="str">
        <f>'G MTTS'!L668</f>
        <v>4 Seats SPT</v>
      </c>
      <c r="D673" s="120" t="str">
        <f>'G MTTS'!M668</f>
        <v>SAT</v>
      </c>
      <c r="E673" s="101" t="str">
        <f>'G MTTS'!N668</f>
        <v>NLH</v>
      </c>
      <c r="F673" s="102" t="str">
        <f>'G MTTS'!O668</f>
        <v>OFF</v>
      </c>
      <c r="G673" s="103">
        <f>IF('G MTTS'!Q668=0," ",'G MTTS'!Q668*$A$3)</f>
        <v>800</v>
      </c>
      <c r="H673" s="104">
        <f>IF('G MTTS'!V668=0," ",'G MTTS'!V668*$A$3)</f>
        <v>10</v>
      </c>
      <c r="I673" s="104">
        <f>IF('G MTTS'!W668=0," ",'G MTTS'!W668*$A$3)</f>
        <v>10</v>
      </c>
      <c r="J673" s="104">
        <f>IF('G MTTS'!Z668=0," ",'G MTTS'!Z668*$A$3)</f>
        <v>15</v>
      </c>
      <c r="K673" s="105">
        <f>'G MTTS'!AF668</f>
        <v>30000</v>
      </c>
      <c r="L673" s="105">
        <f>'G MTTS'!X668</f>
        <v>0</v>
      </c>
      <c r="M673" s="105">
        <f>'G MTTS'!AA668</f>
        <v>50000</v>
      </c>
      <c r="N673" s="106">
        <f>'G MTTS'!AG668</f>
        <v>7</v>
      </c>
      <c r="O673" s="106">
        <f>'G MTTS'!AH668</f>
        <v>6</v>
      </c>
      <c r="P673" s="106">
        <f>'G MTTS'!AI668</f>
        <v>5</v>
      </c>
      <c r="Q673" s="107">
        <f>'G MTTS'!AJ668</f>
        <v>13</v>
      </c>
      <c r="R673" s="46">
        <f t="shared" si="59"/>
        <v>0.608344907407407</v>
      </c>
      <c r="S673" s="47" t="str">
        <f t="shared" si="60"/>
        <v>MICRO</v>
      </c>
    </row>
    <row r="674" ht="29.25" customHeight="1" outlineLevel="1" spans="1:19">
      <c r="A674" s="29"/>
      <c r="B674" s="128">
        <f>'G MTTS'!B669</f>
        <v>0.625011574074074</v>
      </c>
      <c r="C674" s="129" t="str">
        <f>'G MTTS'!L669</f>
        <v>5 Seats SPT</v>
      </c>
      <c r="D674" s="120" t="str">
        <f>'G MTTS'!M669</f>
        <v>SAT</v>
      </c>
      <c r="E674" s="101" t="str">
        <f>'G MTTS'!N669</f>
        <v>NLH</v>
      </c>
      <c r="F674" s="102" t="str">
        <f>'G MTTS'!O669</f>
        <v>OFF</v>
      </c>
      <c r="G674" s="103">
        <f>IF('G MTTS'!Q669=0," ",'G MTTS'!Q669*$A$3)</f>
        <v>1000</v>
      </c>
      <c r="H674" s="104">
        <f>IF('G MTTS'!V669=0," ",'G MTTS'!V669*$A$3)</f>
        <v>10</v>
      </c>
      <c r="I674" s="104">
        <f>IF('G MTTS'!W669=0," ",'G MTTS'!W669*$A$3)</f>
        <v>10</v>
      </c>
      <c r="J674" s="104">
        <f>IF('G MTTS'!Z669=0," ",'G MTTS'!Z669*$A$3)</f>
        <v>15</v>
      </c>
      <c r="K674" s="105">
        <f>'G MTTS'!AF669</f>
        <v>30000</v>
      </c>
      <c r="L674" s="105">
        <f>'G MTTS'!X669</f>
        <v>0</v>
      </c>
      <c r="M674" s="105">
        <f>'G MTTS'!AA669</f>
        <v>50000</v>
      </c>
      <c r="N674" s="106">
        <f>'G MTTS'!AG669</f>
        <v>7</v>
      </c>
      <c r="O674" s="106">
        <f>'G MTTS'!AH669</f>
        <v>6</v>
      </c>
      <c r="P674" s="106">
        <f>'G MTTS'!AI669</f>
        <v>5</v>
      </c>
      <c r="Q674" s="107">
        <f>'G MTTS'!AJ669</f>
        <v>13</v>
      </c>
      <c r="R674" s="46">
        <f t="shared" si="59"/>
        <v>0.691678240740741</v>
      </c>
      <c r="S674" s="47" t="str">
        <f t="shared" si="60"/>
        <v>MICRO</v>
      </c>
    </row>
    <row r="675" ht="29.25" customHeight="1" outlineLevel="1" spans="1:19">
      <c r="A675" s="29"/>
      <c r="B675" s="128">
        <f>'G MTTS'!B670</f>
        <v>0.708344907407407</v>
      </c>
      <c r="C675" s="129" t="str">
        <f>'G MTTS'!L670</f>
        <v>5 Seats SPT</v>
      </c>
      <c r="D675" s="120" t="str">
        <f>'G MTTS'!M670</f>
        <v>SAT</v>
      </c>
      <c r="E675" s="101" t="str">
        <f>'G MTTS'!N670</f>
        <v>NLH</v>
      </c>
      <c r="F675" s="102" t="str">
        <f>'G MTTS'!O670</f>
        <v>OFF</v>
      </c>
      <c r="G675" s="103">
        <f>IF('G MTTS'!Q670=0," ",'G MTTS'!Q670*$A$3)</f>
        <v>1000</v>
      </c>
      <c r="H675" s="104">
        <f>IF('G MTTS'!V670=0," ",'G MTTS'!V670*$A$3)</f>
        <v>10</v>
      </c>
      <c r="I675" s="104">
        <f>IF('G MTTS'!W670=0," ",'G MTTS'!W670*$A$3)</f>
        <v>10</v>
      </c>
      <c r="J675" s="104">
        <f>IF('G MTTS'!Z670=0," ",'G MTTS'!Z670*$A$3)</f>
        <v>15</v>
      </c>
      <c r="K675" s="105">
        <f>'G MTTS'!AF670</f>
        <v>30000</v>
      </c>
      <c r="L675" s="105">
        <f>'G MTTS'!X670</f>
        <v>0</v>
      </c>
      <c r="M675" s="105">
        <f>'G MTTS'!AA670</f>
        <v>50000</v>
      </c>
      <c r="N675" s="106">
        <f>'G MTTS'!AG670</f>
        <v>7</v>
      </c>
      <c r="O675" s="106">
        <f>'G MTTS'!AH670</f>
        <v>6</v>
      </c>
      <c r="P675" s="106">
        <f>'G MTTS'!AI670</f>
        <v>5</v>
      </c>
      <c r="Q675" s="107">
        <f>'G MTTS'!AJ670</f>
        <v>13</v>
      </c>
      <c r="R675" s="46">
        <f t="shared" si="59"/>
        <v>0.775011574074074</v>
      </c>
      <c r="S675" s="47" t="str">
        <f t="shared" si="60"/>
        <v>MICRO</v>
      </c>
    </row>
    <row r="676" ht="29.25" customHeight="1" outlineLevel="1" spans="1:19">
      <c r="A676" s="29"/>
      <c r="B676" s="128">
        <f>'G MTTS'!B671</f>
        <v>0.791678240740741</v>
      </c>
      <c r="C676" s="129" t="str">
        <f>'G MTTS'!L671</f>
        <v>5 Seats SPT</v>
      </c>
      <c r="D676" s="120" t="str">
        <f>'G MTTS'!M671</f>
        <v>SAT</v>
      </c>
      <c r="E676" s="101" t="str">
        <f>'G MTTS'!N671</f>
        <v>NLH</v>
      </c>
      <c r="F676" s="102" t="str">
        <f>'G MTTS'!O671</f>
        <v>OFF</v>
      </c>
      <c r="G676" s="103">
        <f>IF('G MTTS'!Q671=0," ",'G MTTS'!Q671*$A$3)</f>
        <v>1000</v>
      </c>
      <c r="H676" s="104">
        <f>IF('G MTTS'!V671=0," ",'G MTTS'!V671*$A$3)</f>
        <v>10</v>
      </c>
      <c r="I676" s="104">
        <f>IF('G MTTS'!W671=0," ",'G MTTS'!W671*$A$3)</f>
        <v>10</v>
      </c>
      <c r="J676" s="104">
        <f>IF('G MTTS'!Z671=0," ",'G MTTS'!Z671*$A$3)</f>
        <v>15</v>
      </c>
      <c r="K676" s="105">
        <f>'G MTTS'!AF671</f>
        <v>30000</v>
      </c>
      <c r="L676" s="105">
        <f>'G MTTS'!X671</f>
        <v>0</v>
      </c>
      <c r="M676" s="105">
        <f>'G MTTS'!AA671</f>
        <v>50000</v>
      </c>
      <c r="N676" s="106">
        <f>'G MTTS'!AG671</f>
        <v>7</v>
      </c>
      <c r="O676" s="106">
        <f>'G MTTS'!AH671</f>
        <v>6</v>
      </c>
      <c r="P676" s="106">
        <f>'G MTTS'!AI671</f>
        <v>5</v>
      </c>
      <c r="Q676" s="107">
        <f>'G MTTS'!AJ671</f>
        <v>13</v>
      </c>
      <c r="R676" s="46">
        <f t="shared" si="59"/>
        <v>0.858344907407407</v>
      </c>
      <c r="S676" s="47" t="str">
        <f t="shared" si="60"/>
        <v>MICRO</v>
      </c>
    </row>
    <row r="677" ht="29.25" customHeight="1" outlineLevel="1" spans="1:19">
      <c r="A677" s="29"/>
      <c r="B677" s="128">
        <f>'G MTTS'!B672</f>
        <v>0.875011574074074</v>
      </c>
      <c r="C677" s="129" t="str">
        <f>'G MTTS'!L672</f>
        <v>Freebuy 10 Seats SPT</v>
      </c>
      <c r="D677" s="120" t="str">
        <f>'G MTTS'!M672</f>
        <v>SAT</v>
      </c>
      <c r="E677" s="101" t="str">
        <f>'G MTTS'!N672</f>
        <v>NLH</v>
      </c>
      <c r="F677" s="102" t="str">
        <f>'G MTTS'!O672</f>
        <v>OFF</v>
      </c>
      <c r="G677" s="103">
        <f>IF('G MTTS'!Q672=0," ",'G MTTS'!Q672*$A$3)</f>
        <v>2000</v>
      </c>
      <c r="H677" s="104" t="str">
        <f>IF('G MTTS'!V672=0," ",'G MTTS'!V672*$A$3)</f>
        <v> </v>
      </c>
      <c r="I677" s="104">
        <f>IF('G MTTS'!W672=0," ",'G MTTS'!W672*$A$3)</f>
        <v>5</v>
      </c>
      <c r="J677" s="104">
        <f>IF('G MTTS'!Z672=0," ",'G MTTS'!Z672*$A$3)</f>
        <v>15</v>
      </c>
      <c r="K677" s="105">
        <f>'G MTTS'!AF672</f>
        <v>30000</v>
      </c>
      <c r="L677" s="105">
        <f>'G MTTS'!X672</f>
        <v>0</v>
      </c>
      <c r="M677" s="105">
        <f>'G MTTS'!AA672</f>
        <v>50000</v>
      </c>
      <c r="N677" s="106">
        <f>'G MTTS'!AG672</f>
        <v>7</v>
      </c>
      <c r="O677" s="106">
        <f>'G MTTS'!AH672</f>
        <v>6</v>
      </c>
      <c r="P677" s="106">
        <f>'G MTTS'!AI672</f>
        <v>5</v>
      </c>
      <c r="Q677" s="107">
        <f>'G MTTS'!AJ672</f>
        <v>13</v>
      </c>
      <c r="R677" s="46">
        <f t="shared" si="59"/>
        <v>0.941678240740741</v>
      </c>
      <c r="S677" s="47" t="str">
        <f t="shared" si="60"/>
        <v>SUPER HIGH</v>
      </c>
    </row>
    <row r="678" ht="29.25" customHeight="1" outlineLevel="1" spans="1:19">
      <c r="A678" s="124"/>
      <c r="B678" s="125">
        <f>'G MTTS'!B673</f>
        <v>0.958344907407407</v>
      </c>
      <c r="C678" s="126" t="str">
        <f>'G MTTS'!L673</f>
        <v>2 Seats SPT</v>
      </c>
      <c r="D678" s="120" t="str">
        <f>'G MTTS'!M673</f>
        <v>SAT</v>
      </c>
      <c r="E678" s="101" t="str">
        <f>'G MTTS'!N673</f>
        <v>NLH</v>
      </c>
      <c r="F678" s="102" t="str">
        <f>'G MTTS'!O673</f>
        <v>OFF</v>
      </c>
      <c r="G678" s="103">
        <f>IF('G MTTS'!Q673=0," ",'G MTTS'!Q673*$A$3)</f>
        <v>400</v>
      </c>
      <c r="H678" s="104">
        <f>IF('G MTTS'!V673=0," ",'G MTTS'!V673*$A$3)</f>
        <v>3</v>
      </c>
      <c r="I678" s="104">
        <f>IF('G MTTS'!W673=0," ",'G MTTS'!W673*$A$3)</f>
        <v>5</v>
      </c>
      <c r="J678" s="104">
        <f>IF('G MTTS'!Z673=0," ",'G MTTS'!Z673*$A$3)</f>
        <v>10</v>
      </c>
      <c r="K678" s="105">
        <f>'G MTTS'!AF673</f>
        <v>30000</v>
      </c>
      <c r="L678" s="105">
        <f>'G MTTS'!X673</f>
        <v>0</v>
      </c>
      <c r="M678" s="105">
        <f>'G MTTS'!AA673</f>
        <v>50000</v>
      </c>
      <c r="N678" s="106">
        <f>'G MTTS'!AG673</f>
        <v>6</v>
      </c>
      <c r="O678" s="106">
        <f>'G MTTS'!AH673</f>
        <v>5</v>
      </c>
      <c r="P678" s="106">
        <f>'G MTTS'!AI673</f>
        <v>5</v>
      </c>
      <c r="Q678" s="107">
        <f>'G MTTS'!AJ673</f>
        <v>13</v>
      </c>
      <c r="R678" s="46">
        <f t="shared" si="59"/>
        <v>1.0159837962963</v>
      </c>
      <c r="S678" s="47" t="str">
        <f t="shared" si="60"/>
        <v>MICRO</v>
      </c>
    </row>
    <row r="679" ht="29.25" customHeight="1" outlineLevel="1" spans="1:19">
      <c r="A679" s="135"/>
      <c r="B679" s="109"/>
      <c r="C679" s="110"/>
      <c r="D679" s="111"/>
      <c r="E679" s="112"/>
      <c r="F679" s="113"/>
      <c r="G679" s="114"/>
      <c r="H679" s="115"/>
      <c r="I679" s="115"/>
      <c r="J679" s="115"/>
      <c r="K679" s="116"/>
      <c r="L679" s="116"/>
      <c r="M679" s="116"/>
      <c r="N679" s="117"/>
      <c r="O679" s="117"/>
      <c r="P679" s="117"/>
      <c r="Q679" s="118"/>
      <c r="R679" s="46"/>
      <c r="S679" s="47"/>
    </row>
    <row r="680" ht="29.25" customHeight="1" outlineLevel="1" spans="1:19">
      <c r="A680" s="121" t="str">
        <f>'G MTTS'!J675</f>
        <v>#AS Supremo</v>
      </c>
      <c r="B680" s="122">
        <f>'G MTTS'!B675</f>
        <v>0.708344907407407</v>
      </c>
      <c r="C680" s="123" t="str">
        <f>'G MTTS'!L675</f>
        <v>1 Seat Supremo</v>
      </c>
      <c r="D680" s="120" t="str">
        <f>'G MTTS'!M675</f>
        <v>SAT</v>
      </c>
      <c r="E680" s="101" t="str">
        <f>'G MTTS'!N675</f>
        <v>NLH</v>
      </c>
      <c r="F680" s="102" t="str">
        <f>'G MTTS'!O675</f>
        <v>OFF</v>
      </c>
      <c r="G680" s="103">
        <f>IF('G MTTS'!Q675=0," ",'G MTTS'!Q675*$A$3)</f>
        <v>550</v>
      </c>
      <c r="H680" s="104">
        <f>IF('G MTTS'!V675=0," ",'G MTTS'!V675*$A$3)</f>
        <v>10</v>
      </c>
      <c r="I680" s="104">
        <f>IF('G MTTS'!W675=0," ",'G MTTS'!W675*$A$3)</f>
        <v>15</v>
      </c>
      <c r="J680" s="104">
        <f>IF('G MTTS'!Z675=0," ",'G MTTS'!Z675*$A$3)</f>
        <v>25</v>
      </c>
      <c r="K680" s="105">
        <f>'G MTTS'!AF675</f>
        <v>20000</v>
      </c>
      <c r="L680" s="105">
        <f>'G MTTS'!X675</f>
        <v>25000</v>
      </c>
      <c r="M680" s="105">
        <f>'G MTTS'!AA675</f>
        <v>50000</v>
      </c>
      <c r="N680" s="106">
        <f>'G MTTS'!AG675</f>
        <v>7</v>
      </c>
      <c r="O680" s="106">
        <f>'G MTTS'!AH675</f>
        <v>6</v>
      </c>
      <c r="P680" s="106">
        <f>'G MTTS'!AI675</f>
        <v>6</v>
      </c>
      <c r="Q680" s="107">
        <f>'G MTTS'!AJ675</f>
        <v>13</v>
      </c>
      <c r="R680" s="46">
        <f t="shared" ref="R680:R682" si="61">IF(B680=0," ",TIME(,ROUNDDOWN(N680*Q680/60,0)*5+(N680*Q680),)+B680)</f>
        <v>0.775011574074074</v>
      </c>
      <c r="S680" s="47" t="str">
        <f t="shared" ref="S680:S682" si="62">IFERROR(IF(H680=0," ",IF(H680&lt;=25,"MICRO",IF(H680&lt;=99,"LOW",IF(H680&lt;=499,"MEDIUM",IF(H680&lt;=2500,"HIGH",IF(H680&gt;2500,"SUPER HIGH",)))))),"")</f>
        <v>MICRO</v>
      </c>
    </row>
    <row r="681" ht="29.25" customHeight="1" outlineLevel="1" spans="1:19">
      <c r="A681" s="29"/>
      <c r="B681" s="128">
        <f>'G MTTS'!B676</f>
        <v>0.791678240740741</v>
      </c>
      <c r="C681" s="129" t="str">
        <f>'G MTTS'!L676</f>
        <v>2 Seats Supremo</v>
      </c>
      <c r="D681" s="120" t="str">
        <f>'G MTTS'!M676</f>
        <v>SAT</v>
      </c>
      <c r="E681" s="101" t="str">
        <f>'G MTTS'!N676</f>
        <v>NLH</v>
      </c>
      <c r="F681" s="102" t="str">
        <f>'G MTTS'!O676</f>
        <v>OFF</v>
      </c>
      <c r="G681" s="103">
        <f>IF('G MTTS'!Q676=0," ",'G MTTS'!Q676*$A$3)</f>
        <v>1100</v>
      </c>
      <c r="H681" s="104">
        <f>IF('G MTTS'!V676=0," ",'G MTTS'!V676*$A$3)</f>
        <v>15</v>
      </c>
      <c r="I681" s="104">
        <f>IF('G MTTS'!W676=0," ",'G MTTS'!W676*$A$3)</f>
        <v>15</v>
      </c>
      <c r="J681" s="104">
        <f>IF('G MTTS'!Z676=0," ",'G MTTS'!Z676*$A$3)</f>
        <v>25</v>
      </c>
      <c r="K681" s="105">
        <f>'G MTTS'!AF676</f>
        <v>20000</v>
      </c>
      <c r="L681" s="105">
        <f>'G MTTS'!X676</f>
        <v>25000</v>
      </c>
      <c r="M681" s="105">
        <f>'G MTTS'!AA676</f>
        <v>50000</v>
      </c>
      <c r="N681" s="106">
        <f>'G MTTS'!AG676</f>
        <v>7</v>
      </c>
      <c r="O681" s="106">
        <f>'G MTTS'!AH676</f>
        <v>6</v>
      </c>
      <c r="P681" s="106">
        <f>'G MTTS'!AI676</f>
        <v>6</v>
      </c>
      <c r="Q681" s="107">
        <f>'G MTTS'!AJ676</f>
        <v>13</v>
      </c>
      <c r="R681" s="46">
        <f t="shared" si="61"/>
        <v>0.858344907407407</v>
      </c>
      <c r="S681" s="47" t="str">
        <f t="shared" si="62"/>
        <v>MICRO</v>
      </c>
    </row>
    <row r="682" ht="29.25" customHeight="1" outlineLevel="1" spans="1:19">
      <c r="A682" s="124"/>
      <c r="B682" s="125">
        <f>'G MTTS'!B677</f>
        <v>0.875011574074074</v>
      </c>
      <c r="C682" s="126" t="str">
        <f>'G MTTS'!L677</f>
        <v>2 Seats Supremo</v>
      </c>
      <c r="D682" s="120" t="str">
        <f>'G MTTS'!M677</f>
        <v>SAT</v>
      </c>
      <c r="E682" s="101" t="str">
        <f>'G MTTS'!N677</f>
        <v>NLH</v>
      </c>
      <c r="F682" s="102" t="str">
        <f>'G MTTS'!O677</f>
        <v>OFF</v>
      </c>
      <c r="G682" s="103">
        <f>IF('G MTTS'!Q677=0," ",'G MTTS'!Q677*$A$3)</f>
        <v>1100</v>
      </c>
      <c r="H682" s="104">
        <f>IF('G MTTS'!V677=0," ",'G MTTS'!V677*$A$3)</f>
        <v>15</v>
      </c>
      <c r="I682" s="104">
        <f>IF('G MTTS'!W677=0," ",'G MTTS'!W677*$A$3)</f>
        <v>15</v>
      </c>
      <c r="J682" s="104">
        <f>IF('G MTTS'!Z677=0," ",'G MTTS'!Z677*$A$3)</f>
        <v>25</v>
      </c>
      <c r="K682" s="105">
        <f>'G MTTS'!AF677</f>
        <v>20000</v>
      </c>
      <c r="L682" s="105">
        <f>'G MTTS'!X677</f>
        <v>25000</v>
      </c>
      <c r="M682" s="105">
        <f>'G MTTS'!AA677</f>
        <v>50000</v>
      </c>
      <c r="N682" s="106">
        <f>'G MTTS'!AG677</f>
        <v>7</v>
      </c>
      <c r="O682" s="106">
        <f>'G MTTS'!AH677</f>
        <v>6</v>
      </c>
      <c r="P682" s="106">
        <f>'G MTTS'!AI677</f>
        <v>6</v>
      </c>
      <c r="Q682" s="107">
        <f>'G MTTS'!AJ677</f>
        <v>13</v>
      </c>
      <c r="R682" s="46">
        <f t="shared" si="61"/>
        <v>0.941678240740741</v>
      </c>
      <c r="S682" s="47" t="str">
        <f t="shared" si="62"/>
        <v>MICRO</v>
      </c>
    </row>
    <row r="683" ht="29.25" customHeight="1" outlineLevel="1" spans="1:19">
      <c r="A683" s="135"/>
      <c r="B683" s="109"/>
      <c r="C683" s="110"/>
      <c r="D683" s="111"/>
      <c r="E683" s="112"/>
      <c r="F683" s="113"/>
      <c r="G683" s="114"/>
      <c r="H683" s="115"/>
      <c r="I683" s="115"/>
      <c r="J683" s="115"/>
      <c r="K683" s="116"/>
      <c r="L683" s="116"/>
      <c r="M683" s="116"/>
      <c r="N683" s="117"/>
      <c r="O683" s="117"/>
      <c r="P683" s="117"/>
      <c r="Q683" s="118"/>
      <c r="R683" s="46"/>
      <c r="S683" s="47"/>
    </row>
    <row r="684" ht="29.25" customHeight="1" outlineLevel="1" spans="1:19">
      <c r="A684" s="121" t="str">
        <f>'G MTTS'!J679</f>
        <v>30 Seats Supremo</v>
      </c>
      <c r="B684" s="122">
        <f>'G MTTS'!B679</f>
        <v>0.500011574074074</v>
      </c>
      <c r="C684" s="123" t="str">
        <f>'G MTTS'!L679</f>
        <v>Step 76-M Supremo</v>
      </c>
      <c r="D684" s="120" t="str">
        <f>'G MTTS'!M679</f>
        <v>SAT</v>
      </c>
      <c r="E684" s="101" t="str">
        <f>'G MTTS'!N679</f>
        <v>NLH</v>
      </c>
      <c r="F684" s="102" t="str">
        <f>'G MTTS'!O679</f>
        <v>OFF</v>
      </c>
      <c r="G684" s="103">
        <f>IF('G MTTS'!Q679=0," ",'G MTTS'!Q679*$A$3)</f>
        <v>300</v>
      </c>
      <c r="H684" s="104">
        <f>IF('G MTTS'!V679=0," ",'G MTTS'!V679*$A$3)</f>
        <v>3</v>
      </c>
      <c r="I684" s="104">
        <f>IF('G MTTS'!W679=0," ",'G MTTS'!W679*$A$3)</f>
        <v>5</v>
      </c>
      <c r="J684" s="104">
        <f>IF('G MTTS'!Z679=0," ",'G MTTS'!Z679*$A$3)</f>
        <v>5</v>
      </c>
      <c r="K684" s="105">
        <f>'G MTTS'!AF679</f>
        <v>20000</v>
      </c>
      <c r="L684" s="105">
        <f>'G MTTS'!X679</f>
        <v>25000</v>
      </c>
      <c r="M684" s="105">
        <f>'G MTTS'!AA679</f>
        <v>40000</v>
      </c>
      <c r="N684" s="106">
        <f>'G MTTS'!AG679</f>
        <v>7</v>
      </c>
      <c r="O684" s="106">
        <f>'G MTTS'!AH679</f>
        <v>6</v>
      </c>
      <c r="P684" s="106">
        <f>'G MTTS'!AI679</f>
        <v>5</v>
      </c>
      <c r="Q684" s="107">
        <f>'G MTTS'!AJ679</f>
        <v>13</v>
      </c>
      <c r="R684" s="46">
        <f t="shared" ref="R684:R689" si="63">IF(B684=0," ",TIME(,ROUNDDOWN(N684*Q684/60,0)*5+(N684*Q684),)+B684)</f>
        <v>0.566678240740741</v>
      </c>
      <c r="S684" s="47" t="str">
        <f t="shared" ref="S684:S689" si="64">IFERROR(IF(H684=0," ",IF(H684&lt;=25,"MICRO",IF(H684&lt;=99,"LOW",IF(H684&lt;=499,"MEDIUM",IF(H684&lt;=2500,"HIGH",IF(H684&gt;2500,"SUPER HIGH",)))))),"")</f>
        <v>MICRO</v>
      </c>
    </row>
    <row r="685" ht="29.25" customHeight="1" outlineLevel="1" spans="1:19">
      <c r="A685" s="29"/>
      <c r="B685" s="128">
        <f>'G MTTS'!B680</f>
        <v>0.583344907407407</v>
      </c>
      <c r="C685" s="129" t="str">
        <f>'G MTTS'!L680</f>
        <v>Step 76-M Supremo</v>
      </c>
      <c r="D685" s="120" t="str">
        <f>'G MTTS'!M680</f>
        <v>SAT</v>
      </c>
      <c r="E685" s="101" t="str">
        <f>'G MTTS'!N680</f>
        <v>NLH</v>
      </c>
      <c r="F685" s="102" t="str">
        <f>'G MTTS'!O680</f>
        <v>OFF</v>
      </c>
      <c r="G685" s="103">
        <f>IF('G MTTS'!Q680=0," ",'G MTTS'!Q680*$A$3)</f>
        <v>300</v>
      </c>
      <c r="H685" s="104">
        <f>IF('G MTTS'!V680=0," ",'G MTTS'!V680*$A$3)</f>
        <v>3</v>
      </c>
      <c r="I685" s="104">
        <f>IF('G MTTS'!W680=0," ",'G MTTS'!W680*$A$3)</f>
        <v>5</v>
      </c>
      <c r="J685" s="104">
        <f>IF('G MTTS'!Z680=0," ",'G MTTS'!Z680*$A$3)</f>
        <v>5</v>
      </c>
      <c r="K685" s="105">
        <f>'G MTTS'!AF680</f>
        <v>20000</v>
      </c>
      <c r="L685" s="105">
        <f>'G MTTS'!X680</f>
        <v>25000</v>
      </c>
      <c r="M685" s="105">
        <f>'G MTTS'!AA680</f>
        <v>40000</v>
      </c>
      <c r="N685" s="106">
        <f>'G MTTS'!AG680</f>
        <v>7</v>
      </c>
      <c r="O685" s="106">
        <f>'G MTTS'!AH680</f>
        <v>6</v>
      </c>
      <c r="P685" s="106">
        <f>'G MTTS'!AI680</f>
        <v>5</v>
      </c>
      <c r="Q685" s="107">
        <f>'G MTTS'!AJ680</f>
        <v>13</v>
      </c>
      <c r="R685" s="46">
        <f t="shared" si="63"/>
        <v>0.650011574074074</v>
      </c>
      <c r="S685" s="47" t="str">
        <f t="shared" si="64"/>
        <v>MICRO</v>
      </c>
    </row>
    <row r="686" ht="29.25" customHeight="1" outlineLevel="1" spans="1:19">
      <c r="A686" s="29"/>
      <c r="B686" s="128">
        <f>'G MTTS'!B681</f>
        <v>0.666678240740741</v>
      </c>
      <c r="C686" s="129" t="str">
        <f>'G MTTS'!L681</f>
        <v>Step 76-M Supremo</v>
      </c>
      <c r="D686" s="120" t="str">
        <f>'G MTTS'!M681</f>
        <v>SAT</v>
      </c>
      <c r="E686" s="101" t="str">
        <f>'G MTTS'!N681</f>
        <v>NLH</v>
      </c>
      <c r="F686" s="102" t="str">
        <f>'G MTTS'!O681</f>
        <v>OFF</v>
      </c>
      <c r="G686" s="103">
        <f>IF('G MTTS'!Q681=0," ",'G MTTS'!Q681*$A$3)</f>
        <v>300</v>
      </c>
      <c r="H686" s="104">
        <f>IF('G MTTS'!V681=0," ",'G MTTS'!V681*$A$3)</f>
        <v>3</v>
      </c>
      <c r="I686" s="104">
        <f>IF('G MTTS'!W681=0," ",'G MTTS'!W681*$A$3)</f>
        <v>5</v>
      </c>
      <c r="J686" s="104">
        <f>IF('G MTTS'!Z681=0," ",'G MTTS'!Z681*$A$3)</f>
        <v>5</v>
      </c>
      <c r="K686" s="105">
        <f>'G MTTS'!AF681</f>
        <v>20000</v>
      </c>
      <c r="L686" s="105">
        <f>'G MTTS'!X681</f>
        <v>25000</v>
      </c>
      <c r="M686" s="105">
        <f>'G MTTS'!AA681</f>
        <v>40000</v>
      </c>
      <c r="N686" s="106">
        <f>'G MTTS'!AG681</f>
        <v>7</v>
      </c>
      <c r="O686" s="106">
        <f>'G MTTS'!AH681</f>
        <v>6</v>
      </c>
      <c r="P686" s="106">
        <f>'G MTTS'!AI681</f>
        <v>5</v>
      </c>
      <c r="Q686" s="107">
        <f>'G MTTS'!AJ681</f>
        <v>13</v>
      </c>
      <c r="R686" s="46">
        <f t="shared" si="63"/>
        <v>0.733344907407407</v>
      </c>
      <c r="S686" s="47" t="str">
        <f t="shared" si="64"/>
        <v>MICRO</v>
      </c>
    </row>
    <row r="687" ht="29.25" customHeight="1" outlineLevel="1" spans="1:19">
      <c r="A687" s="29"/>
      <c r="B687" s="128">
        <f>'G MTTS'!B682</f>
        <v>0.750011574074074</v>
      </c>
      <c r="C687" s="129" t="str">
        <f>'G MTTS'!L682</f>
        <v>Step 76-M Supremo</v>
      </c>
      <c r="D687" s="120" t="str">
        <f>'G MTTS'!M682</f>
        <v>SAT</v>
      </c>
      <c r="E687" s="101" t="str">
        <f>'G MTTS'!N682</f>
        <v>NLH</v>
      </c>
      <c r="F687" s="102" t="str">
        <f>'G MTTS'!O682</f>
        <v>OFF</v>
      </c>
      <c r="G687" s="103">
        <f>IF('G MTTS'!Q682=0," ",'G MTTS'!Q682*$A$3)</f>
        <v>300</v>
      </c>
      <c r="H687" s="104">
        <f>IF('G MTTS'!V682=0," ",'G MTTS'!V682*$A$3)</f>
        <v>3</v>
      </c>
      <c r="I687" s="104">
        <f>IF('G MTTS'!W682=0," ",'G MTTS'!W682*$A$3)</f>
        <v>5</v>
      </c>
      <c r="J687" s="104">
        <f>IF('G MTTS'!Z682=0," ",'G MTTS'!Z682*$A$3)</f>
        <v>5</v>
      </c>
      <c r="K687" s="105">
        <f>'G MTTS'!AF682</f>
        <v>20000</v>
      </c>
      <c r="L687" s="105">
        <f>'G MTTS'!X682</f>
        <v>25000</v>
      </c>
      <c r="M687" s="105">
        <f>'G MTTS'!AA682</f>
        <v>40000</v>
      </c>
      <c r="N687" s="106">
        <f>'G MTTS'!AG682</f>
        <v>7</v>
      </c>
      <c r="O687" s="106">
        <f>'G MTTS'!AH682</f>
        <v>6</v>
      </c>
      <c r="P687" s="106">
        <f>'G MTTS'!AI682</f>
        <v>5</v>
      </c>
      <c r="Q687" s="107">
        <f>'G MTTS'!AJ682</f>
        <v>13</v>
      </c>
      <c r="R687" s="46">
        <f t="shared" si="63"/>
        <v>0.816678240740741</v>
      </c>
      <c r="S687" s="47" t="str">
        <f t="shared" si="64"/>
        <v>MICRO</v>
      </c>
    </row>
    <row r="688" ht="29.25" customHeight="1" outlineLevel="1" spans="1:19">
      <c r="A688" s="29"/>
      <c r="B688" s="128">
        <f>'G MTTS'!B683</f>
        <v>0.833344907407407</v>
      </c>
      <c r="C688" s="129" t="str">
        <f>'G MTTS'!L683</f>
        <v>Step 76-M Supremo</v>
      </c>
      <c r="D688" s="120" t="str">
        <f>'G MTTS'!M683</f>
        <v>SAT</v>
      </c>
      <c r="E688" s="101" t="str">
        <f>'G MTTS'!N683</f>
        <v>NLH</v>
      </c>
      <c r="F688" s="102" t="str">
        <f>'G MTTS'!O683</f>
        <v>OFF</v>
      </c>
      <c r="G688" s="103">
        <f>IF('G MTTS'!Q683=0," ",'G MTTS'!Q683*$A$3)</f>
        <v>300</v>
      </c>
      <c r="H688" s="104">
        <f>IF('G MTTS'!V683=0," ",'G MTTS'!V683*$A$3)</f>
        <v>3</v>
      </c>
      <c r="I688" s="104">
        <f>IF('G MTTS'!W683=0," ",'G MTTS'!W683*$A$3)</f>
        <v>5</v>
      </c>
      <c r="J688" s="104">
        <f>IF('G MTTS'!Z683=0," ",'G MTTS'!Z683*$A$3)</f>
        <v>5</v>
      </c>
      <c r="K688" s="105">
        <f>'G MTTS'!AF683</f>
        <v>20000</v>
      </c>
      <c r="L688" s="105">
        <f>'G MTTS'!X683</f>
        <v>25000</v>
      </c>
      <c r="M688" s="105">
        <f>'G MTTS'!AA683</f>
        <v>40000</v>
      </c>
      <c r="N688" s="106">
        <f>'G MTTS'!AG683</f>
        <v>7</v>
      </c>
      <c r="O688" s="106">
        <f>'G MTTS'!AH683</f>
        <v>6</v>
      </c>
      <c r="P688" s="106">
        <f>'G MTTS'!AI683</f>
        <v>5</v>
      </c>
      <c r="Q688" s="107">
        <f>'G MTTS'!AJ683</f>
        <v>13</v>
      </c>
      <c r="R688" s="46">
        <f t="shared" si="63"/>
        <v>0.900011574074074</v>
      </c>
      <c r="S688" s="47" t="str">
        <f t="shared" si="64"/>
        <v>MICRO</v>
      </c>
    </row>
    <row r="689" ht="29.25" customHeight="1" outlineLevel="1" spans="1:19">
      <c r="A689" s="124"/>
      <c r="B689" s="125">
        <f>'G MTTS'!B684</f>
        <v>0.916678240740741</v>
      </c>
      <c r="C689" s="126" t="str">
        <f>'G MTTS'!L684</f>
        <v>Step 76-M Supremo</v>
      </c>
      <c r="D689" s="120" t="str">
        <f>'G MTTS'!M684</f>
        <v>SAT</v>
      </c>
      <c r="E689" s="101" t="str">
        <f>'G MTTS'!N684</f>
        <v>NLH</v>
      </c>
      <c r="F689" s="102" t="str">
        <f>'G MTTS'!O684</f>
        <v>OFF</v>
      </c>
      <c r="G689" s="103">
        <f>IF('G MTTS'!Q684=0," ",'G MTTS'!Q684*$A$3)</f>
        <v>300</v>
      </c>
      <c r="H689" s="104">
        <f>IF('G MTTS'!V684=0," ",'G MTTS'!V684*$A$3)</f>
        <v>3</v>
      </c>
      <c r="I689" s="104">
        <f>IF('G MTTS'!W684=0," ",'G MTTS'!W684*$A$3)</f>
        <v>5</v>
      </c>
      <c r="J689" s="104">
        <f>IF('G MTTS'!Z684=0," ",'G MTTS'!Z684*$A$3)</f>
        <v>5</v>
      </c>
      <c r="K689" s="105">
        <f>'G MTTS'!AF684</f>
        <v>20000</v>
      </c>
      <c r="L689" s="105">
        <f>'G MTTS'!X684</f>
        <v>25000</v>
      </c>
      <c r="M689" s="105">
        <f>'G MTTS'!AA684</f>
        <v>40000</v>
      </c>
      <c r="N689" s="106">
        <f>'G MTTS'!AG684</f>
        <v>7</v>
      </c>
      <c r="O689" s="106">
        <f>'G MTTS'!AH684</f>
        <v>6</v>
      </c>
      <c r="P689" s="106">
        <f>'G MTTS'!AI684</f>
        <v>5</v>
      </c>
      <c r="Q689" s="107">
        <f>'G MTTS'!AJ684</f>
        <v>13</v>
      </c>
      <c r="R689" s="46">
        <f t="shared" si="63"/>
        <v>0.983344907407407</v>
      </c>
      <c r="S689" s="47" t="str">
        <f t="shared" si="64"/>
        <v>MICRO</v>
      </c>
    </row>
    <row r="690" ht="29.25" customHeight="1" outlineLevel="1" spans="1:19">
      <c r="A690" s="135"/>
      <c r="B690" s="109"/>
      <c r="C690" s="110"/>
      <c r="D690" s="111"/>
      <c r="E690" s="112"/>
      <c r="F690" s="113"/>
      <c r="G690" s="114"/>
      <c r="H690" s="115"/>
      <c r="I690" s="115"/>
      <c r="J690" s="115"/>
      <c r="K690" s="116"/>
      <c r="L690" s="116"/>
      <c r="M690" s="116"/>
      <c r="N690" s="117"/>
      <c r="O690" s="117"/>
      <c r="P690" s="117"/>
      <c r="Q690" s="118"/>
      <c r="R690" s="46"/>
      <c r="S690" s="47"/>
    </row>
    <row r="691" ht="21.75" customHeight="1" spans="1:19">
      <c r="A691" s="33" t="s">
        <v>523</v>
      </c>
      <c r="B691" s="15"/>
      <c r="C691" s="33" t="s">
        <v>523</v>
      </c>
      <c r="G691" s="15"/>
      <c r="H691" s="35" t="s">
        <v>523</v>
      </c>
      <c r="Q691" s="15"/>
      <c r="R691" s="33"/>
      <c r="S691" s="47"/>
    </row>
    <row r="692" ht="29.25" customHeight="1" outlineLevel="1" spans="1:19">
      <c r="A692" s="33" t="s">
        <v>523</v>
      </c>
      <c r="B692" s="36">
        <f>'G MTTS'!B687</f>
        <v>0.625011574074074</v>
      </c>
      <c r="C692" s="48" t="str">
        <f>'G MTTS'!J687</f>
        <v>#AS 20K WarmUp</v>
      </c>
      <c r="D692" s="49" t="str">
        <f>'G MTTS'!M687</f>
        <v>Main Event</v>
      </c>
      <c r="E692" s="50" t="str">
        <f>'G MTTS'!N687</f>
        <v>NLH</v>
      </c>
      <c r="F692" s="51" t="str">
        <f>'G MTTS'!O687</f>
        <v>Progressive KO 1/3</v>
      </c>
      <c r="G692" s="52">
        <f>IF('G MTTS'!Q687=0," ",'G MTTS'!Q687*$A$3)</f>
        <v>20000</v>
      </c>
      <c r="H692" s="53">
        <f>IF('G MTTS'!V687=0," ",'G MTTS'!V687*$A$3)</f>
        <v>110</v>
      </c>
      <c r="I692" s="53">
        <f>IF('G MTTS'!W687=0," ",'G MTTS'!W687*$A$3)</f>
        <v>110</v>
      </c>
      <c r="J692" s="53" t="str">
        <f>IF('G MTTS'!Z687=0," ",'G MTTS'!Z687*$A$3)</f>
        <v> </v>
      </c>
      <c r="K692" s="54">
        <f>'G MTTS'!AF687</f>
        <v>40000</v>
      </c>
      <c r="L692" s="54">
        <f>'G MTTS'!X687</f>
        <v>0</v>
      </c>
      <c r="M692" s="54" t="str">
        <f>'G MTTS'!AA687</f>
        <v>REENTRY</v>
      </c>
      <c r="N692" s="55">
        <f>'G MTTS'!AG687</f>
        <v>12</v>
      </c>
      <c r="O692" s="55">
        <f>'G MTTS'!AH687</f>
        <v>10</v>
      </c>
      <c r="P692" s="55">
        <f>'G MTTS'!AI687</f>
        <v>10</v>
      </c>
      <c r="Q692" s="56">
        <f>'G MTTS'!AJ687</f>
        <v>14</v>
      </c>
      <c r="R692" s="46">
        <f t="shared" ref="R692:R772" si="65">IF(B692=0," ",TIME(,ROUNDDOWN(N692*Q692/60,0)*5+(N692*Q692),)+B692)</f>
        <v>0.748622685185185</v>
      </c>
      <c r="S692" s="47" t="str">
        <f t="shared" ref="S692:S699" si="66">IFERROR(IF(H692=0," ",IF(H692&lt;=25,"MICRO",IF(H692&lt;=99,"LOW",IF(H692&lt;=499,"MEDIUM",IF(H692&lt;=2500,"HIGH",IF(H692&gt;2500,"SUPER HIGH",)))))),"")</f>
        <v>MEDIUM</v>
      </c>
    </row>
    <row r="693" ht="29.25" customHeight="1" outlineLevel="1" spans="1:19">
      <c r="A693" s="33" t="s">
        <v>71</v>
      </c>
      <c r="B693" s="36">
        <f>'G MTTS'!B688</f>
        <v>0.625011574074074</v>
      </c>
      <c r="C693" s="37" t="str">
        <f>'G MTTS'!J688</f>
        <v>#AS 25K Plus+SPS</v>
      </c>
      <c r="D693" s="38" t="str">
        <f>'G MTTS'!M688</f>
        <v>Main Event</v>
      </c>
      <c r="E693" s="39" t="str">
        <f>'G MTTS'!N688</f>
        <v>NLH</v>
      </c>
      <c r="F693" s="40" t="str">
        <f>'G MTTS'!O688</f>
        <v>OFF</v>
      </c>
      <c r="G693" s="41">
        <f>IF('G MTTS'!Q688=0," ",'G MTTS'!Q688*$A$3)</f>
        <v>26000</v>
      </c>
      <c r="H693" s="42">
        <f>IF('G MTTS'!V688=0," ",'G MTTS'!V688*$A$3)</f>
        <v>20</v>
      </c>
      <c r="I693" s="42">
        <f>IF('G MTTS'!W688=0," ",'G MTTS'!W688*$A$3)</f>
        <v>20</v>
      </c>
      <c r="J693" s="42">
        <f>IF('G MTTS'!Z688=0," ",'G MTTS'!Z688*$A$3)</f>
        <v>30</v>
      </c>
      <c r="K693" s="43">
        <f>'G MTTS'!AF688</f>
        <v>50000</v>
      </c>
      <c r="L693" s="43">
        <f>'G MTTS'!X688</f>
        <v>0</v>
      </c>
      <c r="M693" s="43">
        <f>'G MTTS'!AA688</f>
        <v>200000</v>
      </c>
      <c r="N693" s="44">
        <f>'G MTTS'!AG688</f>
        <v>10</v>
      </c>
      <c r="O693" s="44">
        <f>'G MTTS'!AH688</f>
        <v>8</v>
      </c>
      <c r="P693" s="44">
        <f>'G MTTS'!AI688</f>
        <v>10</v>
      </c>
      <c r="Q693" s="45">
        <f>'G MTTS'!AJ688</f>
        <v>14</v>
      </c>
      <c r="R693" s="46">
        <f t="shared" si="65"/>
        <v>0.729178240740741</v>
      </c>
      <c r="S693" s="47" t="str">
        <f t="shared" si="66"/>
        <v>MICRO</v>
      </c>
    </row>
    <row r="694" ht="29.25" customHeight="1" outlineLevel="1" spans="1:19">
      <c r="A694" s="33">
        <f>COUNTIF(D692:D772,"Side event")</f>
        <v>72</v>
      </c>
      <c r="B694" s="36">
        <f>'G MTTS'!B689</f>
        <v>0.666678240740741</v>
      </c>
      <c r="C694" s="48" t="str">
        <f>'G MTTS'!J689</f>
        <v>#AS 20K Saturday PLO</v>
      </c>
      <c r="D694" s="49" t="str">
        <f>'G MTTS'!M689</f>
        <v>Main Event</v>
      </c>
      <c r="E694" s="50" t="str">
        <f>'G MTTS'!N689</f>
        <v>PLO5</v>
      </c>
      <c r="F694" s="51" t="str">
        <f>'G MTTS'!O689</f>
        <v>Progressive KO 1/2</v>
      </c>
      <c r="G694" s="52">
        <f>IF('G MTTS'!Q689=0," ",'G MTTS'!Q689*$A$3)</f>
        <v>20000</v>
      </c>
      <c r="H694" s="53">
        <f>IF('G MTTS'!V689=0," ",'G MTTS'!V689*$A$3)</f>
        <v>150</v>
      </c>
      <c r="I694" s="53">
        <f>IF('G MTTS'!W689=0," ",'G MTTS'!W689*$A$3)</f>
        <v>150</v>
      </c>
      <c r="J694" s="53" t="str">
        <f>IF('G MTTS'!Z689=0," ",'G MTTS'!Z689*$A$3)</f>
        <v> </v>
      </c>
      <c r="K694" s="54">
        <f>'G MTTS'!AF689</f>
        <v>50000</v>
      </c>
      <c r="L694" s="54">
        <f>'G MTTS'!X689</f>
        <v>0</v>
      </c>
      <c r="M694" s="54" t="str">
        <f>'G MTTS'!AA689</f>
        <v>REENTRY</v>
      </c>
      <c r="N694" s="55">
        <f>'G MTTS'!AG689</f>
        <v>15</v>
      </c>
      <c r="O694" s="55">
        <f>'G MTTS'!AH689</f>
        <v>12</v>
      </c>
      <c r="P694" s="55">
        <f>'G MTTS'!AI689</f>
        <v>12</v>
      </c>
      <c r="Q694" s="56">
        <f>'G MTTS'!AJ689</f>
        <v>14</v>
      </c>
      <c r="R694" s="46">
        <f t="shared" si="65"/>
        <v>0.822928240740741</v>
      </c>
      <c r="S694" s="47" t="str">
        <f t="shared" si="66"/>
        <v>MEDIUM</v>
      </c>
    </row>
    <row r="695" ht="29.25" customHeight="1" outlineLevel="1" spans="1:19">
      <c r="A695" s="33" t="s">
        <v>56</v>
      </c>
      <c r="B695" s="36">
        <f>'G MTTS'!B690</f>
        <v>0.75</v>
      </c>
      <c r="C695" s="37" t="str">
        <f>'G MTTS'!J690</f>
        <v>#AS 30K Battle</v>
      </c>
      <c r="D695" s="38" t="str">
        <f>'G MTTS'!M690</f>
        <v>Main Event</v>
      </c>
      <c r="E695" s="39" t="str">
        <f>'G MTTS'!N690</f>
        <v>NLH</v>
      </c>
      <c r="F695" s="40" t="str">
        <f>'G MTTS'!O690</f>
        <v>Progressive KO 1/3</v>
      </c>
      <c r="G695" s="41">
        <f>IF('G MTTS'!Q690=0," ",'G MTTS'!Q690*$A$3)</f>
        <v>30000</v>
      </c>
      <c r="H695" s="42">
        <f>IF('G MTTS'!V690=0," ",'G MTTS'!V690*$A$3)</f>
        <v>55</v>
      </c>
      <c r="I695" s="42">
        <f>IF('G MTTS'!W690=0," ",'G MTTS'!W690*$A$3)</f>
        <v>55</v>
      </c>
      <c r="J695" s="42" t="str">
        <f>IF('G MTTS'!Z690=0," ",'G MTTS'!Z690*$A$3)</f>
        <v> </v>
      </c>
      <c r="K695" s="43">
        <f>'G MTTS'!AF690</f>
        <v>60000</v>
      </c>
      <c r="L695" s="43">
        <f>'G MTTS'!X690</f>
        <v>0</v>
      </c>
      <c r="M695" s="43" t="str">
        <f>'G MTTS'!AA690</f>
        <v>REENTRY</v>
      </c>
      <c r="N695" s="44">
        <f>'G MTTS'!AG690</f>
        <v>15</v>
      </c>
      <c r="O695" s="44">
        <f>'G MTTS'!AH690</f>
        <v>12</v>
      </c>
      <c r="P695" s="44">
        <f>'G MTTS'!AI690</f>
        <v>12</v>
      </c>
      <c r="Q695" s="45">
        <f>'G MTTS'!AJ690</f>
        <v>14</v>
      </c>
      <c r="R695" s="46">
        <f t="shared" si="65"/>
        <v>0.90625</v>
      </c>
      <c r="S695" s="47" t="str">
        <f t="shared" si="66"/>
        <v>LOW</v>
      </c>
    </row>
    <row r="696" ht="29.25" customHeight="1" outlineLevel="1" spans="1:19">
      <c r="A696" s="33">
        <f>COUNTIF(D692:D771,"Main Event")</f>
        <v>8</v>
      </c>
      <c r="B696" s="36">
        <f>'G MTTS'!B691</f>
        <v>0.750011574074074</v>
      </c>
      <c r="C696" s="48" t="str">
        <f>'G MTTS'!J691</f>
        <v>#AS 50K Plus+SPT</v>
      </c>
      <c r="D696" s="49" t="str">
        <f>'G MTTS'!M691</f>
        <v>Main Event</v>
      </c>
      <c r="E696" s="50" t="str">
        <f>'G MTTS'!N691</f>
        <v>NLH</v>
      </c>
      <c r="F696" s="51" t="str">
        <f>'G MTTS'!O691</f>
        <v>OFF</v>
      </c>
      <c r="G696" s="52">
        <f>IF('G MTTS'!Q691=0," ",'G MTTS'!Q691*$A$3)</f>
        <v>58500</v>
      </c>
      <c r="H696" s="53">
        <f>IF('G MTTS'!V691=0," ",'G MTTS'!V691*$A$3)</f>
        <v>20</v>
      </c>
      <c r="I696" s="53">
        <f>IF('G MTTS'!W691=0," ",'G MTTS'!W691*$A$3)</f>
        <v>20</v>
      </c>
      <c r="J696" s="53">
        <f>IF('G MTTS'!Z691=0," ",'G MTTS'!Z691*$A$3)</f>
        <v>30</v>
      </c>
      <c r="K696" s="54">
        <f>'G MTTS'!AF691</f>
        <v>50000</v>
      </c>
      <c r="L696" s="54">
        <f>'G MTTS'!X691</f>
        <v>0</v>
      </c>
      <c r="M696" s="54">
        <f>'G MTTS'!AA691</f>
        <v>250000</v>
      </c>
      <c r="N696" s="55">
        <f>'G MTTS'!AG691</f>
        <v>12</v>
      </c>
      <c r="O696" s="55">
        <f>'G MTTS'!AH691</f>
        <v>10</v>
      </c>
      <c r="P696" s="55">
        <f>'G MTTS'!AI691</f>
        <v>10</v>
      </c>
      <c r="Q696" s="56">
        <f>'G MTTS'!AJ691</f>
        <v>15</v>
      </c>
      <c r="R696" s="46">
        <f t="shared" si="65"/>
        <v>0.885428240740741</v>
      </c>
      <c r="S696" s="47" t="str">
        <f t="shared" si="66"/>
        <v>MICRO</v>
      </c>
    </row>
    <row r="697" ht="29.25" customHeight="1" outlineLevel="1" spans="1:19">
      <c r="A697" s="57" t="s">
        <v>524</v>
      </c>
      <c r="B697" s="36">
        <f>'G MTTS'!B692</f>
        <v>0.791666666666667</v>
      </c>
      <c r="C697" s="37" t="str">
        <f>'G MTTS'!J692</f>
        <v>#AS 50K Battle HR+SPS</v>
      </c>
      <c r="D697" s="38" t="str">
        <f>'G MTTS'!M692</f>
        <v>Main Event</v>
      </c>
      <c r="E697" s="39" t="str">
        <f>'G MTTS'!N692</f>
        <v>NLH</v>
      </c>
      <c r="F697" s="40" t="str">
        <f>'G MTTS'!O692</f>
        <v>Progressive KO 1/2</v>
      </c>
      <c r="G697" s="41">
        <f>IF('G MTTS'!Q692=0," ",'G MTTS'!Q692*$A$3)</f>
        <v>51000</v>
      </c>
      <c r="H697" s="42">
        <f>IF('G MTTS'!V692=0," ",'G MTTS'!V692*$A$3)</f>
        <v>150</v>
      </c>
      <c r="I697" s="42">
        <f>IF('G MTTS'!W692=0," ",'G MTTS'!W692*$A$3)</f>
        <v>150</v>
      </c>
      <c r="J697" s="42" t="str">
        <f>IF('G MTTS'!Z692=0," ",'G MTTS'!Z692*$A$3)</f>
        <v> </v>
      </c>
      <c r="K697" s="43">
        <f>'G MTTS'!AF692</f>
        <v>60000</v>
      </c>
      <c r="L697" s="43">
        <f>'G MTTS'!X692</f>
        <v>0</v>
      </c>
      <c r="M697" s="43" t="str">
        <f>'G MTTS'!AA692</f>
        <v>REENTRY</v>
      </c>
      <c r="N697" s="44">
        <f>'G MTTS'!AG692</f>
        <v>15</v>
      </c>
      <c r="O697" s="44">
        <f>'G MTTS'!AH692</f>
        <v>12</v>
      </c>
      <c r="P697" s="44">
        <f>'G MTTS'!AI692</f>
        <v>12</v>
      </c>
      <c r="Q697" s="45">
        <f>'G MTTS'!AJ692</f>
        <v>14</v>
      </c>
      <c r="R697" s="46">
        <f t="shared" si="65"/>
        <v>0.947916666666667</v>
      </c>
      <c r="S697" s="47" t="str">
        <f t="shared" si="66"/>
        <v>MEDIUM</v>
      </c>
    </row>
    <row r="698" ht="29.25" customHeight="1" outlineLevel="1" spans="1:19">
      <c r="A698" s="58">
        <f>SUM(G692:G772,G775:G827)</f>
        <v>537585</v>
      </c>
      <c r="B698" s="36">
        <f>'G MTTS'!B693</f>
        <v>0.833344907407407</v>
      </c>
      <c r="C698" s="48" t="str">
        <f>'G MTTS'!J693</f>
        <v>#AS 25K OmaX HR</v>
      </c>
      <c r="D698" s="49" t="str">
        <f>'G MTTS'!M693</f>
        <v>Main Event</v>
      </c>
      <c r="E698" s="50" t="str">
        <f>'G MTTS'!N693</f>
        <v>PLO5</v>
      </c>
      <c r="F698" s="51" t="str">
        <f>'G MTTS'!O693</f>
        <v>Progressive KO 1/2</v>
      </c>
      <c r="G698" s="52">
        <f>IF('G MTTS'!Q693=0," ",'G MTTS'!Q693*$A$3)</f>
        <v>25000</v>
      </c>
      <c r="H698" s="53">
        <f>IF('G MTTS'!V693=0," ",'G MTTS'!V693*$A$3)</f>
        <v>250</v>
      </c>
      <c r="I698" s="53">
        <f>IF('G MTTS'!W693=0," ",'G MTTS'!W693*$A$3)</f>
        <v>250</v>
      </c>
      <c r="J698" s="53" t="str">
        <f>IF('G MTTS'!Z693=0," ",'G MTTS'!Z693*$A$3)</f>
        <v> </v>
      </c>
      <c r="K698" s="54">
        <f>'G MTTS'!AF693</f>
        <v>50000</v>
      </c>
      <c r="L698" s="54">
        <f>'G MTTS'!X693</f>
        <v>60000</v>
      </c>
      <c r="M698" s="54" t="str">
        <f>'G MTTS'!AA693</f>
        <v>REENTRY</v>
      </c>
      <c r="N698" s="55">
        <f>'G MTTS'!AG693</f>
        <v>12</v>
      </c>
      <c r="O698" s="55">
        <f>'G MTTS'!AH693</f>
        <v>10</v>
      </c>
      <c r="P698" s="55">
        <f>'G MTTS'!AI693</f>
        <v>10</v>
      </c>
      <c r="Q698" s="56">
        <f>'G MTTS'!AJ693</f>
        <v>15</v>
      </c>
      <c r="R698" s="46">
        <f t="shared" si="65"/>
        <v>0.968761574074074</v>
      </c>
      <c r="S698" s="47" t="str">
        <f t="shared" si="66"/>
        <v>MEDIUM</v>
      </c>
    </row>
    <row r="699" ht="29.25" customHeight="1" outlineLevel="1" spans="1:19">
      <c r="A699" s="58"/>
      <c r="B699" s="36">
        <f>'G MTTS'!B694</f>
        <v>0.875011574074074</v>
      </c>
      <c r="C699" s="188" t="str">
        <f>'G MTTS'!J694</f>
        <v>#AS 20K Plus HR</v>
      </c>
      <c r="D699" s="38" t="str">
        <f>'G MTTS'!M694</f>
        <v>Main Event</v>
      </c>
      <c r="E699" s="39" t="str">
        <f>'G MTTS'!N694</f>
        <v>NLH</v>
      </c>
      <c r="F699" s="40" t="str">
        <f>'G MTTS'!O694</f>
        <v>OFF</v>
      </c>
      <c r="G699" s="41">
        <f>IF('G MTTS'!Q694=0," ",'G MTTS'!Q694*$A$3)</f>
        <v>20000</v>
      </c>
      <c r="H699" s="42">
        <f>IF('G MTTS'!V694=0," ",'G MTTS'!V694*$A$3)</f>
        <v>50</v>
      </c>
      <c r="I699" s="42">
        <f>IF('G MTTS'!W694=0," ",'G MTTS'!W694*$A$3)</f>
        <v>50</v>
      </c>
      <c r="J699" s="42">
        <f>IF('G MTTS'!Z694=0," ",'G MTTS'!Z694*$A$3)</f>
        <v>75</v>
      </c>
      <c r="K699" s="43">
        <f>'G MTTS'!AF694</f>
        <v>40000</v>
      </c>
      <c r="L699" s="43">
        <f>'G MTTS'!X694</f>
        <v>0</v>
      </c>
      <c r="M699" s="43">
        <f>'G MTTS'!AA694</f>
        <v>160000</v>
      </c>
      <c r="N699" s="44">
        <f>'G MTTS'!AG694</f>
        <v>10</v>
      </c>
      <c r="O699" s="44">
        <f>'G MTTS'!AH694</f>
        <v>10</v>
      </c>
      <c r="P699" s="44">
        <f>'G MTTS'!AI694</f>
        <v>10</v>
      </c>
      <c r="Q699" s="45">
        <f>'G MTTS'!AJ694</f>
        <v>14</v>
      </c>
      <c r="R699" s="46">
        <f t="shared" si="65"/>
        <v>0.979178240740741</v>
      </c>
      <c r="S699" s="47" t="str">
        <f t="shared" si="66"/>
        <v>LOW</v>
      </c>
    </row>
    <row r="700" ht="29.25" customHeight="1" outlineLevel="1" spans="1:19">
      <c r="A700" s="59"/>
      <c r="B700" s="62">
        <f>'G MTTS'!B695</f>
        <v>0</v>
      </c>
      <c r="C700" s="189">
        <f>'G MTTS'!J695</f>
        <v>0</v>
      </c>
      <c r="D700" s="190">
        <f>'G MTTS'!M695</f>
        <v>0</v>
      </c>
      <c r="E700" s="191">
        <f>'G MTTS'!N695</f>
        <v>0</v>
      </c>
      <c r="F700" s="192">
        <f>'G MTTS'!O695</f>
        <v>0</v>
      </c>
      <c r="G700" s="193" t="str">
        <f>IF('G MTTS'!Q695=0," ",'G MTTS'!Q695*5)</f>
        <v> </v>
      </c>
      <c r="H700" s="194" t="str">
        <f>IF('G MTTS'!V695=0," ",'G MTTS'!V695*5)</f>
        <v> </v>
      </c>
      <c r="I700" s="194" t="str">
        <f>IF('G MTTS'!W695=0," ",'G MTTS'!W695*5)</f>
        <v> </v>
      </c>
      <c r="J700" s="194" t="str">
        <f>IF('G MTTS'!Z695=0," ",'G MTTS'!Z695*5)</f>
        <v> </v>
      </c>
      <c r="K700" s="195">
        <f>'G MTTS'!AF695</f>
        <v>0</v>
      </c>
      <c r="L700" s="195">
        <f>'G MTTS'!X695</f>
        <v>0</v>
      </c>
      <c r="M700" s="195">
        <f>'G MTTS'!AA695</f>
        <v>0</v>
      </c>
      <c r="N700" s="196">
        <f>'G MTTS'!AG695</f>
        <v>0</v>
      </c>
      <c r="O700" s="196">
        <f>'G MTTS'!AH695</f>
        <v>0</v>
      </c>
      <c r="P700" s="196">
        <f>'G MTTS'!AI695</f>
        <v>0</v>
      </c>
      <c r="Q700" s="197">
        <f>'G MTTS'!AJ695</f>
        <v>0</v>
      </c>
      <c r="R700" s="46" t="str">
        <f t="shared" si="65"/>
        <v> </v>
      </c>
      <c r="S700" s="47"/>
    </row>
    <row r="701" ht="29.25" customHeight="1" outlineLevel="1" spans="1:19">
      <c r="A701" s="60" t="s">
        <v>523</v>
      </c>
      <c r="B701" s="36">
        <f>'G MTTS'!B696</f>
        <v>1.15740740740741e-5</v>
      </c>
      <c r="C701" s="37" t="str">
        <f>'G MTTS'!J696</f>
        <v>#AS 6K Sonic+SPS</v>
      </c>
      <c r="D701" s="38" t="str">
        <f>'G MTTS'!M696</f>
        <v>Side Event</v>
      </c>
      <c r="E701" s="39" t="str">
        <f>'G MTTS'!N696</f>
        <v>NLH</v>
      </c>
      <c r="F701" s="40" t="str">
        <f>'G MTTS'!O696</f>
        <v>OFF</v>
      </c>
      <c r="G701" s="41">
        <f>IF('G MTTS'!Q696=0," ",'G MTTS'!Q696*$A$3)</f>
        <v>7000</v>
      </c>
      <c r="H701" s="42">
        <f>IF('G MTTS'!V696=0," ",'G MTTS'!V696*$A$3)</f>
        <v>35</v>
      </c>
      <c r="I701" s="42">
        <f>IF('G MTTS'!W696=0," ",'G MTTS'!W696*$A$3)</f>
        <v>35</v>
      </c>
      <c r="J701" s="42" t="str">
        <f>IF('G MTTS'!Z696=0," ",'G MTTS'!Z696*$A$3)</f>
        <v> </v>
      </c>
      <c r="K701" s="43">
        <f>'G MTTS'!AF696</f>
        <v>50000</v>
      </c>
      <c r="L701" s="43">
        <f>'G MTTS'!X696</f>
        <v>0</v>
      </c>
      <c r="M701" s="43" t="str">
        <f>'G MTTS'!AA696</f>
        <v>REENTRY</v>
      </c>
      <c r="N701" s="44">
        <f>'G MTTS'!AG696</f>
        <v>7</v>
      </c>
      <c r="O701" s="44">
        <f>'G MTTS'!AH696</f>
        <v>6</v>
      </c>
      <c r="P701" s="44">
        <f>'G MTTS'!AI696</f>
        <v>6</v>
      </c>
      <c r="Q701" s="45">
        <f>'G MTTS'!AJ696</f>
        <v>13</v>
      </c>
      <c r="R701" s="46">
        <f t="shared" si="65"/>
        <v>0.0666782407407407</v>
      </c>
      <c r="S701" s="47" t="str">
        <f t="shared" ref="S701:S779" si="67">IFERROR(IF(H701=0," ",IF(H701&lt;=25,"MICRO",IF(H701&lt;=99,"LOW",IF(H701&lt;=499,"MEDIUM",IF(H701&lt;=2500,"HIGH",IF(H701&gt;2500,"SUPER HIGH",)))))),"")</f>
        <v>LOW</v>
      </c>
    </row>
    <row r="702" ht="29.25" customHeight="1" outlineLevel="1" spans="1:19">
      <c r="B702" s="36">
        <f>'G MTTS'!B697</f>
        <v>1.15740740740741e-5</v>
      </c>
      <c r="C702" s="48" t="str">
        <f>'G MTTS'!J697</f>
        <v>1.5K Omax K.O</v>
      </c>
      <c r="D702" s="49" t="str">
        <f>'G MTTS'!M697</f>
        <v>Side Event</v>
      </c>
      <c r="E702" s="50" t="str">
        <f>'G MTTS'!N697</f>
        <v>PLO5</v>
      </c>
      <c r="F702" s="51" t="str">
        <f>'G MTTS'!O697</f>
        <v>Regular KO 1/3</v>
      </c>
      <c r="G702" s="52">
        <f>IF('G MTTS'!Q697=0," ",'G MTTS'!Q697*$A$3)</f>
        <v>1500</v>
      </c>
      <c r="H702" s="53">
        <f>IF('G MTTS'!V697=0," ",'G MTTS'!V697*$A$3)</f>
        <v>10</v>
      </c>
      <c r="I702" s="53">
        <f>IF('G MTTS'!W697=0," ",'G MTTS'!W697*$A$3)</f>
        <v>10</v>
      </c>
      <c r="J702" s="53" t="str">
        <f>IF('G MTTS'!Z697=0," ",'G MTTS'!Z697*$A$3)</f>
        <v> </v>
      </c>
      <c r="K702" s="54">
        <f>'G MTTS'!AF697</f>
        <v>60000</v>
      </c>
      <c r="L702" s="54">
        <f>'G MTTS'!X697</f>
        <v>0</v>
      </c>
      <c r="M702" s="54" t="str">
        <f>'G MTTS'!AA697</f>
        <v>REENTRY</v>
      </c>
      <c r="N702" s="55">
        <f>'G MTTS'!AG697</f>
        <v>6</v>
      </c>
      <c r="O702" s="55">
        <f>'G MTTS'!AH697</f>
        <v>5</v>
      </c>
      <c r="P702" s="55">
        <f>'G MTTS'!AI697</f>
        <v>5</v>
      </c>
      <c r="Q702" s="56">
        <f>'G MTTS'!AJ697</f>
        <v>12</v>
      </c>
      <c r="R702" s="46">
        <f t="shared" si="65"/>
        <v>0.0534837962962963</v>
      </c>
      <c r="S702" s="47" t="str">
        <f t="shared" si="67"/>
        <v>MICRO</v>
      </c>
    </row>
    <row r="703" ht="29.25" customHeight="1" outlineLevel="1" spans="1:19">
      <c r="A703" s="60" t="s">
        <v>523</v>
      </c>
      <c r="B703" s="36">
        <f>'G MTTS'!B698</f>
        <v>0.0208449074074074</v>
      </c>
      <c r="C703" s="179" t="str">
        <f>'G MTTS'!J698</f>
        <v>#AS 3K Plus Turbo</v>
      </c>
      <c r="D703" s="38" t="str">
        <f>'G MTTS'!M698</f>
        <v>Side Event</v>
      </c>
      <c r="E703" s="39" t="str">
        <f>'G MTTS'!N698</f>
        <v>NLH</v>
      </c>
      <c r="F703" s="40" t="str">
        <f>'G MTTS'!O698</f>
        <v>OFF</v>
      </c>
      <c r="G703" s="41">
        <f>IF('G MTTS'!Q698=0," ",'G MTTS'!Q698*$A$3)</f>
        <v>3000</v>
      </c>
      <c r="H703" s="42">
        <f>IF('G MTTS'!V698=0," ",'G MTTS'!V698*$A$3)</f>
        <v>6</v>
      </c>
      <c r="I703" s="42">
        <f>IF('G MTTS'!W698=0," ",'G MTTS'!W698*$A$3)</f>
        <v>6</v>
      </c>
      <c r="J703" s="42">
        <f>IF('G MTTS'!Z698=0," ",'G MTTS'!Z698*$A$3)</f>
        <v>6</v>
      </c>
      <c r="K703" s="43">
        <f>'G MTTS'!AF698</f>
        <v>30000</v>
      </c>
      <c r="L703" s="43">
        <f>'G MTTS'!X698</f>
        <v>0</v>
      </c>
      <c r="M703" s="43">
        <f>'G MTTS'!AA698</f>
        <v>90000</v>
      </c>
      <c r="N703" s="44">
        <f>'G MTTS'!AG698</f>
        <v>6</v>
      </c>
      <c r="O703" s="44">
        <f>'G MTTS'!AH698</f>
        <v>5</v>
      </c>
      <c r="P703" s="44">
        <f>'G MTTS'!AI698</f>
        <v>6</v>
      </c>
      <c r="Q703" s="45">
        <f>'G MTTS'!AJ698</f>
        <v>13</v>
      </c>
      <c r="R703" s="46">
        <f t="shared" si="65"/>
        <v>0.0784837962962963</v>
      </c>
      <c r="S703" s="47" t="str">
        <f t="shared" si="67"/>
        <v>MICRO</v>
      </c>
    </row>
    <row r="704" ht="29.25" customHeight="1" outlineLevel="1" spans="1:19">
      <c r="B704" s="36">
        <f>'G MTTS'!B699</f>
        <v>0.0208449074074074</v>
      </c>
      <c r="C704" s="48" t="str">
        <f>'G MTTS'!J699</f>
        <v>#AS 1.5K Omax</v>
      </c>
      <c r="D704" s="49" t="str">
        <f>'G MTTS'!M699</f>
        <v>Side Event</v>
      </c>
      <c r="E704" s="50" t="str">
        <f>'G MTTS'!N699</f>
        <v>PLO5</v>
      </c>
      <c r="F704" s="51" t="str">
        <f>'G MTTS'!O699</f>
        <v>OFF</v>
      </c>
      <c r="G704" s="52">
        <f>IF('G MTTS'!Q699=0," ",'G MTTS'!Q699*$A$3)</f>
        <v>1500</v>
      </c>
      <c r="H704" s="53">
        <f>IF('G MTTS'!V699=0," ",'G MTTS'!V699*$A$3)</f>
        <v>5</v>
      </c>
      <c r="I704" s="53">
        <f>IF('G MTTS'!W699=0," ",'G MTTS'!W699*$A$3)</f>
        <v>5</v>
      </c>
      <c r="J704" s="53">
        <f>IF('G MTTS'!Z699=0," ",'G MTTS'!Z699*$A$3)</f>
        <v>5</v>
      </c>
      <c r="K704" s="54">
        <f>'G MTTS'!AF699</f>
        <v>30000</v>
      </c>
      <c r="L704" s="54">
        <f>'G MTTS'!X699</f>
        <v>0</v>
      </c>
      <c r="M704" s="54">
        <f>'G MTTS'!AA699</f>
        <v>70000</v>
      </c>
      <c r="N704" s="55">
        <f>'G MTTS'!AG699</f>
        <v>6</v>
      </c>
      <c r="O704" s="55">
        <f>'G MTTS'!AH699</f>
        <v>5</v>
      </c>
      <c r="P704" s="55">
        <f>'G MTTS'!AI699</f>
        <v>5</v>
      </c>
      <c r="Q704" s="56">
        <f>'G MTTS'!AJ699</f>
        <v>12</v>
      </c>
      <c r="R704" s="46">
        <f t="shared" si="65"/>
        <v>0.0743171296296296</v>
      </c>
      <c r="S704" s="47" t="str">
        <f t="shared" si="67"/>
        <v>MICRO</v>
      </c>
    </row>
    <row r="705" ht="29.25" customHeight="1" outlineLevel="1" spans="1:19">
      <c r="B705" s="36">
        <f>'G MTTS'!B700</f>
        <v>0.0416782407407407</v>
      </c>
      <c r="C705" s="179" t="str">
        <f>'G MTTS'!J700</f>
        <v>#AS 10K OmaX Night</v>
      </c>
      <c r="D705" s="38" t="str">
        <f>'G MTTS'!M700</f>
        <v>Side Event</v>
      </c>
      <c r="E705" s="39" t="str">
        <f>'G MTTS'!N700</f>
        <v>PLO5</v>
      </c>
      <c r="F705" s="40" t="str">
        <f>'G MTTS'!O700</f>
        <v>Progressive KO 1/2</v>
      </c>
      <c r="G705" s="41">
        <f>IF('G MTTS'!Q700=0," ",'G MTTS'!Q700*$A$3)</f>
        <v>10000</v>
      </c>
      <c r="H705" s="42">
        <f>IF('G MTTS'!V700=0," ",'G MTTS'!V700*$A$3)</f>
        <v>75</v>
      </c>
      <c r="I705" s="42">
        <f>IF('G MTTS'!W700=0," ",'G MTTS'!W700*$A$3)</f>
        <v>75</v>
      </c>
      <c r="J705" s="42" t="str">
        <f>IF('G MTTS'!Z700=0," ",'G MTTS'!Z700*$A$3)</f>
        <v> </v>
      </c>
      <c r="K705" s="43">
        <f>'G MTTS'!AF700</f>
        <v>50000</v>
      </c>
      <c r="L705" s="43">
        <f>'G MTTS'!X700</f>
        <v>0</v>
      </c>
      <c r="M705" s="43" t="str">
        <f>'G MTTS'!AA700</f>
        <v>REENTRY</v>
      </c>
      <c r="N705" s="44">
        <f>'G MTTS'!AG700</f>
        <v>6</v>
      </c>
      <c r="O705" s="44">
        <f>'G MTTS'!AH700</f>
        <v>5</v>
      </c>
      <c r="P705" s="44">
        <f>'G MTTS'!AI700</f>
        <v>5</v>
      </c>
      <c r="Q705" s="45">
        <f>'G MTTS'!AJ700</f>
        <v>15</v>
      </c>
      <c r="R705" s="46">
        <f t="shared" si="65"/>
        <v>0.107650462962963</v>
      </c>
      <c r="S705" s="47" t="str">
        <f t="shared" si="67"/>
        <v>LOW</v>
      </c>
    </row>
    <row r="706" ht="29.25" customHeight="1" outlineLevel="1" spans="1:19">
      <c r="A706" s="60" t="s">
        <v>523</v>
      </c>
      <c r="B706" s="36">
        <f>'G MTTS'!B701</f>
        <v>0.0416782407407407</v>
      </c>
      <c r="C706" s="48" t="str">
        <f>'G MTTS'!J701</f>
        <v>#AS 10K Plus+SPS</v>
      </c>
      <c r="D706" s="49" t="str">
        <f>'G MTTS'!M701</f>
        <v>Side Event</v>
      </c>
      <c r="E706" s="50" t="str">
        <f>'G MTTS'!N701</f>
        <v>NLH</v>
      </c>
      <c r="F706" s="51" t="str">
        <f>'G MTTS'!O701</f>
        <v>OFF</v>
      </c>
      <c r="G706" s="52">
        <f>IF('G MTTS'!Q701=0," ",'G MTTS'!Q701*$A$3)</f>
        <v>11000</v>
      </c>
      <c r="H706" s="53">
        <f>IF('G MTTS'!V701=0," ",'G MTTS'!V701*$A$3)</f>
        <v>15</v>
      </c>
      <c r="I706" s="53">
        <f>IF('G MTTS'!W701=0," ",'G MTTS'!W701*$A$3)</f>
        <v>15</v>
      </c>
      <c r="J706" s="53">
        <f>IF('G MTTS'!Z701=0," ",'G MTTS'!Z701*$A$3)</f>
        <v>15</v>
      </c>
      <c r="K706" s="54">
        <f>'G MTTS'!AF701</f>
        <v>40000</v>
      </c>
      <c r="L706" s="54">
        <f>'G MTTS'!X701</f>
        <v>0</v>
      </c>
      <c r="M706" s="54">
        <f>'G MTTS'!AA701</f>
        <v>160000</v>
      </c>
      <c r="N706" s="55">
        <f>'G MTTS'!AG701</f>
        <v>6</v>
      </c>
      <c r="O706" s="55">
        <f>'G MTTS'!AH701</f>
        <v>5</v>
      </c>
      <c r="P706" s="55">
        <f>'G MTTS'!AI701</f>
        <v>6</v>
      </c>
      <c r="Q706" s="56">
        <f>'G MTTS'!AJ701</f>
        <v>13</v>
      </c>
      <c r="R706" s="46">
        <f t="shared" si="65"/>
        <v>0.0993171296296296</v>
      </c>
      <c r="S706" s="47" t="str">
        <f t="shared" si="67"/>
        <v>MICRO</v>
      </c>
    </row>
    <row r="707" ht="29.25" customHeight="1" outlineLevel="1" spans="1:19">
      <c r="B707" s="36">
        <f>'G MTTS'!B702</f>
        <v>0.0625115740740741</v>
      </c>
      <c r="C707" s="179" t="str">
        <f>'G MTTS'!J702</f>
        <v>600 Omax PKO</v>
      </c>
      <c r="D707" s="38" t="str">
        <f>'G MTTS'!M702</f>
        <v>Side Event</v>
      </c>
      <c r="E707" s="39" t="str">
        <f>'G MTTS'!N702</f>
        <v>PLO5</v>
      </c>
      <c r="F707" s="40" t="str">
        <f>'G MTTS'!O702</f>
        <v>Progressive KO 1/2</v>
      </c>
      <c r="G707" s="41">
        <f>IF('G MTTS'!Q702=0," ",'G MTTS'!Q702*$A$3)</f>
        <v>600</v>
      </c>
      <c r="H707" s="42">
        <f>IF('G MTTS'!V702=0," ",'G MTTS'!V702*$A$3)</f>
        <v>3</v>
      </c>
      <c r="I707" s="42">
        <f>IF('G MTTS'!W702=0," ",'G MTTS'!W702*$A$3)</f>
        <v>3</v>
      </c>
      <c r="J707" s="42" t="str">
        <f>IF('G MTTS'!Z702=0," ",'G MTTS'!Z702*$A$3)</f>
        <v> </v>
      </c>
      <c r="K707" s="43">
        <f>'G MTTS'!AF702</f>
        <v>30000</v>
      </c>
      <c r="L707" s="43">
        <f>'G MTTS'!X702</f>
        <v>0</v>
      </c>
      <c r="M707" s="43" t="str">
        <f>'G MTTS'!AA702</f>
        <v>REENTRY</v>
      </c>
      <c r="N707" s="44">
        <f>'G MTTS'!AG702</f>
        <v>5</v>
      </c>
      <c r="O707" s="44">
        <f>'G MTTS'!AH702</f>
        <v>5</v>
      </c>
      <c r="P707" s="44">
        <f>'G MTTS'!AI702</f>
        <v>5</v>
      </c>
      <c r="Q707" s="45">
        <f>'G MTTS'!AJ702</f>
        <v>13</v>
      </c>
      <c r="R707" s="46">
        <f t="shared" si="65"/>
        <v>0.111122685185185</v>
      </c>
      <c r="S707" s="47" t="str">
        <f t="shared" si="67"/>
        <v>MICRO</v>
      </c>
    </row>
    <row r="708" ht="29.25" customHeight="1" outlineLevel="1" spans="1:19">
      <c r="B708" s="36">
        <f>'G MTTS'!B703</f>
        <v>0.0833449074074074</v>
      </c>
      <c r="C708" s="48" t="str">
        <f>'G MTTS'!J703</f>
        <v>#AS 4K Battle</v>
      </c>
      <c r="D708" s="49" t="str">
        <f>'G MTTS'!M703</f>
        <v>Side Event</v>
      </c>
      <c r="E708" s="50" t="str">
        <f>'G MTTS'!N703</f>
        <v>NLH</v>
      </c>
      <c r="F708" s="51" t="str">
        <f>'G MTTS'!O703</f>
        <v>Progressive KO 1/2</v>
      </c>
      <c r="G708" s="52">
        <f>IF('G MTTS'!Q703=0," ",'G MTTS'!Q703*$A$3)</f>
        <v>4000</v>
      </c>
      <c r="H708" s="53">
        <f>IF('G MTTS'!V703=0," ",'G MTTS'!V703*$A$3)</f>
        <v>35</v>
      </c>
      <c r="I708" s="53">
        <f>IF('G MTTS'!W703=0," ",'G MTTS'!W703*$A$3)</f>
        <v>35</v>
      </c>
      <c r="J708" s="53" t="str">
        <f>IF('G MTTS'!Z703=0," ",'G MTTS'!Z703*$A$3)</f>
        <v> </v>
      </c>
      <c r="K708" s="54">
        <f>'G MTTS'!AF703</f>
        <v>40000</v>
      </c>
      <c r="L708" s="54">
        <f>'G MTTS'!X703</f>
        <v>0</v>
      </c>
      <c r="M708" s="54" t="str">
        <f>'G MTTS'!AA703</f>
        <v>REENTRY</v>
      </c>
      <c r="N708" s="55">
        <f>'G MTTS'!AG703</f>
        <v>6</v>
      </c>
      <c r="O708" s="55">
        <f>'G MTTS'!AH703</f>
        <v>5</v>
      </c>
      <c r="P708" s="55">
        <f>'G MTTS'!AI703</f>
        <v>5</v>
      </c>
      <c r="Q708" s="56">
        <f>'G MTTS'!AJ703</f>
        <v>13</v>
      </c>
      <c r="R708" s="46">
        <f t="shared" si="65"/>
        <v>0.140983796296296</v>
      </c>
      <c r="S708" s="47" t="str">
        <f t="shared" si="67"/>
        <v>LOW</v>
      </c>
    </row>
    <row r="709" ht="29.25" customHeight="1" outlineLevel="1" spans="1:19">
      <c r="A709" s="60" t="s">
        <v>523</v>
      </c>
      <c r="B709" s="36">
        <f>'G MTTS'!B704</f>
        <v>0.104178240740741</v>
      </c>
      <c r="C709" s="37" t="str">
        <f>'G MTTS'!J704</f>
        <v>2K Plus</v>
      </c>
      <c r="D709" s="38" t="str">
        <f>'G MTTS'!M704</f>
        <v>Side Event</v>
      </c>
      <c r="E709" s="39" t="str">
        <f>'G MTTS'!N704</f>
        <v>NLH</v>
      </c>
      <c r="F709" s="40" t="str">
        <f>'G MTTS'!O704</f>
        <v>OFF</v>
      </c>
      <c r="G709" s="41">
        <f>IF('G MTTS'!Q704=0," ",'G MTTS'!Q704*$A$3)</f>
        <v>2000</v>
      </c>
      <c r="H709" s="42">
        <f>IF('G MTTS'!V704=0," ",'G MTTS'!V704*$A$3)</f>
        <v>3</v>
      </c>
      <c r="I709" s="42">
        <f>IF('G MTTS'!W704=0," ",'G MTTS'!W704*$A$3)</f>
        <v>3</v>
      </c>
      <c r="J709" s="42">
        <f>IF('G MTTS'!Z704=0," ",'G MTTS'!Z704*$A$3)</f>
        <v>4</v>
      </c>
      <c r="K709" s="43">
        <f>'G MTTS'!AF704</f>
        <v>50000</v>
      </c>
      <c r="L709" s="43">
        <f>'G MTTS'!X704</f>
        <v>0</v>
      </c>
      <c r="M709" s="43">
        <f>'G MTTS'!AA704</f>
        <v>100000</v>
      </c>
      <c r="N709" s="44">
        <f>'G MTTS'!AG704</f>
        <v>5</v>
      </c>
      <c r="O709" s="44">
        <f>'G MTTS'!AH704</f>
        <v>5</v>
      </c>
      <c r="P709" s="44">
        <f>'G MTTS'!AI704</f>
        <v>5</v>
      </c>
      <c r="Q709" s="45">
        <f>'G MTTS'!AJ704</f>
        <v>13</v>
      </c>
      <c r="R709" s="46">
        <f t="shared" si="65"/>
        <v>0.152789351851852</v>
      </c>
      <c r="S709" s="47" t="str">
        <f t="shared" si="67"/>
        <v>MICRO</v>
      </c>
    </row>
    <row r="710" ht="29.25" customHeight="1" outlineLevel="1" spans="1:19">
      <c r="B710" s="36">
        <f>'G MTTS'!B705</f>
        <v>0.131956018518519</v>
      </c>
      <c r="C710" s="48" t="str">
        <f>'G MTTS'!J705</f>
        <v>1K Omax</v>
      </c>
      <c r="D710" s="49" t="str">
        <f>'G MTTS'!M705</f>
        <v>Side Event</v>
      </c>
      <c r="E710" s="50" t="str">
        <f>'G MTTS'!N705</f>
        <v>PLO5</v>
      </c>
      <c r="F710" s="51" t="str">
        <f>'G MTTS'!O705</f>
        <v>OFF</v>
      </c>
      <c r="G710" s="52">
        <f>IF('G MTTS'!Q705=0," ",'G MTTS'!Q705*$A$3)</f>
        <v>1000</v>
      </c>
      <c r="H710" s="53">
        <f>IF('G MTTS'!V705=0," ",'G MTTS'!V705*$A$3)</f>
        <v>10</v>
      </c>
      <c r="I710" s="53">
        <f>IF('G MTTS'!W705=0," ",'G MTTS'!W705*$A$3)</f>
        <v>10</v>
      </c>
      <c r="J710" s="53">
        <f>IF('G MTTS'!Z705=0," ",'G MTTS'!Z705*$A$3)</f>
        <v>10</v>
      </c>
      <c r="K710" s="54">
        <f>'G MTTS'!AF705</f>
        <v>30000</v>
      </c>
      <c r="L710" s="54">
        <f>'G MTTS'!X705</f>
        <v>0</v>
      </c>
      <c r="M710" s="54">
        <f>'G MTTS'!AA705</f>
        <v>75000</v>
      </c>
      <c r="N710" s="55">
        <f>'G MTTS'!AG705</f>
        <v>5</v>
      </c>
      <c r="O710" s="55">
        <f>'G MTTS'!AH705</f>
        <v>5</v>
      </c>
      <c r="P710" s="55">
        <f>'G MTTS'!AI705</f>
        <v>5</v>
      </c>
      <c r="Q710" s="56">
        <f>'G MTTS'!AJ705</f>
        <v>12</v>
      </c>
      <c r="R710" s="46">
        <f t="shared" si="65"/>
        <v>0.177094907407407</v>
      </c>
      <c r="S710" s="47" t="str">
        <f t="shared" si="67"/>
        <v>MICRO</v>
      </c>
    </row>
    <row r="711" ht="29.25" customHeight="1" outlineLevel="1" spans="1:19">
      <c r="B711" s="36">
        <f>'G MTTS'!B706</f>
        <v>0.131956018518519</v>
      </c>
      <c r="C711" s="37" t="str">
        <f>'G MTTS'!J706</f>
        <v>#AS 2K Battle</v>
      </c>
      <c r="D711" s="38" t="str">
        <f>'G MTTS'!M706</f>
        <v>Side Event</v>
      </c>
      <c r="E711" s="39" t="str">
        <f>'G MTTS'!N706</f>
        <v>NLH</v>
      </c>
      <c r="F711" s="40" t="str">
        <f>'G MTTS'!O706</f>
        <v>Progressive KO 1/2</v>
      </c>
      <c r="G711" s="41">
        <f>IF('G MTTS'!Q706=0," ",'G MTTS'!Q706*$A$3)</f>
        <v>2000</v>
      </c>
      <c r="H711" s="42">
        <f>IF('G MTTS'!V706=0," ",'G MTTS'!V706*$A$3)</f>
        <v>25</v>
      </c>
      <c r="I711" s="42">
        <f>IF('G MTTS'!W706=0," ",'G MTTS'!W706*$A$3)</f>
        <v>25</v>
      </c>
      <c r="J711" s="42" t="str">
        <f>IF('G MTTS'!Z706=0," ",'G MTTS'!Z706*$A$3)</f>
        <v> </v>
      </c>
      <c r="K711" s="43">
        <f>'G MTTS'!AF706</f>
        <v>30000</v>
      </c>
      <c r="L711" s="43">
        <f>'G MTTS'!X706</f>
        <v>0</v>
      </c>
      <c r="M711" s="43" t="str">
        <f>'G MTTS'!AA706</f>
        <v>REENTRY</v>
      </c>
      <c r="N711" s="44">
        <f>'G MTTS'!AG706</f>
        <v>5</v>
      </c>
      <c r="O711" s="44">
        <f>'G MTTS'!AH706</f>
        <v>5</v>
      </c>
      <c r="P711" s="44">
        <f>'G MTTS'!AI706</f>
        <v>5</v>
      </c>
      <c r="Q711" s="45">
        <f>'G MTTS'!AJ706</f>
        <v>12</v>
      </c>
      <c r="R711" s="46">
        <f t="shared" si="65"/>
        <v>0.177094907407407</v>
      </c>
      <c r="S711" s="47" t="str">
        <f t="shared" si="67"/>
        <v>MICRO</v>
      </c>
    </row>
    <row r="712" ht="29.25" customHeight="1" outlineLevel="1" spans="1:19">
      <c r="A712" s="60" t="s">
        <v>523</v>
      </c>
      <c r="B712" s="36">
        <f>'G MTTS'!B707</f>
        <v>0.173622685185185</v>
      </c>
      <c r="C712" s="48" t="str">
        <f>'G MTTS'!J707</f>
        <v>#AS 2K Plus</v>
      </c>
      <c r="D712" s="49" t="str">
        <f>'G MTTS'!M707</f>
        <v>Side Event</v>
      </c>
      <c r="E712" s="50" t="str">
        <f>'G MTTS'!N707</f>
        <v>NLH</v>
      </c>
      <c r="F712" s="51" t="str">
        <f>'G MTTS'!O707</f>
        <v>OFF</v>
      </c>
      <c r="G712" s="52">
        <f>IF('G MTTS'!Q707=0," ",'G MTTS'!Q707*$A$3)</f>
        <v>2000</v>
      </c>
      <c r="H712" s="53">
        <f>IF('G MTTS'!V707=0," ",'G MTTS'!V707*$A$3)</f>
        <v>10</v>
      </c>
      <c r="I712" s="53">
        <f>IF('G MTTS'!W707=0," ",'G MTTS'!W707*$A$3)</f>
        <v>10</v>
      </c>
      <c r="J712" s="53">
        <f>IF('G MTTS'!Z707=0," ",'G MTTS'!Z707*$A$3)</f>
        <v>10</v>
      </c>
      <c r="K712" s="54">
        <f>'G MTTS'!AF707</f>
        <v>30000</v>
      </c>
      <c r="L712" s="54">
        <f>'G MTTS'!X707</f>
        <v>0</v>
      </c>
      <c r="M712" s="54">
        <f>'G MTTS'!AA707</f>
        <v>75000</v>
      </c>
      <c r="N712" s="55">
        <f>'G MTTS'!AG707</f>
        <v>5</v>
      </c>
      <c r="O712" s="55">
        <f>'G MTTS'!AH707</f>
        <v>5</v>
      </c>
      <c r="P712" s="55">
        <f>'G MTTS'!AI707</f>
        <v>5</v>
      </c>
      <c r="Q712" s="56">
        <f>'G MTTS'!AJ707</f>
        <v>12</v>
      </c>
      <c r="R712" s="46">
        <f t="shared" si="65"/>
        <v>0.218761574074074</v>
      </c>
      <c r="S712" s="47" t="str">
        <f t="shared" si="67"/>
        <v>MICRO</v>
      </c>
    </row>
    <row r="713" ht="29.25" customHeight="1" outlineLevel="1" spans="1:19">
      <c r="B713" s="36">
        <f>'G MTTS'!B708</f>
        <v>0.208344907407407</v>
      </c>
      <c r="C713" s="37" t="str">
        <f>'G MTTS'!J708</f>
        <v>500 Bounty</v>
      </c>
      <c r="D713" s="38" t="str">
        <f>'G MTTS'!M708</f>
        <v>Side Event</v>
      </c>
      <c r="E713" s="39" t="str">
        <f>'G MTTS'!N708</f>
        <v>NLH</v>
      </c>
      <c r="F713" s="40" t="str">
        <f>'G MTTS'!O708</f>
        <v>Progressive KO 1/3</v>
      </c>
      <c r="G713" s="41">
        <f>IF('G MTTS'!Q708=0," ",'G MTTS'!Q708*$A$3)</f>
        <v>500</v>
      </c>
      <c r="H713" s="42">
        <f>IF('G MTTS'!V708=0," ",'G MTTS'!V708*$A$3)</f>
        <v>8</v>
      </c>
      <c r="I713" s="42">
        <f>IF('G MTTS'!W708=0," ",'G MTTS'!W708*$A$3)</f>
        <v>8</v>
      </c>
      <c r="J713" s="42" t="str">
        <f>IF('G MTTS'!Z708=0," ",'G MTTS'!Z708*$A$3)</f>
        <v> </v>
      </c>
      <c r="K713" s="43">
        <f>'G MTTS'!AF708</f>
        <v>30000</v>
      </c>
      <c r="L713" s="43">
        <f>'G MTTS'!X708</f>
        <v>0</v>
      </c>
      <c r="M713" s="43" t="str">
        <f>'G MTTS'!AA708</f>
        <v>REENTRY</v>
      </c>
      <c r="N713" s="44">
        <f>'G MTTS'!AG708</f>
        <v>8</v>
      </c>
      <c r="O713" s="44">
        <f>'G MTTS'!AH708</f>
        <v>7</v>
      </c>
      <c r="P713" s="44">
        <f>'G MTTS'!AI708</f>
        <v>7</v>
      </c>
      <c r="Q713" s="45">
        <f>'G MTTS'!AJ708</f>
        <v>13</v>
      </c>
      <c r="R713" s="46">
        <f t="shared" si="65"/>
        <v>0.284039351851852</v>
      </c>
      <c r="S713" s="47" t="str">
        <f t="shared" si="67"/>
        <v>MICRO</v>
      </c>
    </row>
    <row r="714" ht="29.25" customHeight="1" outlineLevel="1" spans="1:19">
      <c r="B714" s="36">
        <f>'G MTTS'!B709</f>
        <v>0.215289351851852</v>
      </c>
      <c r="C714" s="48" t="str">
        <f>'G MTTS'!J709</f>
        <v>1K Plus</v>
      </c>
      <c r="D714" s="49" t="str">
        <f>'G MTTS'!M709</f>
        <v>Side Event</v>
      </c>
      <c r="E714" s="50" t="str">
        <f>'G MTTS'!N709</f>
        <v>NLH</v>
      </c>
      <c r="F714" s="51" t="str">
        <f>'G MTTS'!O709</f>
        <v>OFF</v>
      </c>
      <c r="G714" s="52">
        <f>IF('G MTTS'!Q709=0," ",'G MTTS'!Q709*$A$3)</f>
        <v>1000</v>
      </c>
      <c r="H714" s="53">
        <f>IF('G MTTS'!V709=0," ",'G MTTS'!V709*$A$3)</f>
        <v>10</v>
      </c>
      <c r="I714" s="53">
        <f>IF('G MTTS'!W709=0," ",'G MTTS'!W709*$A$3)</f>
        <v>10</v>
      </c>
      <c r="J714" s="53">
        <f>IF('G MTTS'!Z709=0," ",'G MTTS'!Z709*$A$3)</f>
        <v>10</v>
      </c>
      <c r="K714" s="54">
        <f>'G MTTS'!AF709</f>
        <v>30000</v>
      </c>
      <c r="L714" s="54">
        <f>'G MTTS'!X709</f>
        <v>0</v>
      </c>
      <c r="M714" s="54">
        <f>'G MTTS'!AA709</f>
        <v>75000</v>
      </c>
      <c r="N714" s="55">
        <f>'G MTTS'!AG709</f>
        <v>6</v>
      </c>
      <c r="O714" s="55">
        <f>'G MTTS'!AH709</f>
        <v>6</v>
      </c>
      <c r="P714" s="55">
        <f>'G MTTS'!AI709</f>
        <v>6</v>
      </c>
      <c r="Q714" s="56">
        <f>'G MTTS'!AJ709</f>
        <v>12</v>
      </c>
      <c r="R714" s="46">
        <f t="shared" si="65"/>
        <v>0.268761574074074</v>
      </c>
      <c r="S714" s="47" t="str">
        <f t="shared" si="67"/>
        <v>MICRO</v>
      </c>
    </row>
    <row r="715" ht="29.25" customHeight="1" outlineLevel="1" spans="1:19">
      <c r="A715" s="60" t="s">
        <v>523</v>
      </c>
      <c r="B715" s="36">
        <f>'G MTTS'!B710</f>
        <v>0.229178240740741</v>
      </c>
      <c r="C715" s="37" t="str">
        <f>'G MTTS'!J710</f>
        <v>300 Omax PKO</v>
      </c>
      <c r="D715" s="38" t="str">
        <f>'G MTTS'!M710</f>
        <v>Side Event</v>
      </c>
      <c r="E715" s="39" t="str">
        <f>'G MTTS'!N710</f>
        <v>PLO4</v>
      </c>
      <c r="F715" s="40" t="str">
        <f>'G MTTS'!O710</f>
        <v>Progressive KO 1/2</v>
      </c>
      <c r="G715" s="41">
        <f>IF('G MTTS'!Q710=0," ",'G MTTS'!Q710*$A$3)</f>
        <v>300</v>
      </c>
      <c r="H715" s="42">
        <f>IF('G MTTS'!V710=0," ",'G MTTS'!V710*$A$3)</f>
        <v>3</v>
      </c>
      <c r="I715" s="42">
        <f>IF('G MTTS'!W710=0," ",'G MTTS'!W710*$A$3)</f>
        <v>3</v>
      </c>
      <c r="J715" s="42" t="str">
        <f>IF('G MTTS'!Z710=0," ",'G MTTS'!Z710*$A$3)</f>
        <v> </v>
      </c>
      <c r="K715" s="43">
        <f>'G MTTS'!AF710</f>
        <v>50000</v>
      </c>
      <c r="L715" s="43">
        <f>'G MTTS'!X710</f>
        <v>0</v>
      </c>
      <c r="M715" s="43" t="str">
        <f>'G MTTS'!AA710</f>
        <v>REENTRY</v>
      </c>
      <c r="N715" s="44">
        <f>'G MTTS'!AG710</f>
        <v>6</v>
      </c>
      <c r="O715" s="44">
        <f>'G MTTS'!AH710</f>
        <v>5</v>
      </c>
      <c r="P715" s="44">
        <f>'G MTTS'!AI710</f>
        <v>5</v>
      </c>
      <c r="Q715" s="45">
        <f>'G MTTS'!AJ710</f>
        <v>15</v>
      </c>
      <c r="R715" s="46">
        <f t="shared" si="65"/>
        <v>0.295150462962963</v>
      </c>
      <c r="S715" s="47" t="str">
        <f t="shared" si="67"/>
        <v>MICRO</v>
      </c>
    </row>
    <row r="716" ht="29.25" customHeight="1" outlineLevel="1" spans="1:19">
      <c r="B716" s="36">
        <f>'G MTTS'!B711</f>
        <v>0.256956018518519</v>
      </c>
      <c r="C716" s="178" t="str">
        <f>'G MTTS'!J711</f>
        <v>600 Plus</v>
      </c>
      <c r="D716" s="49" t="str">
        <f>'G MTTS'!M711</f>
        <v>Side Event</v>
      </c>
      <c r="E716" s="50" t="str">
        <f>'G MTTS'!N711</f>
        <v>NLH</v>
      </c>
      <c r="F716" s="51" t="str">
        <f>'G MTTS'!O711</f>
        <v>OFF</v>
      </c>
      <c r="G716" s="52">
        <f>IF('G MTTS'!Q711=0," ",'G MTTS'!Q711*$A$3)</f>
        <v>600</v>
      </c>
      <c r="H716" s="53">
        <f>IF('G MTTS'!V711=0," ",'G MTTS'!V711*$A$3)</f>
        <v>5</v>
      </c>
      <c r="I716" s="53">
        <f>IF('G MTTS'!W711=0," ",'G MTTS'!W711*$A$3)</f>
        <v>5</v>
      </c>
      <c r="J716" s="53">
        <f>IF('G MTTS'!Z711=0," ",'G MTTS'!Z711*$A$3)</f>
        <v>5</v>
      </c>
      <c r="K716" s="54">
        <f>'G MTTS'!AF711</f>
        <v>30000</v>
      </c>
      <c r="L716" s="54">
        <f>'G MTTS'!X711</f>
        <v>0</v>
      </c>
      <c r="M716" s="54">
        <f>'G MTTS'!AA711</f>
        <v>75000</v>
      </c>
      <c r="N716" s="55">
        <f>'G MTTS'!AG711</f>
        <v>5</v>
      </c>
      <c r="O716" s="55">
        <f>'G MTTS'!AH711</f>
        <v>5</v>
      </c>
      <c r="P716" s="55">
        <f>'G MTTS'!AI711</f>
        <v>5</v>
      </c>
      <c r="Q716" s="56">
        <f>'G MTTS'!AJ711</f>
        <v>12</v>
      </c>
      <c r="R716" s="46">
        <f t="shared" si="65"/>
        <v>0.302094907407407</v>
      </c>
      <c r="S716" s="47" t="str">
        <f t="shared" si="67"/>
        <v>MICRO</v>
      </c>
    </row>
    <row r="717" ht="29.25" customHeight="1" outlineLevel="1" spans="1:19">
      <c r="B717" s="36">
        <f>'G MTTS'!B712</f>
        <v>0.298622685185185</v>
      </c>
      <c r="C717" s="179" t="str">
        <f>'G MTTS'!J712</f>
        <v>500 Omax</v>
      </c>
      <c r="D717" s="38" t="str">
        <f>'G MTTS'!M712</f>
        <v>Side Event</v>
      </c>
      <c r="E717" s="39" t="str">
        <f>'G MTTS'!N712</f>
        <v>PLO5</v>
      </c>
      <c r="F717" s="40" t="str">
        <f>'G MTTS'!O712</f>
        <v>OFF</v>
      </c>
      <c r="G717" s="41">
        <f>IF('G MTTS'!Q712=0," ",'G MTTS'!Q712*$A$3)</f>
        <v>500</v>
      </c>
      <c r="H717" s="42">
        <f>IF('G MTTS'!V712=0," ",'G MTTS'!V712*$A$3)</f>
        <v>5</v>
      </c>
      <c r="I717" s="42">
        <f>IF('G MTTS'!W712=0," ",'G MTTS'!W712*$A$3)</f>
        <v>5</v>
      </c>
      <c r="J717" s="42">
        <f>IF('G MTTS'!Z712=0," ",'G MTTS'!Z712*$A$3)</f>
        <v>5</v>
      </c>
      <c r="K717" s="43">
        <f>'G MTTS'!AF712</f>
        <v>30000</v>
      </c>
      <c r="L717" s="43">
        <f>'G MTTS'!X712</f>
        <v>0</v>
      </c>
      <c r="M717" s="43">
        <f>'G MTTS'!AA712</f>
        <v>75000</v>
      </c>
      <c r="N717" s="44">
        <f>'G MTTS'!AG712</f>
        <v>5</v>
      </c>
      <c r="O717" s="44">
        <f>'G MTTS'!AH712</f>
        <v>5</v>
      </c>
      <c r="P717" s="44">
        <f>'G MTTS'!AI712</f>
        <v>5</v>
      </c>
      <c r="Q717" s="45">
        <f>'G MTTS'!AJ712</f>
        <v>12</v>
      </c>
      <c r="R717" s="46">
        <f t="shared" si="65"/>
        <v>0.343761574074074</v>
      </c>
      <c r="S717" s="47" t="str">
        <f t="shared" si="67"/>
        <v>MICRO</v>
      </c>
    </row>
    <row r="718" ht="29.25" customHeight="1" outlineLevel="1" spans="1:19">
      <c r="A718" s="60" t="s">
        <v>523</v>
      </c>
      <c r="B718" s="36">
        <f>'G MTTS'!B713</f>
        <v>0.312511574074074</v>
      </c>
      <c r="C718" s="48" t="str">
        <f>'G MTTS'!J713</f>
        <v>500 Battle</v>
      </c>
      <c r="D718" s="49" t="str">
        <f>'G MTTS'!M713</f>
        <v>Side Event</v>
      </c>
      <c r="E718" s="50" t="str">
        <f>'G MTTS'!N713</f>
        <v>NLH</v>
      </c>
      <c r="F718" s="51" t="str">
        <f>'G MTTS'!O713</f>
        <v>Regular KO 1/3</v>
      </c>
      <c r="G718" s="52">
        <f>IF('G MTTS'!Q713=0," ",'G MTTS'!Q713*$A$3)</f>
        <v>500</v>
      </c>
      <c r="H718" s="53">
        <f>IF('G MTTS'!V713=0," ",'G MTTS'!V713*$A$3)</f>
        <v>5</v>
      </c>
      <c r="I718" s="53">
        <f>IF('G MTTS'!W713=0," ",'G MTTS'!W713*$A$3)</f>
        <v>5</v>
      </c>
      <c r="J718" s="53" t="str">
        <f>IF('G MTTS'!Z713=0," ",'G MTTS'!Z713*$A$3)</f>
        <v> </v>
      </c>
      <c r="K718" s="54">
        <f>'G MTTS'!AF713</f>
        <v>30000</v>
      </c>
      <c r="L718" s="54">
        <f>'G MTTS'!X713</f>
        <v>0</v>
      </c>
      <c r="M718" s="54" t="str">
        <f>'G MTTS'!AA713</f>
        <v>REENTRY</v>
      </c>
      <c r="N718" s="55">
        <f>'G MTTS'!AG713</f>
        <v>8</v>
      </c>
      <c r="O718" s="55">
        <f>'G MTTS'!AH713</f>
        <v>7</v>
      </c>
      <c r="P718" s="55">
        <f>'G MTTS'!AI713</f>
        <v>7</v>
      </c>
      <c r="Q718" s="56">
        <f>'G MTTS'!AJ713</f>
        <v>13</v>
      </c>
      <c r="R718" s="46">
        <f t="shared" si="65"/>
        <v>0.388206018518519</v>
      </c>
      <c r="S718" s="47" t="str">
        <f t="shared" si="67"/>
        <v>MICRO</v>
      </c>
    </row>
    <row r="719" ht="29.25" customHeight="1" outlineLevel="1" spans="1:19">
      <c r="B719" s="36">
        <f>'G MTTS'!B714</f>
        <v>0.322928240740741</v>
      </c>
      <c r="C719" s="37" t="str">
        <f>'G MTTS'!J714</f>
        <v>#AS 1.5K Omax PKO</v>
      </c>
      <c r="D719" s="38" t="str">
        <f>'G MTTS'!M714</f>
        <v>Side Event</v>
      </c>
      <c r="E719" s="39" t="str">
        <f>'G MTTS'!N714</f>
        <v>PLO4</v>
      </c>
      <c r="F719" s="40" t="str">
        <f>'G MTTS'!O714</f>
        <v>Progressive KO 1/2</v>
      </c>
      <c r="G719" s="41">
        <f>IF('G MTTS'!Q714=0," ",'G MTTS'!Q714*$A$3)</f>
        <v>1500</v>
      </c>
      <c r="H719" s="42">
        <f>IF('G MTTS'!V714=0," ",'G MTTS'!V714*$A$3)</f>
        <v>15</v>
      </c>
      <c r="I719" s="42">
        <f>IF('G MTTS'!W714=0," ",'G MTTS'!W714*$A$3)</f>
        <v>15</v>
      </c>
      <c r="J719" s="42" t="str">
        <f>IF('G MTTS'!Z714=0," ",'G MTTS'!Z714*$A$3)</f>
        <v> </v>
      </c>
      <c r="K719" s="43">
        <f>'G MTTS'!AF714</f>
        <v>40000</v>
      </c>
      <c r="L719" s="43">
        <f>'G MTTS'!X714</f>
        <v>0</v>
      </c>
      <c r="M719" s="43" t="str">
        <f>'G MTTS'!AA714</f>
        <v>REENTRY</v>
      </c>
      <c r="N719" s="44">
        <f>'G MTTS'!AG714</f>
        <v>10</v>
      </c>
      <c r="O719" s="44">
        <f>'G MTTS'!AH714</f>
        <v>8</v>
      </c>
      <c r="P719" s="44">
        <f>'G MTTS'!AI714</f>
        <v>8</v>
      </c>
      <c r="Q719" s="45">
        <f>'G MTTS'!AJ714</f>
        <v>14</v>
      </c>
      <c r="R719" s="46">
        <f t="shared" si="65"/>
        <v>0.427094907407407</v>
      </c>
      <c r="S719" s="47" t="str">
        <f t="shared" si="67"/>
        <v>MICRO</v>
      </c>
    </row>
    <row r="720" ht="29.25" customHeight="1" outlineLevel="1" spans="1:19">
      <c r="B720" s="36">
        <f>'G MTTS'!B715</f>
        <v>0.333344907407407</v>
      </c>
      <c r="C720" s="48" t="str">
        <f>'G MTTS'!J715</f>
        <v>#AS 2K Plus</v>
      </c>
      <c r="D720" s="49" t="str">
        <f>'G MTTS'!M715</f>
        <v>Side Event</v>
      </c>
      <c r="E720" s="50" t="str">
        <f>'G MTTS'!N715</f>
        <v>NLH</v>
      </c>
      <c r="F720" s="51" t="str">
        <f>'G MTTS'!O715</f>
        <v>OFF</v>
      </c>
      <c r="G720" s="52">
        <f>IF('G MTTS'!Q715=0," ",'G MTTS'!Q715*$A$3)</f>
        <v>2000</v>
      </c>
      <c r="H720" s="53">
        <f>IF('G MTTS'!V715=0," ",'G MTTS'!V715*$A$3)</f>
        <v>5</v>
      </c>
      <c r="I720" s="53">
        <f>IF('G MTTS'!W715=0," ",'G MTTS'!W715*$A$3)</f>
        <v>5</v>
      </c>
      <c r="J720" s="53">
        <f>IF('G MTTS'!Z715=0," ",'G MTTS'!Z715*$A$3)</f>
        <v>5</v>
      </c>
      <c r="K720" s="54">
        <f>'G MTTS'!AF715</f>
        <v>40000</v>
      </c>
      <c r="L720" s="54">
        <f>'G MTTS'!X715</f>
        <v>0</v>
      </c>
      <c r="M720" s="54">
        <f>'G MTTS'!AA715</f>
        <v>100000</v>
      </c>
      <c r="N720" s="55">
        <f>'G MTTS'!AG715</f>
        <v>8</v>
      </c>
      <c r="O720" s="55">
        <f>'G MTTS'!AH715</f>
        <v>7</v>
      </c>
      <c r="P720" s="55">
        <f>'G MTTS'!AI715</f>
        <v>7</v>
      </c>
      <c r="Q720" s="56">
        <f>'G MTTS'!AJ715</f>
        <v>15</v>
      </c>
      <c r="R720" s="46">
        <f t="shared" si="65"/>
        <v>0.423622685185185</v>
      </c>
      <c r="S720" s="47" t="str">
        <f t="shared" si="67"/>
        <v>MICRO</v>
      </c>
    </row>
    <row r="721" ht="29.25" customHeight="1" outlineLevel="1" spans="1:19">
      <c r="A721" s="60"/>
      <c r="B721" s="36">
        <f>'G MTTS'!B716</f>
        <v>0.375011574074074</v>
      </c>
      <c r="C721" s="37" t="str">
        <f>'G MTTS'!J716</f>
        <v>750 Bounty</v>
      </c>
      <c r="D721" s="38" t="str">
        <f>'G MTTS'!M716</f>
        <v>Side Event</v>
      </c>
      <c r="E721" s="39" t="str">
        <f>'G MTTS'!N716</f>
        <v>NLH</v>
      </c>
      <c r="F721" s="40" t="str">
        <f>'G MTTS'!O716</f>
        <v>Progressive KO 1/3</v>
      </c>
      <c r="G721" s="41">
        <f>IF('G MTTS'!Q716=0," ",'G MTTS'!Q716*$A$3)</f>
        <v>750</v>
      </c>
      <c r="H721" s="42">
        <f>IF('G MTTS'!V716=0," ",'G MTTS'!V716*$A$3)</f>
        <v>7.5</v>
      </c>
      <c r="I721" s="42">
        <f>IF('G MTTS'!W716=0," ",'G MTTS'!W716*$A$3)</f>
        <v>7.5</v>
      </c>
      <c r="J721" s="42" t="str">
        <f>IF('G MTTS'!Z716=0," ",'G MTTS'!Z716*$A$3)</f>
        <v> </v>
      </c>
      <c r="K721" s="43">
        <f>'G MTTS'!AF716</f>
        <v>50000</v>
      </c>
      <c r="L721" s="43">
        <f>'G MTTS'!X716</f>
        <v>60000</v>
      </c>
      <c r="M721" s="43" t="str">
        <f>'G MTTS'!AA716</f>
        <v>REENTRY</v>
      </c>
      <c r="N721" s="44">
        <f>'G MTTS'!AG716</f>
        <v>8</v>
      </c>
      <c r="O721" s="44">
        <f>'G MTTS'!AH716</f>
        <v>8</v>
      </c>
      <c r="P721" s="44">
        <f>'G MTTS'!AI716</f>
        <v>8</v>
      </c>
      <c r="Q721" s="45">
        <f>'G MTTS'!AJ716</f>
        <v>15</v>
      </c>
      <c r="R721" s="46">
        <f t="shared" si="65"/>
        <v>0.465289351851852</v>
      </c>
      <c r="S721" s="47" t="str">
        <f t="shared" si="67"/>
        <v>MICRO</v>
      </c>
    </row>
    <row r="722" ht="29.25" customHeight="1" outlineLevel="1" spans="1:19">
      <c r="B722" s="36">
        <f>'G MTTS'!B717</f>
        <v>0.375011574074074</v>
      </c>
      <c r="C722" s="48" t="str">
        <f>'G MTTS'!J717</f>
        <v>500 Omax</v>
      </c>
      <c r="D722" s="49" t="str">
        <f>'G MTTS'!M717</f>
        <v>Side Event</v>
      </c>
      <c r="E722" s="50" t="str">
        <f>'G MTTS'!N717</f>
        <v>PLO4</v>
      </c>
      <c r="F722" s="51" t="str">
        <f>'G MTTS'!O717</f>
        <v>OFF</v>
      </c>
      <c r="G722" s="52">
        <f>IF('G MTTS'!Q717=0," ",'G MTTS'!Q717*$A$3)</f>
        <v>500</v>
      </c>
      <c r="H722" s="53">
        <f>IF('G MTTS'!V717=0," ",'G MTTS'!V717*$A$3)</f>
        <v>5</v>
      </c>
      <c r="I722" s="53">
        <f>IF('G MTTS'!W717=0," ",'G MTTS'!W717*$A$3)</f>
        <v>5</v>
      </c>
      <c r="J722" s="53">
        <f>IF('G MTTS'!Z717=0," ",'G MTTS'!Z717*$A$3)</f>
        <v>5</v>
      </c>
      <c r="K722" s="54">
        <f>'G MTTS'!AF717</f>
        <v>30000</v>
      </c>
      <c r="L722" s="54">
        <f>'G MTTS'!X717</f>
        <v>0</v>
      </c>
      <c r="M722" s="54">
        <f>'G MTTS'!AA717</f>
        <v>75000</v>
      </c>
      <c r="N722" s="55">
        <f>'G MTTS'!AG717</f>
        <v>6</v>
      </c>
      <c r="O722" s="55">
        <f>'G MTTS'!AH717</f>
        <v>6</v>
      </c>
      <c r="P722" s="55">
        <f>'G MTTS'!AI717</f>
        <v>6</v>
      </c>
      <c r="Q722" s="56">
        <f>'G MTTS'!AJ717</f>
        <v>12</v>
      </c>
      <c r="R722" s="46">
        <f t="shared" si="65"/>
        <v>0.428483796296296</v>
      </c>
      <c r="S722" s="47" t="str">
        <f t="shared" si="67"/>
        <v>MICRO</v>
      </c>
    </row>
    <row r="723" ht="29.25" customHeight="1" outlineLevel="1" spans="1:19">
      <c r="A723" s="60" t="s">
        <v>523</v>
      </c>
      <c r="B723" s="36">
        <f>'G MTTS'!B718</f>
        <v>0.416678240740741</v>
      </c>
      <c r="C723" s="179" t="str">
        <f>'G MTTS'!J718</f>
        <v>#AS 4K Battle</v>
      </c>
      <c r="D723" s="38" t="str">
        <f>'G MTTS'!M718</f>
        <v>Side Event</v>
      </c>
      <c r="E723" s="39" t="str">
        <f>'G MTTS'!N718</f>
        <v>NLH</v>
      </c>
      <c r="F723" s="40" t="str">
        <f>'G MTTS'!O718</f>
        <v>Regular KO 1/2</v>
      </c>
      <c r="G723" s="41">
        <f>IF('G MTTS'!Q718=0," ",'G MTTS'!Q718*$A$3)</f>
        <v>4000</v>
      </c>
      <c r="H723" s="42">
        <f>IF('G MTTS'!V718=0," ",'G MTTS'!V718*$A$3)</f>
        <v>30</v>
      </c>
      <c r="I723" s="42">
        <f>IF('G MTTS'!W718=0," ",'G MTTS'!W718*$A$3)</f>
        <v>30</v>
      </c>
      <c r="J723" s="42" t="str">
        <f>IF('G MTTS'!Z718=0," ",'G MTTS'!Z718*$A$3)</f>
        <v> </v>
      </c>
      <c r="K723" s="43">
        <f>'G MTTS'!AF718</f>
        <v>40000</v>
      </c>
      <c r="L723" s="43">
        <f>'G MTTS'!X718</f>
        <v>0</v>
      </c>
      <c r="M723" s="43" t="str">
        <f>'G MTTS'!AA718</f>
        <v>REENTRY</v>
      </c>
      <c r="N723" s="44">
        <f>'G MTTS'!AG718</f>
        <v>10</v>
      </c>
      <c r="O723" s="44">
        <f>'G MTTS'!AH718</f>
        <v>8</v>
      </c>
      <c r="P723" s="44">
        <f>'G MTTS'!AI718</f>
        <v>8</v>
      </c>
      <c r="Q723" s="45">
        <f>'G MTTS'!AJ718</f>
        <v>14</v>
      </c>
      <c r="R723" s="46">
        <f t="shared" si="65"/>
        <v>0.520844907407407</v>
      </c>
      <c r="S723" s="47" t="str">
        <f t="shared" si="67"/>
        <v>LOW</v>
      </c>
    </row>
    <row r="724" ht="29.25" customHeight="1" outlineLevel="1" spans="1:19">
      <c r="B724" s="36">
        <f>'G MTTS'!B719</f>
        <v>0.416678240740741</v>
      </c>
      <c r="C724" s="178" t="str">
        <f>'G MTTS'!J719</f>
        <v>1K Plus</v>
      </c>
      <c r="D724" s="49" t="str">
        <f>'G MTTS'!M719</f>
        <v>Side Event</v>
      </c>
      <c r="E724" s="50" t="str">
        <f>'G MTTS'!N719</f>
        <v>NLH</v>
      </c>
      <c r="F724" s="51" t="str">
        <f>'G MTTS'!O719</f>
        <v>OFF</v>
      </c>
      <c r="G724" s="52">
        <f>IF('G MTTS'!Q719=0," ",'G MTTS'!Q719*$A$3)</f>
        <v>1000</v>
      </c>
      <c r="H724" s="53">
        <f>IF('G MTTS'!V719=0," ",'G MTTS'!V719*$A$3)</f>
        <v>2</v>
      </c>
      <c r="I724" s="53">
        <f>IF('G MTTS'!W719=0," ",'G MTTS'!W719*$A$3)</f>
        <v>2</v>
      </c>
      <c r="J724" s="53">
        <f>IF('G MTTS'!Z719=0," ",'G MTTS'!Z719*$A$3)</f>
        <v>3</v>
      </c>
      <c r="K724" s="54">
        <f>'G MTTS'!AF719</f>
        <v>40000</v>
      </c>
      <c r="L724" s="54">
        <f>'G MTTS'!X719</f>
        <v>0</v>
      </c>
      <c r="M724" s="54">
        <f>'G MTTS'!AA719</f>
        <v>80000</v>
      </c>
      <c r="N724" s="55">
        <f>'G MTTS'!AG719</f>
        <v>7</v>
      </c>
      <c r="O724" s="55">
        <f>'G MTTS'!AH719</f>
        <v>6</v>
      </c>
      <c r="P724" s="55">
        <f>'G MTTS'!AI719</f>
        <v>5</v>
      </c>
      <c r="Q724" s="56">
        <f>'G MTTS'!AJ719</f>
        <v>15</v>
      </c>
      <c r="R724" s="46">
        <f t="shared" si="65"/>
        <v>0.49306712962963</v>
      </c>
      <c r="S724" s="47" t="str">
        <f t="shared" si="67"/>
        <v>MICRO</v>
      </c>
    </row>
    <row r="725" ht="29.25" customHeight="1" outlineLevel="1" spans="1:19">
      <c r="B725" s="36">
        <f>'G MTTS'!B720</f>
        <v>0.416678240740741</v>
      </c>
      <c r="C725" s="179" t="str">
        <f>'G MTTS'!J720</f>
        <v>#AS 3K Plus</v>
      </c>
      <c r="D725" s="38" t="str">
        <f>'G MTTS'!M720</f>
        <v>Side Event</v>
      </c>
      <c r="E725" s="39" t="str">
        <f>'G MTTS'!N720</f>
        <v>NLH</v>
      </c>
      <c r="F725" s="40" t="str">
        <f>'G MTTS'!O720</f>
        <v>OFF</v>
      </c>
      <c r="G725" s="41">
        <f>IF('G MTTS'!Q720=0," ",'G MTTS'!Q720*$A$3)</f>
        <v>3000</v>
      </c>
      <c r="H725" s="42">
        <f>IF('G MTTS'!V720=0," ",'G MTTS'!V720*$A$3)</f>
        <v>8</v>
      </c>
      <c r="I725" s="42">
        <f>IF('G MTTS'!W720=0," ",'G MTTS'!W720*$A$3)</f>
        <v>8</v>
      </c>
      <c r="J725" s="42">
        <f>IF('G MTTS'!Z720=0," ",'G MTTS'!Z720*$A$3)</f>
        <v>8</v>
      </c>
      <c r="K725" s="43">
        <f>'G MTTS'!AF720</f>
        <v>40000</v>
      </c>
      <c r="L725" s="43">
        <f>'G MTTS'!X720</f>
        <v>0</v>
      </c>
      <c r="M725" s="43">
        <f>'G MTTS'!AA720</f>
        <v>160000</v>
      </c>
      <c r="N725" s="44">
        <f>'G MTTS'!AG720</f>
        <v>8</v>
      </c>
      <c r="O725" s="44">
        <f>'G MTTS'!AH720</f>
        <v>7</v>
      </c>
      <c r="P725" s="44">
        <f>'G MTTS'!AI720</f>
        <v>7</v>
      </c>
      <c r="Q725" s="45">
        <f>'G MTTS'!AJ720</f>
        <v>15</v>
      </c>
      <c r="R725" s="46">
        <f t="shared" si="65"/>
        <v>0.506956018518518</v>
      </c>
      <c r="S725" s="47" t="str">
        <f t="shared" si="67"/>
        <v>MICRO</v>
      </c>
    </row>
    <row r="726" ht="29.25" customHeight="1" outlineLevel="1" spans="1:19">
      <c r="A726" s="60" t="s">
        <v>523</v>
      </c>
      <c r="B726" s="36">
        <f>'G MTTS'!B721</f>
        <v>0.437511574074074</v>
      </c>
      <c r="C726" s="178" t="str">
        <f>'G MTTS'!J721</f>
        <v>#AS 2K Omax</v>
      </c>
      <c r="D726" s="49" t="str">
        <f>'G MTTS'!M721</f>
        <v>Side Event</v>
      </c>
      <c r="E726" s="50" t="str">
        <f>'G MTTS'!N721</f>
        <v>PLO5</v>
      </c>
      <c r="F726" s="51" t="str">
        <f>'G MTTS'!O721</f>
        <v>OFF</v>
      </c>
      <c r="G726" s="52">
        <f>IF('G MTTS'!Q721=0," ",'G MTTS'!Q721*$A$3)</f>
        <v>2000</v>
      </c>
      <c r="H726" s="53">
        <f>IF('G MTTS'!V721=0," ",'G MTTS'!V721*$A$3)</f>
        <v>15</v>
      </c>
      <c r="I726" s="53">
        <f>IF('G MTTS'!W721=0," ",'G MTTS'!W721*$A$3)</f>
        <v>15</v>
      </c>
      <c r="J726" s="53">
        <f>IF('G MTTS'!Z721=0," ",'G MTTS'!Z721*$A$3)</f>
        <v>15</v>
      </c>
      <c r="K726" s="54">
        <f>'G MTTS'!AF721</f>
        <v>40000</v>
      </c>
      <c r="L726" s="54">
        <f>'G MTTS'!X721</f>
        <v>0</v>
      </c>
      <c r="M726" s="54">
        <f>'G MTTS'!AA721</f>
        <v>80000</v>
      </c>
      <c r="N726" s="55">
        <f>'G MTTS'!AG721</f>
        <v>8</v>
      </c>
      <c r="O726" s="55">
        <f>'G MTTS'!AH721</f>
        <v>7</v>
      </c>
      <c r="P726" s="55">
        <f>'G MTTS'!AI721</f>
        <v>7</v>
      </c>
      <c r="Q726" s="56">
        <f>'G MTTS'!AJ721</f>
        <v>13</v>
      </c>
      <c r="R726" s="46">
        <f t="shared" si="65"/>
        <v>0.513206018518519</v>
      </c>
      <c r="S726" s="47" t="str">
        <f t="shared" si="67"/>
        <v>MICRO</v>
      </c>
    </row>
    <row r="727" ht="29.25" customHeight="1" outlineLevel="1" spans="1:19">
      <c r="B727" s="36">
        <f>'G MTTS'!B722</f>
        <v>0.437511574074074</v>
      </c>
      <c r="C727" s="179" t="str">
        <f>'G MTTS'!J722</f>
        <v>300 Battle</v>
      </c>
      <c r="D727" s="38" t="str">
        <f>'G MTTS'!M722</f>
        <v>Side Event</v>
      </c>
      <c r="E727" s="39" t="str">
        <f>'G MTTS'!N722</f>
        <v>NLH</v>
      </c>
      <c r="F727" s="40" t="str">
        <f>'G MTTS'!O722</f>
        <v>Regular KO 1/3</v>
      </c>
      <c r="G727" s="41">
        <f>IF('G MTTS'!Q722=0," ",'G MTTS'!Q722*$A$3)</f>
        <v>300</v>
      </c>
      <c r="H727" s="42">
        <f>IF('G MTTS'!V722=0," ",'G MTTS'!V722*$A$3)</f>
        <v>2</v>
      </c>
      <c r="I727" s="42">
        <f>IF('G MTTS'!W722=0," ",'G MTTS'!W722*$A$3)</f>
        <v>2</v>
      </c>
      <c r="J727" s="42" t="str">
        <f>IF('G MTTS'!Z722=0," ",'G MTTS'!Z722*$A$3)</f>
        <v> </v>
      </c>
      <c r="K727" s="43">
        <f>'G MTTS'!AF722</f>
        <v>40000</v>
      </c>
      <c r="L727" s="43">
        <f>'G MTTS'!X722</f>
        <v>0</v>
      </c>
      <c r="M727" s="43" t="str">
        <f>'G MTTS'!AA722</f>
        <v>REENTRY</v>
      </c>
      <c r="N727" s="44">
        <f>'G MTTS'!AG722</f>
        <v>7</v>
      </c>
      <c r="O727" s="44">
        <f>'G MTTS'!AH722</f>
        <v>6</v>
      </c>
      <c r="P727" s="44">
        <f>'G MTTS'!AI722</f>
        <v>6</v>
      </c>
      <c r="Q727" s="45">
        <f>'G MTTS'!AJ722</f>
        <v>12</v>
      </c>
      <c r="R727" s="46">
        <f t="shared" si="65"/>
        <v>0.49931712962963</v>
      </c>
      <c r="S727" s="47" t="str">
        <f t="shared" si="67"/>
        <v>MICRO</v>
      </c>
    </row>
    <row r="728" ht="29.25" customHeight="1" outlineLevel="1" spans="1:19">
      <c r="B728" s="36">
        <f>'G MTTS'!B723</f>
        <v>0.458344907407407</v>
      </c>
      <c r="C728" s="178" t="str">
        <f>'G MTTS'!J723</f>
        <v>#AS 15K Plus+SPS</v>
      </c>
      <c r="D728" s="49" t="str">
        <f>'G MTTS'!M723</f>
        <v>Side Event</v>
      </c>
      <c r="E728" s="50" t="str">
        <f>'G MTTS'!N723</f>
        <v>NLH</v>
      </c>
      <c r="F728" s="51" t="str">
        <f>'G MTTS'!O723</f>
        <v>OFF</v>
      </c>
      <c r="G728" s="52">
        <f>IF('G MTTS'!Q723=0," ",'G MTTS'!Q723*$A$3)</f>
        <v>16000</v>
      </c>
      <c r="H728" s="53">
        <f>IF('G MTTS'!V723=0," ",'G MTTS'!V723*$A$3)</f>
        <v>15</v>
      </c>
      <c r="I728" s="53">
        <f>IF('G MTTS'!W723=0," ",'G MTTS'!W723*$A$3)</f>
        <v>15</v>
      </c>
      <c r="J728" s="53">
        <f>IF('G MTTS'!Z723=0," ",'G MTTS'!Z723*$A$3)</f>
        <v>20</v>
      </c>
      <c r="K728" s="54">
        <f>'G MTTS'!AF723</f>
        <v>40000</v>
      </c>
      <c r="L728" s="54">
        <f>'G MTTS'!X723</f>
        <v>0</v>
      </c>
      <c r="M728" s="54">
        <f>'G MTTS'!AA723</f>
        <v>160000</v>
      </c>
      <c r="N728" s="55">
        <f>'G MTTS'!AG723</f>
        <v>10</v>
      </c>
      <c r="O728" s="55">
        <f>'G MTTS'!AH723</f>
        <v>8</v>
      </c>
      <c r="P728" s="55">
        <f>'G MTTS'!AI723</f>
        <v>8</v>
      </c>
      <c r="Q728" s="56">
        <f>'G MTTS'!AJ723</f>
        <v>15</v>
      </c>
      <c r="R728" s="46">
        <f t="shared" si="65"/>
        <v>0.569456018518518</v>
      </c>
      <c r="S728" s="47" t="str">
        <f t="shared" si="67"/>
        <v>MICRO</v>
      </c>
    </row>
    <row r="729" ht="29.25" customHeight="1" outlineLevel="1" spans="1:19">
      <c r="A729" s="60" t="s">
        <v>523</v>
      </c>
      <c r="B729" s="36">
        <f>'G MTTS'!B724</f>
        <v>0.458344907407407</v>
      </c>
      <c r="C729" s="179" t="str">
        <f>'G MTTS'!J724</f>
        <v>600 Omax</v>
      </c>
      <c r="D729" s="38" t="str">
        <f>'G MTTS'!M724</f>
        <v>Side Event</v>
      </c>
      <c r="E729" s="39" t="str">
        <f>'G MTTS'!N724</f>
        <v>PLO4</v>
      </c>
      <c r="F729" s="40" t="str">
        <f>'G MTTS'!O724</f>
        <v>OFF</v>
      </c>
      <c r="G729" s="41">
        <f>IF('G MTTS'!Q724=0," ",'G MTTS'!Q724*$A$3)</f>
        <v>600</v>
      </c>
      <c r="H729" s="42">
        <f>IF('G MTTS'!V724=0," ",'G MTTS'!V724*$A$3)</f>
        <v>4</v>
      </c>
      <c r="I729" s="42">
        <f>IF('G MTTS'!W724=0," ",'G MTTS'!W724*$A$3)</f>
        <v>4</v>
      </c>
      <c r="J729" s="42">
        <f>IF('G MTTS'!Z724=0," ",'G MTTS'!Z724*$A$3)</f>
        <v>4</v>
      </c>
      <c r="K729" s="43">
        <f>'G MTTS'!AF724</f>
        <v>40000</v>
      </c>
      <c r="L729" s="43">
        <f>'G MTTS'!X724</f>
        <v>0</v>
      </c>
      <c r="M729" s="43">
        <f>'G MTTS'!AA724</f>
        <v>80000</v>
      </c>
      <c r="N729" s="44">
        <f>'G MTTS'!AG724</f>
        <v>8</v>
      </c>
      <c r="O729" s="44">
        <f>'G MTTS'!AH724</f>
        <v>7</v>
      </c>
      <c r="P729" s="44">
        <f>'G MTTS'!AI724</f>
        <v>7</v>
      </c>
      <c r="Q729" s="45">
        <f>'G MTTS'!AJ724</f>
        <v>12</v>
      </c>
      <c r="R729" s="46">
        <f t="shared" si="65"/>
        <v>0.528483796296296</v>
      </c>
      <c r="S729" s="47" t="str">
        <f t="shared" si="67"/>
        <v>MICRO</v>
      </c>
    </row>
    <row r="730" ht="29.25" customHeight="1" outlineLevel="1" spans="1:19">
      <c r="B730" s="36">
        <f>'G MTTS'!B725</f>
        <v>0.458344907407407</v>
      </c>
      <c r="C730" s="178" t="str">
        <f>'G MTTS'!J725</f>
        <v>Sit&amp;go 200p max.</v>
      </c>
      <c r="D730" s="49" t="str">
        <f>'G MTTS'!M725</f>
        <v>Side Event</v>
      </c>
      <c r="E730" s="50" t="str">
        <f>'G MTTS'!N725</f>
        <v>NLH</v>
      </c>
      <c r="F730" s="51" t="str">
        <f>'G MTTS'!O725</f>
        <v>OFF</v>
      </c>
      <c r="G730" s="52">
        <f>IF('G MTTS'!Q725=0," ",'G MTTS'!Q725*$A$3)</f>
        <v>150</v>
      </c>
      <c r="H730" s="53">
        <f>IF('G MTTS'!V725=0," ",'G MTTS'!V725*$A$3)</f>
        <v>3</v>
      </c>
      <c r="I730" s="53">
        <f>IF('G MTTS'!W725=0," ",'G MTTS'!W725*$A$3)</f>
        <v>3</v>
      </c>
      <c r="J730" s="53">
        <f>IF('G MTTS'!Z725=0," ",'G MTTS'!Z725*$A$3)</f>
        <v>3</v>
      </c>
      <c r="K730" s="54">
        <f>'G MTTS'!AF725</f>
        <v>20000</v>
      </c>
      <c r="L730" s="54">
        <f>'G MTTS'!X725</f>
        <v>0</v>
      </c>
      <c r="M730" s="54">
        <f>'G MTTS'!AA725</f>
        <v>30000</v>
      </c>
      <c r="N730" s="55">
        <f>'G MTTS'!AG725</f>
        <v>5</v>
      </c>
      <c r="O730" s="55">
        <f>'G MTTS'!AH725</f>
        <v>5</v>
      </c>
      <c r="P730" s="55">
        <f>'G MTTS'!AI725</f>
        <v>5</v>
      </c>
      <c r="Q730" s="56">
        <f>'G MTTS'!AJ725</f>
        <v>15</v>
      </c>
      <c r="R730" s="46">
        <f t="shared" si="65"/>
        <v>0.513900462962963</v>
      </c>
      <c r="S730" s="47" t="str">
        <f t="shared" si="67"/>
        <v>MICRO</v>
      </c>
    </row>
    <row r="731" ht="29.25" customHeight="1" outlineLevel="1" spans="1:19">
      <c r="B731" s="36">
        <f>'G MTTS'!B726</f>
        <v>0.500011574074074</v>
      </c>
      <c r="C731" s="179" t="str">
        <f>'G MTTS'!J726</f>
        <v>#AS 3K Big Mystery</v>
      </c>
      <c r="D731" s="38" t="str">
        <f>'G MTTS'!M726</f>
        <v>Side Event</v>
      </c>
      <c r="E731" s="39" t="str">
        <f>'G MTTS'!N726</f>
        <v>NLH</v>
      </c>
      <c r="F731" s="40" t="str">
        <f>'G MTTS'!O726</f>
        <v>Mystery Bounty 1/2</v>
      </c>
      <c r="G731" s="41">
        <f>IF('G MTTS'!Q726=0," ",'G MTTS'!Q726*$A$3)</f>
        <v>3000</v>
      </c>
      <c r="H731" s="42">
        <f>IF('G MTTS'!V726=0," ",'G MTTS'!V726*$A$3)</f>
        <v>10</v>
      </c>
      <c r="I731" s="42">
        <f>IF('G MTTS'!W726=0," ",'G MTTS'!W726*$A$3)</f>
        <v>10</v>
      </c>
      <c r="J731" s="42" t="str">
        <f>IF('G MTTS'!Z726=0," ",'G MTTS'!Z726*$A$3)</f>
        <v> </v>
      </c>
      <c r="K731" s="43">
        <f>'G MTTS'!AF726</f>
        <v>60000</v>
      </c>
      <c r="L731" s="43">
        <f>'G MTTS'!X726</f>
        <v>0</v>
      </c>
      <c r="M731" s="43" t="str">
        <f>'G MTTS'!AA726</f>
        <v>REENTRY</v>
      </c>
      <c r="N731" s="44">
        <f>'G MTTS'!AG726</f>
        <v>10</v>
      </c>
      <c r="O731" s="44">
        <f>'G MTTS'!AH726</f>
        <v>8</v>
      </c>
      <c r="P731" s="44">
        <f>'G MTTS'!AI726</f>
        <v>8</v>
      </c>
      <c r="Q731" s="45">
        <f>'G MTTS'!AJ726</f>
        <v>14</v>
      </c>
      <c r="R731" s="46">
        <f t="shared" si="65"/>
        <v>0.604178240740741</v>
      </c>
      <c r="S731" s="47" t="str">
        <f t="shared" si="67"/>
        <v>MICRO</v>
      </c>
    </row>
    <row r="732" ht="29.25" customHeight="1" outlineLevel="1" spans="1:19">
      <c r="A732" s="60" t="s">
        <v>523</v>
      </c>
      <c r="B732" s="36">
        <f>'G MTTS'!B727</f>
        <v>0.500011574074074</v>
      </c>
      <c r="C732" s="178" t="str">
        <f>'G MTTS'!J727</f>
        <v>1.5K Plus+SPS</v>
      </c>
      <c r="D732" s="49" t="str">
        <f>'G MTTS'!M727</f>
        <v>Side Event</v>
      </c>
      <c r="E732" s="50" t="str">
        <f>'G MTTS'!N727</f>
        <v>NLH</v>
      </c>
      <c r="F732" s="51" t="str">
        <f>'G MTTS'!O727</f>
        <v>OFF</v>
      </c>
      <c r="G732" s="52">
        <f>IF('G MTTS'!Q727=0," ",'G MTTS'!Q727*$A$3)</f>
        <v>1650</v>
      </c>
      <c r="H732" s="53">
        <f>IF('G MTTS'!V727=0," ",'G MTTS'!V727*$A$3)</f>
        <v>3</v>
      </c>
      <c r="I732" s="53">
        <f>IF('G MTTS'!W727=0," ",'G MTTS'!W727*$A$3)</f>
        <v>3</v>
      </c>
      <c r="J732" s="53">
        <f>IF('G MTTS'!Z727=0," ",'G MTTS'!Z727*$A$3)</f>
        <v>3</v>
      </c>
      <c r="K732" s="54">
        <f>'G MTTS'!AF727</f>
        <v>40000</v>
      </c>
      <c r="L732" s="54">
        <f>'G MTTS'!X727</f>
        <v>0</v>
      </c>
      <c r="M732" s="54">
        <f>'G MTTS'!AA727</f>
        <v>100000</v>
      </c>
      <c r="N732" s="55">
        <f>'G MTTS'!AG727</f>
        <v>7</v>
      </c>
      <c r="O732" s="55">
        <f>'G MTTS'!AH727</f>
        <v>6</v>
      </c>
      <c r="P732" s="55">
        <f>'G MTTS'!AI727</f>
        <v>7</v>
      </c>
      <c r="Q732" s="56">
        <f>'G MTTS'!AJ727</f>
        <v>15</v>
      </c>
      <c r="R732" s="46">
        <f t="shared" si="65"/>
        <v>0.576400462962963</v>
      </c>
      <c r="S732" s="47" t="str">
        <f t="shared" si="67"/>
        <v>MICRO</v>
      </c>
    </row>
    <row r="733" ht="29.25" customHeight="1" outlineLevel="1" spans="1:19">
      <c r="B733" s="36">
        <f>'G MTTS'!B728</f>
        <v>0.500011574074074</v>
      </c>
      <c r="C733" s="179" t="str">
        <f>'G MTTS'!J728</f>
        <v>#AS 5K Reentry</v>
      </c>
      <c r="D733" s="38" t="str">
        <f>'G MTTS'!M728</f>
        <v>Side Event</v>
      </c>
      <c r="E733" s="39" t="str">
        <f>'G MTTS'!N728</f>
        <v>NLH</v>
      </c>
      <c r="F733" s="40" t="str">
        <f>'G MTTS'!O728</f>
        <v>OFF</v>
      </c>
      <c r="G733" s="41">
        <f>IF('G MTTS'!Q728=0," ",'G MTTS'!Q728*$A$3)</f>
        <v>5000</v>
      </c>
      <c r="H733" s="42">
        <f>IF('G MTTS'!V728=0," ",'G MTTS'!V728*$A$3)</f>
        <v>75</v>
      </c>
      <c r="I733" s="42">
        <f>IF('G MTTS'!W728=0," ",'G MTTS'!W728*$A$3)</f>
        <v>75</v>
      </c>
      <c r="J733" s="42" t="str">
        <f>IF('G MTTS'!Z728=0," ",'G MTTS'!Z728*$A$3)</f>
        <v> </v>
      </c>
      <c r="K733" s="43">
        <f>'G MTTS'!AF728</f>
        <v>80000</v>
      </c>
      <c r="L733" s="43">
        <f>'G MTTS'!X728</f>
        <v>0</v>
      </c>
      <c r="M733" s="43" t="str">
        <f>'G MTTS'!AA728</f>
        <v>REENTRY</v>
      </c>
      <c r="N733" s="44">
        <f>'G MTTS'!AG728</f>
        <v>10</v>
      </c>
      <c r="O733" s="44">
        <f>'G MTTS'!AH728</f>
        <v>10</v>
      </c>
      <c r="P733" s="44">
        <f>'G MTTS'!AI728</f>
        <v>10</v>
      </c>
      <c r="Q733" s="45">
        <f>'G MTTS'!AJ728</f>
        <v>15</v>
      </c>
      <c r="R733" s="46">
        <f t="shared" si="65"/>
        <v>0.611122685185185</v>
      </c>
      <c r="S733" s="47" t="str">
        <f t="shared" si="67"/>
        <v>LOW</v>
      </c>
    </row>
    <row r="734" ht="29.25" customHeight="1" outlineLevel="1" spans="1:19">
      <c r="B734" s="36">
        <f>'G MTTS'!B729</f>
        <v>0.520844907407407</v>
      </c>
      <c r="C734" s="178" t="str">
        <f>'G MTTS'!J729</f>
        <v>#AS 5K Omax PKO</v>
      </c>
      <c r="D734" s="49" t="str">
        <f>'G MTTS'!M729</f>
        <v>Side Event</v>
      </c>
      <c r="E734" s="50" t="str">
        <f>'G MTTS'!N729</f>
        <v>PLO4</v>
      </c>
      <c r="F734" s="51" t="str">
        <f>'G MTTS'!O729</f>
        <v>Progressive KO 1/2</v>
      </c>
      <c r="G734" s="52">
        <f>IF('G MTTS'!Q729=0," ",'G MTTS'!Q729*$A$3)</f>
        <v>5000</v>
      </c>
      <c r="H734" s="53">
        <f>IF('G MTTS'!V729=0," ",'G MTTS'!V729*$A$3)</f>
        <v>55</v>
      </c>
      <c r="I734" s="53">
        <f>IF('G MTTS'!W729=0," ",'G MTTS'!W729*$A$3)</f>
        <v>55</v>
      </c>
      <c r="J734" s="53" t="str">
        <f>IF('G MTTS'!Z729=0," ",'G MTTS'!Z729*$A$3)</f>
        <v> </v>
      </c>
      <c r="K734" s="54">
        <f>'G MTTS'!AF729</f>
        <v>80000</v>
      </c>
      <c r="L734" s="54">
        <f>'G MTTS'!X729</f>
        <v>0</v>
      </c>
      <c r="M734" s="54" t="str">
        <f>'G MTTS'!AA729</f>
        <v>REENTRY</v>
      </c>
      <c r="N734" s="55">
        <f>'G MTTS'!AG729</f>
        <v>10</v>
      </c>
      <c r="O734" s="55">
        <f>'G MTTS'!AH729</f>
        <v>10</v>
      </c>
      <c r="P734" s="55">
        <f>'G MTTS'!AI729</f>
        <v>10</v>
      </c>
      <c r="Q734" s="56">
        <f>'G MTTS'!AJ729</f>
        <v>15</v>
      </c>
      <c r="R734" s="46">
        <f t="shared" si="65"/>
        <v>0.631956018518518</v>
      </c>
      <c r="S734" s="47" t="str">
        <f t="shared" si="67"/>
        <v>LOW</v>
      </c>
    </row>
    <row r="735" ht="29.25" customHeight="1" outlineLevel="1" spans="1:19">
      <c r="A735" s="60"/>
      <c r="B735" s="36">
        <f>'G MTTS'!B730</f>
        <v>0.541678240740741</v>
      </c>
      <c r="C735" s="179" t="str">
        <f>'G MTTS'!J730</f>
        <v>#AS 8K Battle</v>
      </c>
      <c r="D735" s="38" t="str">
        <f>'G MTTS'!M730</f>
        <v>Side Event</v>
      </c>
      <c r="E735" s="39" t="str">
        <f>'G MTTS'!N730</f>
        <v>NLH</v>
      </c>
      <c r="F735" s="40" t="str">
        <f>'G MTTS'!O730</f>
        <v>Regular KO 1/2</v>
      </c>
      <c r="G735" s="41">
        <f>IF('G MTTS'!Q730=0," ",'G MTTS'!Q730*$A$3)</f>
        <v>8000</v>
      </c>
      <c r="H735" s="42">
        <f>IF('G MTTS'!V730=0," ",'G MTTS'!V730*$A$3)</f>
        <v>25</v>
      </c>
      <c r="I735" s="42">
        <f>IF('G MTTS'!W730=0," ",'G MTTS'!W730*$A$3)</f>
        <v>25</v>
      </c>
      <c r="J735" s="42" t="str">
        <f>IF('G MTTS'!Z730=0," ",'G MTTS'!Z730*$A$3)</f>
        <v> </v>
      </c>
      <c r="K735" s="43">
        <f>'G MTTS'!AF730</f>
        <v>80000</v>
      </c>
      <c r="L735" s="43">
        <f>'G MTTS'!X730</f>
        <v>0</v>
      </c>
      <c r="M735" s="43" t="str">
        <f>'G MTTS'!AA730</f>
        <v>REENTRY</v>
      </c>
      <c r="N735" s="44">
        <f>'G MTTS'!AG730</f>
        <v>10</v>
      </c>
      <c r="O735" s="44">
        <f>'G MTTS'!AH730</f>
        <v>8</v>
      </c>
      <c r="P735" s="44">
        <f>'G MTTS'!AI730</f>
        <v>10</v>
      </c>
      <c r="Q735" s="45">
        <f>'G MTTS'!AJ730</f>
        <v>15</v>
      </c>
      <c r="R735" s="46">
        <f t="shared" si="65"/>
        <v>0.652789351851852</v>
      </c>
      <c r="S735" s="47" t="str">
        <f t="shared" si="67"/>
        <v>MICRO</v>
      </c>
    </row>
    <row r="736" ht="29.25" customHeight="1" outlineLevel="1" spans="1:19">
      <c r="B736" s="36">
        <f>'G MTTS'!B731</f>
        <v>0.552094907407407</v>
      </c>
      <c r="C736" s="178" t="str">
        <f>'G MTTS'!J731</f>
        <v>#AS 3.5K Freeze</v>
      </c>
      <c r="D736" s="49" t="str">
        <f>'G MTTS'!M731</f>
        <v>Side Event</v>
      </c>
      <c r="E736" s="50" t="str">
        <f>'G MTTS'!N731</f>
        <v>NLH</v>
      </c>
      <c r="F736" s="51" t="str">
        <f>'G MTTS'!O731</f>
        <v>OFF</v>
      </c>
      <c r="G736" s="52">
        <f>IF('G MTTS'!Q731=0," ",'G MTTS'!Q731*$A$3)</f>
        <v>3500</v>
      </c>
      <c r="H736" s="53">
        <f>IF('G MTTS'!V731=0," ",'G MTTS'!V731*$A$3)</f>
        <v>35</v>
      </c>
      <c r="I736" s="53" t="str">
        <f>IF('G MTTS'!W731=0," ",'G MTTS'!W731*$A$3)</f>
        <v> </v>
      </c>
      <c r="J736" s="53" t="str">
        <f>IF('G MTTS'!Z731=0," ",'G MTTS'!Z731*$A$3)</f>
        <v> </v>
      </c>
      <c r="K736" s="54">
        <f>'G MTTS'!AF731</f>
        <v>40000</v>
      </c>
      <c r="L736" s="54">
        <f>'G MTTS'!X731</f>
        <v>0</v>
      </c>
      <c r="M736" s="54" t="str">
        <f>'G MTTS'!AA731</f>
        <v>FREEZE</v>
      </c>
      <c r="N736" s="55">
        <f>'G MTTS'!AG731</f>
        <v>10</v>
      </c>
      <c r="O736" s="55">
        <f>'G MTTS'!AH731</f>
        <v>10</v>
      </c>
      <c r="P736" s="55">
        <f>'G MTTS'!AI731</f>
        <v>10</v>
      </c>
      <c r="Q736" s="56">
        <f>'G MTTS'!AJ731</f>
        <v>14</v>
      </c>
      <c r="R736" s="46">
        <f t="shared" si="65"/>
        <v>0.656261574074074</v>
      </c>
      <c r="S736" s="47" t="str">
        <f t="shared" si="67"/>
        <v>LOW</v>
      </c>
    </row>
    <row r="737" ht="29.25" customHeight="1" outlineLevel="1" spans="1:19">
      <c r="A737" s="60" t="s">
        <v>523</v>
      </c>
      <c r="B737" s="36">
        <f>'G MTTS'!B732</f>
        <v>0.55556712962963</v>
      </c>
      <c r="C737" s="179" t="str">
        <f>'G MTTS'!J732</f>
        <v>1K Plus</v>
      </c>
      <c r="D737" s="38" t="str">
        <f>'G MTTS'!M732</f>
        <v>Side Event</v>
      </c>
      <c r="E737" s="39" t="str">
        <f>'G MTTS'!N732</f>
        <v>NLH</v>
      </c>
      <c r="F737" s="40" t="str">
        <f>'G MTTS'!O732</f>
        <v>OFF</v>
      </c>
      <c r="G737" s="41">
        <f>IF('G MTTS'!Q732=0," ",'G MTTS'!Q732*$A$3)</f>
        <v>1000</v>
      </c>
      <c r="H737" s="42">
        <f>IF('G MTTS'!V732=0," ",'G MTTS'!V732*$A$3)</f>
        <v>1</v>
      </c>
      <c r="I737" s="42">
        <f>IF('G MTTS'!W732=0," ",'G MTTS'!W732*$A$3)</f>
        <v>2</v>
      </c>
      <c r="J737" s="42">
        <f>IF('G MTTS'!Z732=0," ",'G MTTS'!Z732*$A$3)</f>
        <v>4</v>
      </c>
      <c r="K737" s="43">
        <f>'G MTTS'!AF732</f>
        <v>40000</v>
      </c>
      <c r="L737" s="43">
        <f>'G MTTS'!X732</f>
        <v>0</v>
      </c>
      <c r="M737" s="43">
        <f>'G MTTS'!AA732</f>
        <v>100000</v>
      </c>
      <c r="N737" s="44">
        <f>'G MTTS'!AG732</f>
        <v>7</v>
      </c>
      <c r="O737" s="44">
        <f>'G MTTS'!AH732</f>
        <v>6</v>
      </c>
      <c r="P737" s="44">
        <f>'G MTTS'!AI732</f>
        <v>6</v>
      </c>
      <c r="Q737" s="45">
        <f>'G MTTS'!AJ732</f>
        <v>15</v>
      </c>
      <c r="R737" s="46">
        <f t="shared" si="65"/>
        <v>0.631956018518518</v>
      </c>
      <c r="S737" s="47" t="str">
        <f t="shared" si="67"/>
        <v>MICRO</v>
      </c>
    </row>
    <row r="738" ht="29.25" customHeight="1" outlineLevel="1" spans="1:19">
      <c r="B738" s="36">
        <f>'G MTTS'!B733</f>
        <v>0.562511574074074</v>
      </c>
      <c r="C738" s="178" t="str">
        <f>'G MTTS'!J733</f>
        <v>#AS 2K Omax PKO</v>
      </c>
      <c r="D738" s="49" t="str">
        <f>'G MTTS'!M733</f>
        <v>Side Event</v>
      </c>
      <c r="E738" s="50" t="str">
        <f>'G MTTS'!N733</f>
        <v>PLO6</v>
      </c>
      <c r="F738" s="51" t="str">
        <f>'G MTTS'!O733</f>
        <v>Progressive KO 1/2</v>
      </c>
      <c r="G738" s="52">
        <f>IF('G MTTS'!Q733=0," ",'G MTTS'!Q733*$A$3)</f>
        <v>2000</v>
      </c>
      <c r="H738" s="53">
        <f>IF('G MTTS'!V733=0," ",'G MTTS'!V733*$A$3)</f>
        <v>10</v>
      </c>
      <c r="I738" s="53">
        <f>IF('G MTTS'!W733=0," ",'G MTTS'!W733*$A$3)</f>
        <v>10</v>
      </c>
      <c r="J738" s="53" t="str">
        <f>IF('G MTTS'!Z733=0," ",'G MTTS'!Z733*$A$3)</f>
        <v> </v>
      </c>
      <c r="K738" s="54">
        <f>'G MTTS'!AF733</f>
        <v>50000</v>
      </c>
      <c r="L738" s="54">
        <f>'G MTTS'!X733</f>
        <v>0</v>
      </c>
      <c r="M738" s="54" t="str">
        <f>'G MTTS'!AA733</f>
        <v>REENTRY</v>
      </c>
      <c r="N738" s="55">
        <f>'G MTTS'!AG733</f>
        <v>8</v>
      </c>
      <c r="O738" s="55">
        <f>'G MTTS'!AH733</f>
        <v>7</v>
      </c>
      <c r="P738" s="55">
        <f>'G MTTS'!AI733</f>
        <v>6</v>
      </c>
      <c r="Q738" s="56">
        <f>'G MTTS'!AJ733</f>
        <v>15</v>
      </c>
      <c r="R738" s="46">
        <f t="shared" si="65"/>
        <v>0.652789351851852</v>
      </c>
      <c r="S738" s="47" t="str">
        <f t="shared" si="67"/>
        <v>MICRO</v>
      </c>
    </row>
    <row r="739" ht="29.25" customHeight="1" outlineLevel="1" spans="1:19">
      <c r="A739" s="60" t="s">
        <v>523</v>
      </c>
      <c r="B739" s="36">
        <f>'G MTTS'!B734</f>
        <v>0.583344907407407</v>
      </c>
      <c r="C739" s="179" t="str">
        <f>'G MTTS'!J734</f>
        <v>#AS 7.5K Mini Plus+SPS</v>
      </c>
      <c r="D739" s="38" t="str">
        <f>'G MTTS'!M734</f>
        <v>Side Event</v>
      </c>
      <c r="E739" s="39" t="str">
        <f>'G MTTS'!N734</f>
        <v>NLH</v>
      </c>
      <c r="F739" s="40" t="str">
        <f>'G MTTS'!O734</f>
        <v>OFF</v>
      </c>
      <c r="G739" s="41">
        <f>IF('G MTTS'!Q734=0," ",'G MTTS'!Q734*$A$3)</f>
        <v>8500</v>
      </c>
      <c r="H739" s="42">
        <f>IF('G MTTS'!V734=0," ",'G MTTS'!V734*$A$3)</f>
        <v>5</v>
      </c>
      <c r="I739" s="42">
        <f>IF('G MTTS'!W734=0," ",'G MTTS'!W734*$A$3)</f>
        <v>5</v>
      </c>
      <c r="J739" s="42">
        <f>IF('G MTTS'!Z734=0," ",'G MTTS'!Z734*$A$3)</f>
        <v>5</v>
      </c>
      <c r="K739" s="43">
        <f>'G MTTS'!AF734</f>
        <v>40000</v>
      </c>
      <c r="L739" s="43">
        <f>'G MTTS'!X734</f>
        <v>0</v>
      </c>
      <c r="M739" s="43">
        <f>'G MTTS'!AA734</f>
        <v>160000</v>
      </c>
      <c r="N739" s="44">
        <f>'G MTTS'!AG734</f>
        <v>8</v>
      </c>
      <c r="O739" s="44">
        <f>'G MTTS'!AH734</f>
        <v>7</v>
      </c>
      <c r="P739" s="44">
        <f>'G MTTS'!AI734</f>
        <v>8</v>
      </c>
      <c r="Q739" s="45">
        <f>'G MTTS'!AJ734</f>
        <v>15</v>
      </c>
      <c r="R739" s="46">
        <f t="shared" si="65"/>
        <v>0.673622685185185</v>
      </c>
      <c r="S739" s="47" t="str">
        <f t="shared" si="67"/>
        <v>MICRO</v>
      </c>
    </row>
    <row r="740" ht="29.25" customHeight="1" outlineLevel="1" spans="1:19">
      <c r="B740" s="36">
        <f>'G MTTS'!B735</f>
        <v>0.593761574074074</v>
      </c>
      <c r="C740" s="178" t="str">
        <f>'G MTTS'!J735</f>
        <v>Sit&amp;go 200p max.</v>
      </c>
      <c r="D740" s="49" t="str">
        <f>'G MTTS'!M735</f>
        <v>Side Event</v>
      </c>
      <c r="E740" s="50" t="str">
        <f>'G MTTS'!N735</f>
        <v>NLH</v>
      </c>
      <c r="F740" s="51" t="str">
        <f>'G MTTS'!O735</f>
        <v>OFF</v>
      </c>
      <c r="G740" s="52">
        <f>IF('G MTTS'!Q735=0," ",'G MTTS'!Q735*$A$3)</f>
        <v>200</v>
      </c>
      <c r="H740" s="53">
        <f>IF('G MTTS'!V735=0," ",'G MTTS'!V735*$A$3)</f>
        <v>3</v>
      </c>
      <c r="I740" s="53">
        <f>IF('G MTTS'!W735=0," ",'G MTTS'!W735*$A$3)</f>
        <v>3</v>
      </c>
      <c r="J740" s="53">
        <f>IF('G MTTS'!Z735=0," ",'G MTTS'!Z735*$A$3)</f>
        <v>3</v>
      </c>
      <c r="K740" s="54">
        <f>'G MTTS'!AF735</f>
        <v>20000</v>
      </c>
      <c r="L740" s="54">
        <f>'G MTTS'!X735</f>
        <v>0</v>
      </c>
      <c r="M740" s="54">
        <f>'G MTTS'!AA735</f>
        <v>30000</v>
      </c>
      <c r="N740" s="55">
        <f>'G MTTS'!AG735</f>
        <v>5</v>
      </c>
      <c r="O740" s="55">
        <f>'G MTTS'!AH735</f>
        <v>5</v>
      </c>
      <c r="P740" s="55">
        <f>'G MTTS'!AI735</f>
        <v>5</v>
      </c>
      <c r="Q740" s="56">
        <f>'G MTTS'!AJ735</f>
        <v>15</v>
      </c>
      <c r="R740" s="46">
        <f t="shared" si="65"/>
        <v>0.64931712962963</v>
      </c>
      <c r="S740" s="47" t="str">
        <f t="shared" si="67"/>
        <v>MICRO</v>
      </c>
    </row>
    <row r="741" ht="29.25" customHeight="1" outlineLevel="1" spans="1:19">
      <c r="B741" s="36">
        <f>'G MTTS'!B736</f>
        <v>0.645844907407407</v>
      </c>
      <c r="C741" s="179" t="str">
        <f>'G MTTS'!J736</f>
        <v>1K Battle PKO</v>
      </c>
      <c r="D741" s="38" t="str">
        <f>'G MTTS'!M736</f>
        <v>Side Event</v>
      </c>
      <c r="E741" s="39" t="str">
        <f>'G MTTS'!N736</f>
        <v>NLH</v>
      </c>
      <c r="F741" s="40" t="str">
        <f>'G MTTS'!O736</f>
        <v>Progressive KO 1/2</v>
      </c>
      <c r="G741" s="41">
        <f>IF('G MTTS'!Q736=0," ",'G MTTS'!Q736*$A$3)</f>
        <v>1000</v>
      </c>
      <c r="H741" s="42">
        <f>IF('G MTTS'!V736=0," ",'G MTTS'!V736*$A$3)</f>
        <v>5</v>
      </c>
      <c r="I741" s="42">
        <f>IF('G MTTS'!W736=0," ",'G MTTS'!W736*$A$3)</f>
        <v>5</v>
      </c>
      <c r="J741" s="42" t="str">
        <f>IF('G MTTS'!Z736=0," ",'G MTTS'!Z736*$A$3)</f>
        <v> </v>
      </c>
      <c r="K741" s="43">
        <f>'G MTTS'!AF736</f>
        <v>50000</v>
      </c>
      <c r="L741" s="43">
        <f>'G MTTS'!X736</f>
        <v>0</v>
      </c>
      <c r="M741" s="43" t="str">
        <f>'G MTTS'!AA736</f>
        <v>REENTRY</v>
      </c>
      <c r="N741" s="44">
        <f>'G MTTS'!AG736</f>
        <v>7</v>
      </c>
      <c r="O741" s="44">
        <f>'G MTTS'!AH736</f>
        <v>6</v>
      </c>
      <c r="P741" s="44">
        <f>'G MTTS'!AI736</f>
        <v>6</v>
      </c>
      <c r="Q741" s="45">
        <f>'G MTTS'!AJ736</f>
        <v>15</v>
      </c>
      <c r="R741" s="46">
        <f t="shared" si="65"/>
        <v>0.722233796296296</v>
      </c>
      <c r="S741" s="47" t="str">
        <f t="shared" si="67"/>
        <v>MICRO</v>
      </c>
    </row>
    <row r="742" ht="29.25" customHeight="1" outlineLevel="1" spans="1:19">
      <c r="A742" s="60" t="s">
        <v>523</v>
      </c>
      <c r="B742" s="36">
        <f>'G MTTS'!B737</f>
        <v>0.666678240740741</v>
      </c>
      <c r="C742" s="178" t="str">
        <f>'G MTTS'!J737</f>
        <v>#AS 5K Bounty</v>
      </c>
      <c r="D742" s="49" t="str">
        <f>'G MTTS'!M737</f>
        <v>Side Event</v>
      </c>
      <c r="E742" s="50" t="str">
        <f>'G MTTS'!N737</f>
        <v>NLH</v>
      </c>
      <c r="F742" s="51" t="str">
        <f>'G MTTS'!O737</f>
        <v>Progressive KO 1/2</v>
      </c>
      <c r="G742" s="52">
        <f>IF('G MTTS'!Q737=0," ",'G MTTS'!Q737*$A$3)</f>
        <v>5000</v>
      </c>
      <c r="H742" s="53">
        <f>IF('G MTTS'!V737=0," ",'G MTTS'!V737*$A$3)</f>
        <v>30</v>
      </c>
      <c r="I742" s="53">
        <f>IF('G MTTS'!W737=0," ",'G MTTS'!W737*$A$3)</f>
        <v>30</v>
      </c>
      <c r="J742" s="53" t="str">
        <f>IF('G MTTS'!Z737=0," ",'G MTTS'!Z737*$A$3)</f>
        <v> </v>
      </c>
      <c r="K742" s="54">
        <f>'G MTTS'!AF737</f>
        <v>80000</v>
      </c>
      <c r="L742" s="54">
        <f>'G MTTS'!X737</f>
        <v>0</v>
      </c>
      <c r="M742" s="54" t="str">
        <f>'G MTTS'!AA737</f>
        <v>REENTRY</v>
      </c>
      <c r="N742" s="55">
        <f>'G MTTS'!AG737</f>
        <v>10</v>
      </c>
      <c r="O742" s="55">
        <f>'G MTTS'!AH737</f>
        <v>8</v>
      </c>
      <c r="P742" s="55">
        <f>'G MTTS'!AI737</f>
        <v>10</v>
      </c>
      <c r="Q742" s="56">
        <f>'G MTTS'!AJ737</f>
        <v>15</v>
      </c>
      <c r="R742" s="46">
        <f t="shared" si="65"/>
        <v>0.777789351851852</v>
      </c>
      <c r="S742" s="47" t="str">
        <f t="shared" si="67"/>
        <v>LOW</v>
      </c>
    </row>
    <row r="743" ht="29.25" customHeight="1" outlineLevel="1" spans="1:19">
      <c r="B743" s="36">
        <f>'G MTTS'!B738</f>
        <v>0.666678240740741</v>
      </c>
      <c r="C743" s="179" t="str">
        <f>'G MTTS'!J738</f>
        <v>500 Omax</v>
      </c>
      <c r="D743" s="38" t="str">
        <f>'G MTTS'!M738</f>
        <v>Side Event</v>
      </c>
      <c r="E743" s="39" t="str">
        <f>'G MTTS'!N738</f>
        <v>PLO4</v>
      </c>
      <c r="F743" s="40" t="str">
        <f>'G MTTS'!O738</f>
        <v>OFF</v>
      </c>
      <c r="G743" s="41">
        <f>IF('G MTTS'!Q738=0," ",'G MTTS'!Q738*$A$3)</f>
        <v>500</v>
      </c>
      <c r="H743" s="42">
        <f>IF('G MTTS'!V738=0," ",'G MTTS'!V738*$A$3)</f>
        <v>4</v>
      </c>
      <c r="I743" s="42">
        <f>IF('G MTTS'!W738=0," ",'G MTTS'!W738*$A$3)</f>
        <v>4</v>
      </c>
      <c r="J743" s="42">
        <f>IF('G MTTS'!Z738=0," ",'G MTTS'!Z738*$A$3)</f>
        <v>4</v>
      </c>
      <c r="K743" s="43">
        <f>'G MTTS'!AF738</f>
        <v>40000</v>
      </c>
      <c r="L743" s="43">
        <f>'G MTTS'!X738</f>
        <v>0</v>
      </c>
      <c r="M743" s="43">
        <f>'G MTTS'!AA738</f>
        <v>80000</v>
      </c>
      <c r="N743" s="44">
        <f>'G MTTS'!AG738</f>
        <v>8</v>
      </c>
      <c r="O743" s="44">
        <f>'G MTTS'!AH738</f>
        <v>7</v>
      </c>
      <c r="P743" s="44">
        <f>'G MTTS'!AI738</f>
        <v>7</v>
      </c>
      <c r="Q743" s="45">
        <f>'G MTTS'!AJ738</f>
        <v>12</v>
      </c>
      <c r="R743" s="46">
        <f t="shared" si="65"/>
        <v>0.73681712962963</v>
      </c>
      <c r="S743" s="47" t="str">
        <f t="shared" si="67"/>
        <v>MICRO</v>
      </c>
    </row>
    <row r="744" ht="29.25" customHeight="1" outlineLevel="1" spans="1:19">
      <c r="B744" s="36">
        <f>'G MTTS'!B739</f>
        <v>0.666678240740741</v>
      </c>
      <c r="C744" s="178" t="str">
        <f>'G MTTS'!J739</f>
        <v>1.5K Plus+SPS</v>
      </c>
      <c r="D744" s="49" t="str">
        <f>'G MTTS'!M739</f>
        <v>Side Event</v>
      </c>
      <c r="E744" s="50" t="str">
        <f>'G MTTS'!N739</f>
        <v>NLH</v>
      </c>
      <c r="F744" s="51" t="str">
        <f>'G MTTS'!O739</f>
        <v>OFF</v>
      </c>
      <c r="G744" s="52">
        <f>IF('G MTTS'!Q739=0," ",'G MTTS'!Q739*$A$3)</f>
        <v>1650</v>
      </c>
      <c r="H744" s="53">
        <f>IF('G MTTS'!V739=0," ",'G MTTS'!V739*$A$3)</f>
        <v>2</v>
      </c>
      <c r="I744" s="53">
        <f>IF('G MTTS'!W739=0," ",'G MTTS'!W739*$A$3)</f>
        <v>2</v>
      </c>
      <c r="J744" s="53">
        <f>IF('G MTTS'!Z739=0," ",'G MTTS'!Z739*$A$3)</f>
        <v>3</v>
      </c>
      <c r="K744" s="54">
        <f>'G MTTS'!AF739</f>
        <v>20000</v>
      </c>
      <c r="L744" s="54">
        <f>'G MTTS'!X739</f>
        <v>0</v>
      </c>
      <c r="M744" s="54">
        <f>'G MTTS'!AA739</f>
        <v>40000</v>
      </c>
      <c r="N744" s="55">
        <f>'G MTTS'!AG739</f>
        <v>8</v>
      </c>
      <c r="O744" s="55">
        <f>'G MTTS'!AH739</f>
        <v>7</v>
      </c>
      <c r="P744" s="55">
        <f>'G MTTS'!AI739</f>
        <v>7</v>
      </c>
      <c r="Q744" s="56">
        <f>'G MTTS'!AJ739</f>
        <v>12</v>
      </c>
      <c r="R744" s="46">
        <f t="shared" si="65"/>
        <v>0.73681712962963</v>
      </c>
      <c r="S744" s="47" t="str">
        <f t="shared" si="67"/>
        <v>MICRO</v>
      </c>
    </row>
    <row r="745" ht="29.25" customHeight="1" outlineLevel="1" spans="1:19">
      <c r="A745" s="60" t="s">
        <v>523</v>
      </c>
      <c r="B745" s="36">
        <f>'G MTTS'!B740</f>
        <v>0.666678240740741</v>
      </c>
      <c r="C745" s="179" t="str">
        <f>'G MTTS'!J740</f>
        <v>#AS 5K Omax PKO</v>
      </c>
      <c r="D745" s="38" t="str">
        <f>'G MTTS'!M740</f>
        <v>Side Event</v>
      </c>
      <c r="E745" s="39" t="str">
        <f>'G MTTS'!N740</f>
        <v>PLO5</v>
      </c>
      <c r="F745" s="40" t="str">
        <f>'G MTTS'!O740</f>
        <v>Progressive KO 1/2</v>
      </c>
      <c r="G745" s="41">
        <f>IF('G MTTS'!Q740=0," ",'G MTTS'!Q740*$A$3)</f>
        <v>5000</v>
      </c>
      <c r="H745" s="42">
        <f>IF('G MTTS'!V740=0," ",'G MTTS'!V740*$A$3)</f>
        <v>60</v>
      </c>
      <c r="I745" s="42">
        <f>IF('G MTTS'!W740=0," ",'G MTTS'!W740*$A$3)</f>
        <v>60</v>
      </c>
      <c r="J745" s="42" t="str">
        <f>IF('G MTTS'!Z740=0," ",'G MTTS'!Z740*$A$3)</f>
        <v> </v>
      </c>
      <c r="K745" s="43">
        <f>'G MTTS'!AF740</f>
        <v>50000</v>
      </c>
      <c r="L745" s="43">
        <f>'G MTTS'!X740</f>
        <v>0</v>
      </c>
      <c r="M745" s="43" t="str">
        <f>'G MTTS'!AA740</f>
        <v>REENTRY</v>
      </c>
      <c r="N745" s="44">
        <f>'G MTTS'!AG740</f>
        <v>10</v>
      </c>
      <c r="O745" s="44">
        <f>'G MTTS'!AH740</f>
        <v>10</v>
      </c>
      <c r="P745" s="44">
        <f>'G MTTS'!AI740</f>
        <v>10</v>
      </c>
      <c r="Q745" s="45">
        <f>'G MTTS'!AJ740</f>
        <v>14</v>
      </c>
      <c r="R745" s="46">
        <f t="shared" si="65"/>
        <v>0.770844907407407</v>
      </c>
      <c r="S745" s="47" t="str">
        <f t="shared" si="67"/>
        <v>LOW</v>
      </c>
    </row>
    <row r="746" ht="29.25" customHeight="1" outlineLevel="1" spans="1:19">
      <c r="B746" s="36">
        <f>'G MTTS'!B741</f>
        <v>0.708344907407407</v>
      </c>
      <c r="C746" s="178" t="str">
        <f>'G MTTS'!J741</f>
        <v>800 Battle</v>
      </c>
      <c r="D746" s="49" t="str">
        <f>'G MTTS'!M741</f>
        <v>Side Event</v>
      </c>
      <c r="E746" s="50" t="str">
        <f>'G MTTS'!N741</f>
        <v>NLH</v>
      </c>
      <c r="F746" s="51" t="str">
        <f>'G MTTS'!O741</f>
        <v>Regular KO 1/3</v>
      </c>
      <c r="G746" s="52">
        <f>IF('G MTTS'!Q741=0," ",'G MTTS'!Q741*$A$3)</f>
        <v>800</v>
      </c>
      <c r="H746" s="53">
        <f>IF('G MTTS'!V741=0," ",'G MTTS'!V741*$A$3)</f>
        <v>10</v>
      </c>
      <c r="I746" s="53">
        <f>IF('G MTTS'!W741=0," ",'G MTTS'!W741*$A$3)</f>
        <v>10</v>
      </c>
      <c r="J746" s="53" t="str">
        <f>IF('G MTTS'!Z741=0," ",'G MTTS'!Z741*$A$3)</f>
        <v> </v>
      </c>
      <c r="K746" s="54">
        <f>'G MTTS'!AF741</f>
        <v>30000</v>
      </c>
      <c r="L746" s="54">
        <f>'G MTTS'!X741</f>
        <v>0</v>
      </c>
      <c r="M746" s="54" t="str">
        <f>'G MTTS'!AA741</f>
        <v>REENTRY</v>
      </c>
      <c r="N746" s="55">
        <f>'G MTTS'!AG741</f>
        <v>10</v>
      </c>
      <c r="O746" s="55">
        <f>'G MTTS'!AH741</f>
        <v>8</v>
      </c>
      <c r="P746" s="55">
        <f>'G MTTS'!AI741</f>
        <v>8</v>
      </c>
      <c r="Q746" s="56">
        <f>'G MTTS'!AJ741</f>
        <v>13</v>
      </c>
      <c r="R746" s="46">
        <f t="shared" si="65"/>
        <v>0.80556712962963</v>
      </c>
      <c r="S746" s="47" t="str">
        <f t="shared" si="67"/>
        <v>MICRO</v>
      </c>
    </row>
    <row r="747" ht="29.25" customHeight="1" outlineLevel="1" spans="1:19">
      <c r="A747" s="60" t="s">
        <v>523</v>
      </c>
      <c r="B747" s="36">
        <f>'G MTTS'!B742</f>
        <v>0.708344907407407</v>
      </c>
      <c r="C747" s="179" t="str">
        <f>'G MTTS'!J742</f>
        <v>Sit&amp;go 200p max.</v>
      </c>
      <c r="D747" s="38" t="str">
        <f>'G MTTS'!M742</f>
        <v>Side Event</v>
      </c>
      <c r="E747" s="39" t="str">
        <f>'G MTTS'!N742</f>
        <v>NLH</v>
      </c>
      <c r="F747" s="40" t="str">
        <f>'G MTTS'!O742</f>
        <v>OFF</v>
      </c>
      <c r="G747" s="41">
        <f>IF('G MTTS'!Q742=0," ",'G MTTS'!Q742*$A$3)</f>
        <v>200</v>
      </c>
      <c r="H747" s="42">
        <f>IF('G MTTS'!V742=0," ",'G MTTS'!V742*$A$3)</f>
        <v>3</v>
      </c>
      <c r="I747" s="42">
        <f>IF('G MTTS'!W742=0," ",'G MTTS'!W742*$A$3)</f>
        <v>3</v>
      </c>
      <c r="J747" s="42">
        <f>IF('G MTTS'!Z742=0," ",'G MTTS'!Z742*$A$3)</f>
        <v>3</v>
      </c>
      <c r="K747" s="43">
        <f>'G MTTS'!AF742</f>
        <v>20000</v>
      </c>
      <c r="L747" s="43">
        <f>'G MTTS'!X742</f>
        <v>0</v>
      </c>
      <c r="M747" s="43">
        <f>'G MTTS'!AA742</f>
        <v>30000</v>
      </c>
      <c r="N747" s="44">
        <f>'G MTTS'!AG742</f>
        <v>5</v>
      </c>
      <c r="O747" s="44">
        <f>'G MTTS'!AH742</f>
        <v>5</v>
      </c>
      <c r="P747" s="44">
        <f>'G MTTS'!AI742</f>
        <v>5</v>
      </c>
      <c r="Q747" s="45">
        <f>'G MTTS'!AJ742</f>
        <v>15</v>
      </c>
      <c r="R747" s="46">
        <f t="shared" si="65"/>
        <v>0.763900462962963</v>
      </c>
      <c r="S747" s="47" t="str">
        <f t="shared" si="67"/>
        <v>MICRO</v>
      </c>
    </row>
    <row r="748" ht="29.25" customHeight="1" outlineLevel="1" spans="1:19">
      <c r="B748" s="36">
        <f>'G MTTS'!B743</f>
        <v>0.708344907407407</v>
      </c>
      <c r="C748" s="178" t="str">
        <f>'G MTTS'!J743</f>
        <v>1K Omax PKO</v>
      </c>
      <c r="D748" s="49" t="str">
        <f>'G MTTS'!M743</f>
        <v>Side Event</v>
      </c>
      <c r="E748" s="50" t="str">
        <f>'G MTTS'!N743</f>
        <v>PLO6</v>
      </c>
      <c r="F748" s="51" t="str">
        <f>'G MTTS'!O743</f>
        <v>Progressive KO 1/3</v>
      </c>
      <c r="G748" s="52">
        <f>IF('G MTTS'!Q743=0," ",'G MTTS'!Q743*$A$3)</f>
        <v>1000</v>
      </c>
      <c r="H748" s="53">
        <f>IF('G MTTS'!V743=0," ",'G MTTS'!V743*$A$3)</f>
        <v>5</v>
      </c>
      <c r="I748" s="53">
        <f>IF('G MTTS'!W743=0," ",'G MTTS'!W743*$A$3)</f>
        <v>5</v>
      </c>
      <c r="J748" s="53" t="str">
        <f>IF('G MTTS'!Z743=0," ",'G MTTS'!Z743*$A$3)</f>
        <v> </v>
      </c>
      <c r="K748" s="54">
        <f>'G MTTS'!AF743</f>
        <v>50000</v>
      </c>
      <c r="L748" s="54">
        <f>'G MTTS'!X743</f>
        <v>0</v>
      </c>
      <c r="M748" s="54" t="str">
        <f>'G MTTS'!AA743</f>
        <v>REENTRY</v>
      </c>
      <c r="N748" s="55">
        <f>'G MTTS'!AG743</f>
        <v>8</v>
      </c>
      <c r="O748" s="55">
        <f>'G MTTS'!AH743</f>
        <v>7</v>
      </c>
      <c r="P748" s="55">
        <f>'G MTTS'!AI743</f>
        <v>6</v>
      </c>
      <c r="Q748" s="56">
        <f>'G MTTS'!AJ743</f>
        <v>15</v>
      </c>
      <c r="R748" s="46">
        <f t="shared" si="65"/>
        <v>0.798622685185185</v>
      </c>
      <c r="S748" s="47" t="str">
        <f t="shared" si="67"/>
        <v>MICRO</v>
      </c>
    </row>
    <row r="749" ht="29.25" customHeight="1" outlineLevel="1" spans="1:19">
      <c r="B749" s="36">
        <f>'G MTTS'!B744</f>
        <v>0.729178240740741</v>
      </c>
      <c r="C749" s="179" t="str">
        <f>'G MTTS'!J744</f>
        <v>Start Free</v>
      </c>
      <c r="D749" s="38" t="str">
        <f>'G MTTS'!M744</f>
        <v>Side Event</v>
      </c>
      <c r="E749" s="39" t="str">
        <f>'G MTTS'!N744</f>
        <v>PLO5</v>
      </c>
      <c r="F749" s="40" t="str">
        <f>'G MTTS'!O744</f>
        <v>OFF</v>
      </c>
      <c r="G749" s="41">
        <f>IF('G MTTS'!Q744=0," ",'G MTTS'!Q744*$A$3)</f>
        <v>500</v>
      </c>
      <c r="H749" s="42" t="str">
        <f>IF('G MTTS'!V744=0," ",'G MTTS'!V744*$A$3)</f>
        <v> </v>
      </c>
      <c r="I749" s="42">
        <f>IF('G MTTS'!W744=0," ",'G MTTS'!W744*$A$3)</f>
        <v>3</v>
      </c>
      <c r="J749" s="42">
        <f>IF('G MTTS'!Z744=0," ",'G MTTS'!Z744*$A$3)</f>
        <v>5</v>
      </c>
      <c r="K749" s="43">
        <f>'G MTTS'!AF744</f>
        <v>15000</v>
      </c>
      <c r="L749" s="43">
        <f>'G MTTS'!X744</f>
        <v>30000</v>
      </c>
      <c r="M749" s="43">
        <f>'G MTTS'!AA744</f>
        <v>60000</v>
      </c>
      <c r="N749" s="44">
        <f>'G MTTS'!AG744</f>
        <v>6</v>
      </c>
      <c r="O749" s="44">
        <f>'G MTTS'!AH744</f>
        <v>5</v>
      </c>
      <c r="P749" s="44">
        <f>'G MTTS'!AI744</f>
        <v>4</v>
      </c>
      <c r="Q749" s="45">
        <f>'G MTTS'!AJ744</f>
        <v>15</v>
      </c>
      <c r="R749" s="46">
        <f t="shared" si="65"/>
        <v>0.795150462962963</v>
      </c>
      <c r="S749" s="47" t="str">
        <f t="shared" si="67"/>
        <v>SUPER HIGH</v>
      </c>
    </row>
    <row r="750" ht="29.25" customHeight="1" outlineLevel="1" spans="1:19">
      <c r="A750" s="60" t="s">
        <v>523</v>
      </c>
      <c r="B750" s="36">
        <f>'G MTTS'!B745</f>
        <v>0.770844907407407</v>
      </c>
      <c r="C750" s="178" t="str">
        <f>'G MTTS'!J745</f>
        <v>#AS 7K Mini Plus+SPS</v>
      </c>
      <c r="D750" s="49" t="str">
        <f>'G MTTS'!M745</f>
        <v>Side Event</v>
      </c>
      <c r="E750" s="50" t="str">
        <f>'G MTTS'!N745</f>
        <v>NLH</v>
      </c>
      <c r="F750" s="51" t="str">
        <f>'G MTTS'!O745</f>
        <v>OFF</v>
      </c>
      <c r="G750" s="52">
        <f>IF('G MTTS'!Q745=0," ",'G MTTS'!Q745*$A$3)</f>
        <v>8000</v>
      </c>
      <c r="H750" s="53">
        <f>IF('G MTTS'!V745=0," ",'G MTTS'!V745*$A$3)</f>
        <v>3</v>
      </c>
      <c r="I750" s="53">
        <f>IF('G MTTS'!W745=0," ",'G MTTS'!W745*$A$3)</f>
        <v>3</v>
      </c>
      <c r="J750" s="53">
        <f>IF('G MTTS'!Z745=0," ",'G MTTS'!Z745*$A$3)</f>
        <v>3</v>
      </c>
      <c r="K750" s="54">
        <f>'G MTTS'!AF745</f>
        <v>40000</v>
      </c>
      <c r="L750" s="54">
        <f>'G MTTS'!X745</f>
        <v>0</v>
      </c>
      <c r="M750" s="54">
        <f>'G MTTS'!AA745</f>
        <v>160000</v>
      </c>
      <c r="N750" s="55">
        <f>'G MTTS'!AG745</f>
        <v>8</v>
      </c>
      <c r="O750" s="55">
        <f>'G MTTS'!AH745</f>
        <v>7</v>
      </c>
      <c r="P750" s="55">
        <f>'G MTTS'!AI745</f>
        <v>8</v>
      </c>
      <c r="Q750" s="56">
        <f>'G MTTS'!AJ745</f>
        <v>15</v>
      </c>
      <c r="R750" s="46">
        <f t="shared" si="65"/>
        <v>0.861122685185185</v>
      </c>
      <c r="S750" s="47" t="str">
        <f t="shared" si="67"/>
        <v>MICRO</v>
      </c>
    </row>
    <row r="751" ht="29.25" customHeight="1" outlineLevel="1" spans="1:19">
      <c r="B751" s="36">
        <f>'G MTTS'!B746</f>
        <v>0.791678240740741</v>
      </c>
      <c r="C751" s="179" t="str">
        <f>'G MTTS'!J746</f>
        <v>#AS 12K OmaX PKO</v>
      </c>
      <c r="D751" s="38" t="str">
        <f>'G MTTS'!M746</f>
        <v>Side Event</v>
      </c>
      <c r="E751" s="39" t="str">
        <f>'G MTTS'!N746</f>
        <v>PLO5</v>
      </c>
      <c r="F751" s="40" t="str">
        <f>'G MTTS'!O746</f>
        <v>Progressive KO 1/2</v>
      </c>
      <c r="G751" s="41">
        <f>IF('G MTTS'!Q746=0," ",'G MTTS'!Q746*$A$3)</f>
        <v>12000</v>
      </c>
      <c r="H751" s="42">
        <f>IF('G MTTS'!V746=0," ",'G MTTS'!V746*$A$3)</f>
        <v>75</v>
      </c>
      <c r="I751" s="42">
        <f>IF('G MTTS'!W746=0," ",'G MTTS'!W746*$A$3)</f>
        <v>75</v>
      </c>
      <c r="J751" s="42" t="str">
        <f>IF('G MTTS'!Z746=0," ",'G MTTS'!Z746*$A$3)</f>
        <v> </v>
      </c>
      <c r="K751" s="43">
        <f>'G MTTS'!AF746</f>
        <v>50000</v>
      </c>
      <c r="L751" s="43">
        <f>'G MTTS'!X746</f>
        <v>0</v>
      </c>
      <c r="M751" s="43" t="str">
        <f>'G MTTS'!AA746</f>
        <v>REENTRY</v>
      </c>
      <c r="N751" s="44">
        <f>'G MTTS'!AG746</f>
        <v>10</v>
      </c>
      <c r="O751" s="44">
        <f>'G MTTS'!AH746</f>
        <v>10</v>
      </c>
      <c r="P751" s="44">
        <f>'G MTTS'!AI746</f>
        <v>10</v>
      </c>
      <c r="Q751" s="45">
        <f>'G MTTS'!AJ746</f>
        <v>15</v>
      </c>
      <c r="R751" s="46">
        <f t="shared" si="65"/>
        <v>0.902789351851852</v>
      </c>
      <c r="S751" s="47" t="str">
        <f t="shared" si="67"/>
        <v>LOW</v>
      </c>
    </row>
    <row r="752" ht="29.25" customHeight="1" outlineLevel="1" spans="1:19">
      <c r="B752" s="36">
        <f>'G MTTS'!B747</f>
        <v>0.791678240740741</v>
      </c>
      <c r="C752" s="178" t="str">
        <f>'G MTTS'!J747</f>
        <v>#AS 4K Mystery+Plus</v>
      </c>
      <c r="D752" s="49" t="str">
        <f>'G MTTS'!M747</f>
        <v>Side Event</v>
      </c>
      <c r="E752" s="50" t="str">
        <f>'G MTTS'!N747</f>
        <v>NLH</v>
      </c>
      <c r="F752" s="51" t="str">
        <f>'G MTTS'!O747</f>
        <v>Mystery Bounty 1/2</v>
      </c>
      <c r="G752" s="52">
        <f>IF('G MTTS'!Q747=0," ",'G MTTS'!Q747*$A$3)</f>
        <v>4000</v>
      </c>
      <c r="H752" s="53">
        <f>IF('G MTTS'!V747=0," ",'G MTTS'!V747*$A$3)</f>
        <v>10</v>
      </c>
      <c r="I752" s="53">
        <f>IF('G MTTS'!W747=0," ",'G MTTS'!W747*$A$3)</f>
        <v>10</v>
      </c>
      <c r="J752" s="53">
        <f>IF('G MTTS'!Z747=0," ",'G MTTS'!Z747*$A$3)</f>
        <v>5</v>
      </c>
      <c r="K752" s="54">
        <f>'G MTTS'!AF747</f>
        <v>50000</v>
      </c>
      <c r="L752" s="54">
        <f>'G MTTS'!X747</f>
        <v>0</v>
      </c>
      <c r="M752" s="54">
        <f>'G MTTS'!AA747</f>
        <v>50000</v>
      </c>
      <c r="N752" s="55">
        <f>'G MTTS'!AG747</f>
        <v>8</v>
      </c>
      <c r="O752" s="55">
        <f>'G MTTS'!AH747</f>
        <v>7</v>
      </c>
      <c r="P752" s="55">
        <f>'G MTTS'!AI747</f>
        <v>7</v>
      </c>
      <c r="Q752" s="56">
        <f>'G MTTS'!AJ747</f>
        <v>15</v>
      </c>
      <c r="R752" s="46">
        <f t="shared" si="65"/>
        <v>0.881956018518519</v>
      </c>
      <c r="S752" s="47" t="str">
        <f t="shared" si="67"/>
        <v>MICRO</v>
      </c>
    </row>
    <row r="753" ht="29.25" customHeight="1" outlineLevel="1" spans="1:19">
      <c r="A753" s="60" t="s">
        <v>523</v>
      </c>
      <c r="B753" s="36">
        <f>'G MTTS'!B748</f>
        <v>0.791678240740741</v>
      </c>
      <c r="C753" s="179" t="str">
        <f>'G MTTS'!J748</f>
        <v>#AS 2K Omax K.O</v>
      </c>
      <c r="D753" s="38" t="str">
        <f>'G MTTS'!M748</f>
        <v>Side Event</v>
      </c>
      <c r="E753" s="39" t="str">
        <f>'G MTTS'!N748</f>
        <v>PLO5</v>
      </c>
      <c r="F753" s="40" t="str">
        <f>'G MTTS'!O748</f>
        <v>Regular KO 1/3</v>
      </c>
      <c r="G753" s="41">
        <f>IF('G MTTS'!Q748=0," ",'G MTTS'!Q748*$A$3)</f>
        <v>2000</v>
      </c>
      <c r="H753" s="42">
        <f>IF('G MTTS'!V748=0," ",'G MTTS'!V748*$A$3)</f>
        <v>10</v>
      </c>
      <c r="I753" s="42">
        <f>IF('G MTTS'!W748=0," ",'G MTTS'!W748*$A$3)</f>
        <v>10</v>
      </c>
      <c r="J753" s="42" t="str">
        <f>IF('G MTTS'!Z748=0," ",'G MTTS'!Z748*$A$3)</f>
        <v> </v>
      </c>
      <c r="K753" s="43">
        <f>'G MTTS'!AF748</f>
        <v>50000</v>
      </c>
      <c r="L753" s="43">
        <f>'G MTTS'!X748</f>
        <v>0</v>
      </c>
      <c r="M753" s="43" t="str">
        <f>'G MTTS'!AA748</f>
        <v>REENTRY</v>
      </c>
      <c r="N753" s="44">
        <f>'G MTTS'!AG748</f>
        <v>10</v>
      </c>
      <c r="O753" s="44">
        <f>'G MTTS'!AH748</f>
        <v>8</v>
      </c>
      <c r="P753" s="44">
        <f>'G MTTS'!AI748</f>
        <v>8</v>
      </c>
      <c r="Q753" s="45">
        <f>'G MTTS'!AJ748</f>
        <v>15</v>
      </c>
      <c r="R753" s="46">
        <f t="shared" si="65"/>
        <v>0.902789351851852</v>
      </c>
      <c r="S753" s="47" t="str">
        <f t="shared" si="67"/>
        <v>MICRO</v>
      </c>
    </row>
    <row r="754" ht="29.25" customHeight="1" outlineLevel="1" spans="1:19">
      <c r="B754" s="36">
        <f>'G MTTS'!B749</f>
        <v>0.802094907407407</v>
      </c>
      <c r="C754" s="178" t="str">
        <f>'G MTTS'!J749</f>
        <v>Sit&amp;go 200p max.</v>
      </c>
      <c r="D754" s="49" t="str">
        <f>'G MTTS'!M749</f>
        <v>Side Event</v>
      </c>
      <c r="E754" s="50" t="str">
        <f>'G MTTS'!N749</f>
        <v>NLH</v>
      </c>
      <c r="F754" s="51" t="str">
        <f>'G MTTS'!O749</f>
        <v>OFF</v>
      </c>
      <c r="G754" s="52">
        <f>IF('G MTTS'!Q749=0," ",'G MTTS'!Q749*$A$3)</f>
        <v>200</v>
      </c>
      <c r="H754" s="53">
        <f>IF('G MTTS'!V749=0," ",'G MTTS'!V749*$A$3)</f>
        <v>3</v>
      </c>
      <c r="I754" s="53">
        <f>IF('G MTTS'!W749=0," ",'G MTTS'!W749*$A$3)</f>
        <v>3</v>
      </c>
      <c r="J754" s="53">
        <f>IF('G MTTS'!Z749=0," ",'G MTTS'!Z749*$A$3)</f>
        <v>3</v>
      </c>
      <c r="K754" s="54">
        <f>'G MTTS'!AF749</f>
        <v>20000</v>
      </c>
      <c r="L754" s="54">
        <f>'G MTTS'!X749</f>
        <v>0</v>
      </c>
      <c r="M754" s="54">
        <f>'G MTTS'!AA749</f>
        <v>30000</v>
      </c>
      <c r="N754" s="55">
        <f>'G MTTS'!AG749</f>
        <v>5</v>
      </c>
      <c r="O754" s="55">
        <f>'G MTTS'!AH749</f>
        <v>5</v>
      </c>
      <c r="P754" s="55">
        <f>'G MTTS'!AI749</f>
        <v>5</v>
      </c>
      <c r="Q754" s="56">
        <f>'G MTTS'!AJ749</f>
        <v>15</v>
      </c>
      <c r="R754" s="46">
        <f t="shared" si="65"/>
        <v>0.857650462962963</v>
      </c>
      <c r="S754" s="47" t="str">
        <f t="shared" si="67"/>
        <v>MICRO</v>
      </c>
    </row>
    <row r="755" ht="29.25" customHeight="1" outlineLevel="1" spans="1:19">
      <c r="A755" s="60" t="s">
        <v>523</v>
      </c>
      <c r="B755" s="36">
        <f>'G MTTS'!B750</f>
        <v>0.833344907407407</v>
      </c>
      <c r="C755" s="179" t="str">
        <f>'G MTTS'!J750</f>
        <v>600 Bounty</v>
      </c>
      <c r="D755" s="38" t="str">
        <f>'G MTTS'!M750</f>
        <v>Side Event</v>
      </c>
      <c r="E755" s="39" t="str">
        <f>'G MTTS'!N750</f>
        <v>NLH</v>
      </c>
      <c r="F755" s="40" t="str">
        <f>'G MTTS'!O750</f>
        <v>Progressive KO 1/3</v>
      </c>
      <c r="G755" s="41">
        <f>IF('G MTTS'!Q750=0," ",'G MTTS'!Q750*$A$3)</f>
        <v>600</v>
      </c>
      <c r="H755" s="42">
        <f>IF('G MTTS'!V750=0," ",'G MTTS'!V750*$A$3)</f>
        <v>8</v>
      </c>
      <c r="I755" s="42">
        <f>IF('G MTTS'!W750=0," ",'G MTTS'!W750*$A$3)</f>
        <v>8</v>
      </c>
      <c r="J755" s="42" t="str">
        <f>IF('G MTTS'!Z750=0," ",'G MTTS'!Z750*$A$3)</f>
        <v> </v>
      </c>
      <c r="K755" s="43">
        <f>'G MTTS'!AF750</f>
        <v>30000</v>
      </c>
      <c r="L755" s="43">
        <f>'G MTTS'!X750</f>
        <v>0</v>
      </c>
      <c r="M755" s="43" t="str">
        <f>'G MTTS'!AA750</f>
        <v>REENTRY</v>
      </c>
      <c r="N755" s="44">
        <f>'G MTTS'!AG750</f>
        <v>10</v>
      </c>
      <c r="O755" s="44">
        <f>'G MTTS'!AH750</f>
        <v>8</v>
      </c>
      <c r="P755" s="44">
        <f>'G MTTS'!AI750</f>
        <v>6</v>
      </c>
      <c r="Q755" s="45">
        <f>'G MTTS'!AJ750</f>
        <v>12</v>
      </c>
      <c r="R755" s="46">
        <f t="shared" si="65"/>
        <v>0.923622685185185</v>
      </c>
      <c r="S755" s="47" t="str">
        <f t="shared" si="67"/>
        <v>MICRO</v>
      </c>
    </row>
    <row r="756" ht="29.25" customHeight="1" outlineLevel="1" spans="1:19">
      <c r="B756" s="36">
        <f>'G MTTS'!B751</f>
        <v>0.833344907407407</v>
      </c>
      <c r="C756" s="178" t="str">
        <f>'G MTTS'!J751</f>
        <v>1K Omax</v>
      </c>
      <c r="D756" s="49" t="str">
        <f>'G MTTS'!M751</f>
        <v>Side Event</v>
      </c>
      <c r="E756" s="50" t="str">
        <f>'G MTTS'!N751</f>
        <v>PLO6</v>
      </c>
      <c r="F756" s="51" t="str">
        <f>'G MTTS'!O751</f>
        <v>OFF</v>
      </c>
      <c r="G756" s="52">
        <f>IF('G MTTS'!Q751=0," ",'G MTTS'!Q751*$A$3)</f>
        <v>1000</v>
      </c>
      <c r="H756" s="53">
        <f>IF('G MTTS'!V751=0," ",'G MTTS'!V751*$A$3)</f>
        <v>10</v>
      </c>
      <c r="I756" s="53">
        <f>IF('G MTTS'!W751=0," ",'G MTTS'!W751*$A$3)</f>
        <v>10</v>
      </c>
      <c r="J756" s="53">
        <f>IF('G MTTS'!Z751=0," ",'G MTTS'!Z751*$A$3)</f>
        <v>10</v>
      </c>
      <c r="K756" s="54">
        <f>'G MTTS'!AF751</f>
        <v>40000</v>
      </c>
      <c r="L756" s="54">
        <f>'G MTTS'!X751</f>
        <v>0</v>
      </c>
      <c r="M756" s="54">
        <f>'G MTTS'!AA751</f>
        <v>80000</v>
      </c>
      <c r="N756" s="55">
        <f>'G MTTS'!AG751</f>
        <v>10</v>
      </c>
      <c r="O756" s="55">
        <f>'G MTTS'!AH751</f>
        <v>8</v>
      </c>
      <c r="P756" s="55">
        <f>'G MTTS'!AI751</f>
        <v>7</v>
      </c>
      <c r="Q756" s="56">
        <f>'G MTTS'!AJ751</f>
        <v>12</v>
      </c>
      <c r="R756" s="46">
        <f t="shared" si="65"/>
        <v>0.923622685185185</v>
      </c>
      <c r="S756" s="47" t="str">
        <f t="shared" si="67"/>
        <v>MICRO</v>
      </c>
    </row>
    <row r="757" ht="29.25" customHeight="1" outlineLevel="1" spans="1:19">
      <c r="B757" s="36">
        <f>'G MTTS'!B752</f>
        <v>0.833344907407407</v>
      </c>
      <c r="C757" s="179" t="str">
        <f>'G MTTS'!J752</f>
        <v>#AS 12K Plus</v>
      </c>
      <c r="D757" s="38" t="str">
        <f>'G MTTS'!M752</f>
        <v>Side Event</v>
      </c>
      <c r="E757" s="39" t="str">
        <f>'G MTTS'!N752</f>
        <v>NLH</v>
      </c>
      <c r="F757" s="40" t="str">
        <f>'G MTTS'!O752</f>
        <v>OFF</v>
      </c>
      <c r="G757" s="41">
        <f>IF('G MTTS'!Q752=0," ",'G MTTS'!Q752*$A$3)</f>
        <v>12000</v>
      </c>
      <c r="H757" s="42">
        <f>IF('G MTTS'!V752=0," ",'G MTTS'!V752*$A$3)</f>
        <v>20</v>
      </c>
      <c r="I757" s="42">
        <f>IF('G MTTS'!W752=0," ",'G MTTS'!W752*$A$3)</f>
        <v>20</v>
      </c>
      <c r="J757" s="42">
        <f>IF('G MTTS'!Z752=0," ",'G MTTS'!Z752*$A$3)</f>
        <v>20</v>
      </c>
      <c r="K757" s="43">
        <f>'G MTTS'!AF752</f>
        <v>50000</v>
      </c>
      <c r="L757" s="43">
        <f>'G MTTS'!X752</f>
        <v>0</v>
      </c>
      <c r="M757" s="43">
        <f>'G MTTS'!AA752</f>
        <v>250000</v>
      </c>
      <c r="N757" s="44">
        <f>'G MTTS'!AG752</f>
        <v>10</v>
      </c>
      <c r="O757" s="44">
        <f>'G MTTS'!AH752</f>
        <v>8</v>
      </c>
      <c r="P757" s="44">
        <f>'G MTTS'!AI752</f>
        <v>8</v>
      </c>
      <c r="Q757" s="45">
        <f>'G MTTS'!AJ752</f>
        <v>15</v>
      </c>
      <c r="R757" s="46">
        <f t="shared" si="65"/>
        <v>0.944456018518518</v>
      </c>
      <c r="S757" s="47" t="str">
        <f t="shared" si="67"/>
        <v>MICRO</v>
      </c>
    </row>
    <row r="758" ht="29.25" customHeight="1" outlineLevel="1" spans="1:19">
      <c r="A758" s="60" t="s">
        <v>523</v>
      </c>
      <c r="B758" s="36">
        <f>'G MTTS'!B753</f>
        <v>0.833344907407407</v>
      </c>
      <c r="C758" s="178" t="str">
        <f>'G MTTS'!J753</f>
        <v>#AS 5K Battle</v>
      </c>
      <c r="D758" s="49" t="str">
        <f>'G MTTS'!M753</f>
        <v>Side Event</v>
      </c>
      <c r="E758" s="50" t="str">
        <f>'G MTTS'!N753</f>
        <v>NLH</v>
      </c>
      <c r="F758" s="51" t="str">
        <f>'G MTTS'!O753</f>
        <v>Progressive KO 1/2</v>
      </c>
      <c r="G758" s="52">
        <f>IF('G MTTS'!Q753=0," ",'G MTTS'!Q753*$A$3)</f>
        <v>5000</v>
      </c>
      <c r="H758" s="53">
        <f>IF('G MTTS'!V753=0," ",'G MTTS'!V753*$A$3)</f>
        <v>25</v>
      </c>
      <c r="I758" s="53">
        <f>IF('G MTTS'!W753=0," ",'G MTTS'!W753*$A$3)</f>
        <v>25</v>
      </c>
      <c r="J758" s="53" t="str">
        <f>IF('G MTTS'!Z753=0," ",'G MTTS'!Z753*$A$3)</f>
        <v> </v>
      </c>
      <c r="K758" s="54">
        <f>'G MTTS'!AF753</f>
        <v>50000</v>
      </c>
      <c r="L758" s="54">
        <f>'G MTTS'!X753</f>
        <v>0</v>
      </c>
      <c r="M758" s="54" t="str">
        <f>'G MTTS'!AA753</f>
        <v>REENTRY</v>
      </c>
      <c r="N758" s="55">
        <f>'G MTTS'!AG753</f>
        <v>10</v>
      </c>
      <c r="O758" s="55">
        <f>'G MTTS'!AH753</f>
        <v>8</v>
      </c>
      <c r="P758" s="55">
        <f>'G MTTS'!AI753</f>
        <v>8</v>
      </c>
      <c r="Q758" s="56">
        <f>'G MTTS'!AJ753</f>
        <v>15</v>
      </c>
      <c r="R758" s="46">
        <f t="shared" si="65"/>
        <v>0.944456018518518</v>
      </c>
      <c r="S758" s="47" t="str">
        <f t="shared" si="67"/>
        <v>MICRO</v>
      </c>
    </row>
    <row r="759" ht="29.25" customHeight="1" outlineLevel="1" spans="1:19">
      <c r="B759" s="36">
        <f>'G MTTS'!B754</f>
        <v>0.875011574074074</v>
      </c>
      <c r="C759" s="179" t="str">
        <f>'G MTTS'!J754</f>
        <v>750 Omax PKO</v>
      </c>
      <c r="D759" s="38" t="str">
        <f>'G MTTS'!M754</f>
        <v>Side Event</v>
      </c>
      <c r="E759" s="39" t="str">
        <f>'G MTTS'!N754</f>
        <v>PLO4</v>
      </c>
      <c r="F759" s="40" t="str">
        <f>'G MTTS'!O754</f>
        <v>Progressive KO 1/2</v>
      </c>
      <c r="G759" s="41">
        <f>IF('G MTTS'!Q754=0," ",'G MTTS'!Q754*$A$3)</f>
        <v>750</v>
      </c>
      <c r="H759" s="42">
        <f>IF('G MTTS'!V754=0," ",'G MTTS'!V754*$A$3)</f>
        <v>3</v>
      </c>
      <c r="I759" s="42">
        <f>IF('G MTTS'!W754=0," ",'G MTTS'!W754*$A$3)</f>
        <v>3</v>
      </c>
      <c r="J759" s="42" t="str">
        <f>IF('G MTTS'!Z754=0," ",'G MTTS'!Z754*$A$3)</f>
        <v> </v>
      </c>
      <c r="K759" s="43">
        <f>'G MTTS'!AF754</f>
        <v>50000</v>
      </c>
      <c r="L759" s="43">
        <f>'G MTTS'!X754</f>
        <v>0</v>
      </c>
      <c r="M759" s="43" t="str">
        <f>'G MTTS'!AA754</f>
        <v>REENTRY</v>
      </c>
      <c r="N759" s="44">
        <f>'G MTTS'!AG754</f>
        <v>7</v>
      </c>
      <c r="O759" s="44">
        <f>'G MTTS'!AH754</f>
        <v>6</v>
      </c>
      <c r="P759" s="44">
        <f>'G MTTS'!AI754</f>
        <v>5</v>
      </c>
      <c r="Q759" s="45">
        <f>'G MTTS'!AJ754</f>
        <v>15</v>
      </c>
      <c r="R759" s="46">
        <f t="shared" si="65"/>
        <v>0.951400462962963</v>
      </c>
      <c r="S759" s="47" t="str">
        <f t="shared" si="67"/>
        <v>MICRO</v>
      </c>
    </row>
    <row r="760" ht="29.25" customHeight="1" outlineLevel="1" spans="1:19">
      <c r="A760" s="60" t="s">
        <v>523</v>
      </c>
      <c r="B760" s="36">
        <f>'G MTTS'!B755</f>
        <v>0.875011574074074</v>
      </c>
      <c r="C760" s="178" t="str">
        <f>'G MTTS'!J755</f>
        <v>#AS 7K Plus</v>
      </c>
      <c r="D760" s="49" t="str">
        <f>'G MTTS'!M755</f>
        <v>Side Event</v>
      </c>
      <c r="E760" s="50" t="str">
        <f>'G MTTS'!N755</f>
        <v>NLH</v>
      </c>
      <c r="F760" s="51" t="str">
        <f>'G MTTS'!O755</f>
        <v>OFF</v>
      </c>
      <c r="G760" s="52">
        <f>IF('G MTTS'!Q755=0," ",'G MTTS'!Q755*$A$3)</f>
        <v>7000</v>
      </c>
      <c r="H760" s="53">
        <f>IF('G MTTS'!V755=0," ",'G MTTS'!V755*$A$3)</f>
        <v>5</v>
      </c>
      <c r="I760" s="53">
        <f>IF('G MTTS'!W755=0," ",'G MTTS'!W755*$A$3)</f>
        <v>5</v>
      </c>
      <c r="J760" s="53">
        <f>IF('G MTTS'!Z755=0," ",'G MTTS'!Z755*$A$3)</f>
        <v>5</v>
      </c>
      <c r="K760" s="54">
        <f>'G MTTS'!AF755</f>
        <v>30000</v>
      </c>
      <c r="L760" s="54">
        <f>'G MTTS'!X755</f>
        <v>0</v>
      </c>
      <c r="M760" s="54">
        <f>'G MTTS'!AA755</f>
        <v>120000</v>
      </c>
      <c r="N760" s="55">
        <f>'G MTTS'!AG755</f>
        <v>7</v>
      </c>
      <c r="O760" s="55">
        <f>'G MTTS'!AH755</f>
        <v>6</v>
      </c>
      <c r="P760" s="55">
        <f>'G MTTS'!AI755</f>
        <v>7</v>
      </c>
      <c r="Q760" s="56">
        <f>'G MTTS'!AJ755</f>
        <v>13</v>
      </c>
      <c r="R760" s="46">
        <f t="shared" si="65"/>
        <v>0.941678240740741</v>
      </c>
      <c r="S760" s="47" t="str">
        <f t="shared" si="67"/>
        <v>MICRO</v>
      </c>
    </row>
    <row r="761" ht="29.25" customHeight="1" outlineLevel="1" spans="1:19">
      <c r="B761" s="36">
        <f>'G MTTS'!B756</f>
        <v>0.888900462962963</v>
      </c>
      <c r="C761" s="179" t="str">
        <f>'G MTTS'!J756</f>
        <v>1K Plus</v>
      </c>
      <c r="D761" s="38" t="str">
        <f>'G MTTS'!M756</f>
        <v>Side Event</v>
      </c>
      <c r="E761" s="39" t="str">
        <f>'G MTTS'!N756</f>
        <v>NLH</v>
      </c>
      <c r="F761" s="40" t="str">
        <f>'G MTTS'!O756</f>
        <v>OFF</v>
      </c>
      <c r="G761" s="41">
        <f>IF('G MTTS'!Q756=0," ",'G MTTS'!Q756*$A$3)</f>
        <v>1000</v>
      </c>
      <c r="H761" s="42">
        <f>IF('G MTTS'!V756=0," ",'G MTTS'!V756*$A$3)</f>
        <v>1</v>
      </c>
      <c r="I761" s="42">
        <f>IF('G MTTS'!W756=0," ",'G MTTS'!W756*$A$3)</f>
        <v>2</v>
      </c>
      <c r="J761" s="42">
        <f>IF('G MTTS'!Z756=0," ",'G MTTS'!Z756*$A$3)</f>
        <v>4</v>
      </c>
      <c r="K761" s="43">
        <f>'G MTTS'!AF756</f>
        <v>40000</v>
      </c>
      <c r="L761" s="43">
        <f>'G MTTS'!X756</f>
        <v>0</v>
      </c>
      <c r="M761" s="43">
        <f>'G MTTS'!AA756</f>
        <v>100000</v>
      </c>
      <c r="N761" s="44">
        <f>'G MTTS'!AG756</f>
        <v>7</v>
      </c>
      <c r="O761" s="44">
        <f>'G MTTS'!AH756</f>
        <v>6</v>
      </c>
      <c r="P761" s="44">
        <f>'G MTTS'!AI756</f>
        <v>5</v>
      </c>
      <c r="Q761" s="45">
        <f>'G MTTS'!AJ756</f>
        <v>15</v>
      </c>
      <c r="R761" s="46">
        <f t="shared" si="65"/>
        <v>0.965289351851852</v>
      </c>
      <c r="S761" s="47" t="str">
        <f t="shared" si="67"/>
        <v>MICRO</v>
      </c>
    </row>
    <row r="762" ht="29.25" customHeight="1" outlineLevel="1" spans="1:19">
      <c r="B762" s="36">
        <f>'G MTTS'!B757</f>
        <v>0.916678240740741</v>
      </c>
      <c r="C762" s="178" t="str">
        <f>'G MTTS'!J757</f>
        <v>#AS 15K Plus+SPS</v>
      </c>
      <c r="D762" s="49" t="str">
        <f>'G MTTS'!M757</f>
        <v>Side Event</v>
      </c>
      <c r="E762" s="50" t="str">
        <f>'G MTTS'!N757</f>
        <v>NLH</v>
      </c>
      <c r="F762" s="51" t="str">
        <f>'G MTTS'!O757</f>
        <v>OFF</v>
      </c>
      <c r="G762" s="52">
        <f>IF('G MTTS'!Q757=0," ",'G MTTS'!Q757*$A$3)</f>
        <v>16000</v>
      </c>
      <c r="H762" s="53">
        <f>IF('G MTTS'!V757=0," ",'G MTTS'!V757*$A$3)</f>
        <v>15</v>
      </c>
      <c r="I762" s="53">
        <f>IF('G MTTS'!W757=0," ",'G MTTS'!W757*$A$3)</f>
        <v>15</v>
      </c>
      <c r="J762" s="53">
        <f>IF('G MTTS'!Z757=0," ",'G MTTS'!Z757*$A$3)</f>
        <v>15</v>
      </c>
      <c r="K762" s="54">
        <f>'G MTTS'!AF757</f>
        <v>40000</v>
      </c>
      <c r="L762" s="54">
        <f>'G MTTS'!X757</f>
        <v>0</v>
      </c>
      <c r="M762" s="54">
        <f>'G MTTS'!AA757</f>
        <v>160000</v>
      </c>
      <c r="N762" s="55">
        <f>'G MTTS'!AG757</f>
        <v>8</v>
      </c>
      <c r="O762" s="55">
        <f>'G MTTS'!AH757</f>
        <v>7</v>
      </c>
      <c r="P762" s="55">
        <f>'G MTTS'!AI757</f>
        <v>7</v>
      </c>
      <c r="Q762" s="56">
        <f>'G MTTS'!AJ757</f>
        <v>13</v>
      </c>
      <c r="R762" s="46">
        <f t="shared" si="65"/>
        <v>0.992372685185185</v>
      </c>
      <c r="S762" s="47" t="str">
        <f t="shared" si="67"/>
        <v>MICRO</v>
      </c>
    </row>
    <row r="763" ht="29.25" customHeight="1" outlineLevel="1" spans="1:19">
      <c r="A763" s="60" t="s">
        <v>523</v>
      </c>
      <c r="B763" s="36">
        <f>'G MTTS'!B758</f>
        <v>0.916678240740741</v>
      </c>
      <c r="C763" s="179" t="str">
        <f>'G MTTS'!J758</f>
        <v>#AS 12K OmaX Turbo</v>
      </c>
      <c r="D763" s="38" t="str">
        <f>'G MTTS'!M758</f>
        <v>Side Event</v>
      </c>
      <c r="E763" s="39" t="str">
        <f>'G MTTS'!N758</f>
        <v>PLO5</v>
      </c>
      <c r="F763" s="40" t="str">
        <f>'G MTTS'!O758</f>
        <v>Progressive KO 1/2</v>
      </c>
      <c r="G763" s="41">
        <f>IF('G MTTS'!Q758=0," ",'G MTTS'!Q758*$A$3)</f>
        <v>12000</v>
      </c>
      <c r="H763" s="42">
        <f>IF('G MTTS'!V758=0," ",'G MTTS'!V758*$A$3)</f>
        <v>55</v>
      </c>
      <c r="I763" s="42">
        <f>IF('G MTTS'!W758=0," ",'G MTTS'!W758*$A$3)</f>
        <v>55</v>
      </c>
      <c r="J763" s="42" t="str">
        <f>IF('G MTTS'!Z758=0," ",'G MTTS'!Z758*$A$3)</f>
        <v> </v>
      </c>
      <c r="K763" s="43">
        <f>'G MTTS'!AF758</f>
        <v>50000</v>
      </c>
      <c r="L763" s="43">
        <f>'G MTTS'!X758</f>
        <v>0</v>
      </c>
      <c r="M763" s="43" t="str">
        <f>'G MTTS'!AA758</f>
        <v>REENTRY</v>
      </c>
      <c r="N763" s="44">
        <f>'G MTTS'!AG758</f>
        <v>7</v>
      </c>
      <c r="O763" s="44">
        <f>'G MTTS'!AH758</f>
        <v>6</v>
      </c>
      <c r="P763" s="44">
        <f>'G MTTS'!AI758</f>
        <v>8</v>
      </c>
      <c r="Q763" s="45">
        <f>'G MTTS'!AJ758</f>
        <v>13</v>
      </c>
      <c r="R763" s="46">
        <f t="shared" si="65"/>
        <v>0.983344907407407</v>
      </c>
      <c r="S763" s="47" t="str">
        <f t="shared" si="67"/>
        <v>LOW</v>
      </c>
    </row>
    <row r="764" ht="29.25" customHeight="1" outlineLevel="1" spans="1:19">
      <c r="B764" s="36">
        <f>'G MTTS'!B759</f>
        <v>0.916678240740741</v>
      </c>
      <c r="C764" s="178" t="str">
        <f>'G MTTS'!J759</f>
        <v>#AS 10K Battle PKO</v>
      </c>
      <c r="D764" s="49" t="str">
        <f>'G MTTS'!M759</f>
        <v>Side Event</v>
      </c>
      <c r="E764" s="50" t="str">
        <f>'G MTTS'!N759</f>
        <v>NLH</v>
      </c>
      <c r="F764" s="51" t="str">
        <f>'G MTTS'!O759</f>
        <v>Progressive KO 1/2</v>
      </c>
      <c r="G764" s="52">
        <f>IF('G MTTS'!Q759=0," ",'G MTTS'!Q759*$A$3)</f>
        <v>10000</v>
      </c>
      <c r="H764" s="53">
        <f>IF('G MTTS'!V759=0," ",'G MTTS'!V759*$A$3)</f>
        <v>110</v>
      </c>
      <c r="I764" s="53">
        <f>IF('G MTTS'!W759=0," ",'G MTTS'!W759*$A$3)</f>
        <v>110</v>
      </c>
      <c r="J764" s="53" t="str">
        <f>IF('G MTTS'!Z759=0," ",'G MTTS'!Z759*$A$3)</f>
        <v> </v>
      </c>
      <c r="K764" s="54">
        <f>'G MTTS'!AF759</f>
        <v>50000</v>
      </c>
      <c r="L764" s="54">
        <f>'G MTTS'!X759</f>
        <v>0</v>
      </c>
      <c r="M764" s="54" t="str">
        <f>'G MTTS'!AA759</f>
        <v>REENTRY</v>
      </c>
      <c r="N764" s="55">
        <f>'G MTTS'!AG759</f>
        <v>8</v>
      </c>
      <c r="O764" s="55">
        <f>'G MTTS'!AH759</f>
        <v>8</v>
      </c>
      <c r="P764" s="55">
        <f>'G MTTS'!AI759</f>
        <v>8</v>
      </c>
      <c r="Q764" s="56">
        <f>'G MTTS'!AJ759</f>
        <v>15</v>
      </c>
      <c r="R764" s="46">
        <f t="shared" si="65"/>
        <v>1.00695601851852</v>
      </c>
      <c r="S764" s="47" t="str">
        <f t="shared" si="67"/>
        <v>MEDIUM</v>
      </c>
    </row>
    <row r="765" ht="29.25" customHeight="1" outlineLevel="1" spans="1:19">
      <c r="B765" s="36">
        <f>'G MTTS'!B760</f>
        <v>0.927094907407407</v>
      </c>
      <c r="C765" s="179" t="str">
        <f>'G MTTS'!J760</f>
        <v>Sit&amp;go 200p max.</v>
      </c>
      <c r="D765" s="38" t="str">
        <f>'G MTTS'!M760</f>
        <v>Side Event</v>
      </c>
      <c r="E765" s="39" t="str">
        <f>'G MTTS'!N760</f>
        <v>NLH</v>
      </c>
      <c r="F765" s="40" t="str">
        <f>'G MTTS'!O760</f>
        <v>OFF</v>
      </c>
      <c r="G765" s="41">
        <f>IF('G MTTS'!Q760=0," ",'G MTTS'!Q760*$A$3)</f>
        <v>300</v>
      </c>
      <c r="H765" s="42">
        <f>IF('G MTTS'!V760=0," ",'G MTTS'!V760*$A$3)</f>
        <v>3</v>
      </c>
      <c r="I765" s="42">
        <f>IF('G MTTS'!W760=0," ",'G MTTS'!W760*$A$3)</f>
        <v>3</v>
      </c>
      <c r="J765" s="42">
        <f>IF('G MTTS'!Z760=0," ",'G MTTS'!Z760*$A$3)</f>
        <v>3</v>
      </c>
      <c r="K765" s="43">
        <f>'G MTTS'!AF760</f>
        <v>20000</v>
      </c>
      <c r="L765" s="43">
        <f>'G MTTS'!X760</f>
        <v>0</v>
      </c>
      <c r="M765" s="43">
        <f>'G MTTS'!AA760</f>
        <v>30000</v>
      </c>
      <c r="N765" s="44">
        <f>'G MTTS'!AG760</f>
        <v>5</v>
      </c>
      <c r="O765" s="44">
        <f>'G MTTS'!AH760</f>
        <v>5</v>
      </c>
      <c r="P765" s="44">
        <f>'G MTTS'!AI760</f>
        <v>5</v>
      </c>
      <c r="Q765" s="45">
        <f>'G MTTS'!AJ760</f>
        <v>15</v>
      </c>
      <c r="R765" s="46">
        <f t="shared" si="65"/>
        <v>0.982650462962963</v>
      </c>
      <c r="S765" s="47" t="str">
        <f t="shared" si="67"/>
        <v>MICRO</v>
      </c>
    </row>
    <row r="766" ht="29.25" customHeight="1" outlineLevel="1" spans="1:19">
      <c r="A766" s="60" t="s">
        <v>523</v>
      </c>
      <c r="B766" s="36">
        <f>'G MTTS'!B761</f>
        <v>0.958344907407407</v>
      </c>
      <c r="C766" s="178" t="str">
        <f>'G MTTS'!J761</f>
        <v>#AS 1.2K Battle</v>
      </c>
      <c r="D766" s="49" t="str">
        <f>'G MTTS'!M761</f>
        <v>Side Event</v>
      </c>
      <c r="E766" s="50" t="str">
        <f>'G MTTS'!N761</f>
        <v>NLH</v>
      </c>
      <c r="F766" s="51" t="str">
        <f>'G MTTS'!O761</f>
        <v>Regular KO 1/2</v>
      </c>
      <c r="G766" s="52">
        <f>IF('G MTTS'!Q761=0," ",'G MTTS'!Q761*$A$3)</f>
        <v>1200</v>
      </c>
      <c r="H766" s="53">
        <f>IF('G MTTS'!V761=0," ",'G MTTS'!V761*$A$3)</f>
        <v>20</v>
      </c>
      <c r="I766" s="53">
        <f>IF('G MTTS'!W761=0," ",'G MTTS'!W761*$A$3)</f>
        <v>20</v>
      </c>
      <c r="J766" s="53" t="str">
        <f>IF('G MTTS'!Z761=0," ",'G MTTS'!Z761*$A$3)</f>
        <v> </v>
      </c>
      <c r="K766" s="54">
        <f>'G MTTS'!AF761</f>
        <v>30000</v>
      </c>
      <c r="L766" s="54">
        <f>'G MTTS'!X761</f>
        <v>0</v>
      </c>
      <c r="M766" s="54" t="str">
        <f>'G MTTS'!AA761</f>
        <v>REENTRY</v>
      </c>
      <c r="N766" s="55">
        <f>'G MTTS'!AG761</f>
        <v>7</v>
      </c>
      <c r="O766" s="55">
        <f>'G MTTS'!AH761</f>
        <v>6</v>
      </c>
      <c r="P766" s="55">
        <f>'G MTTS'!AI761</f>
        <v>6</v>
      </c>
      <c r="Q766" s="56">
        <f>'G MTTS'!AJ761</f>
        <v>13</v>
      </c>
      <c r="R766" s="46">
        <f t="shared" si="65"/>
        <v>1.02501157407407</v>
      </c>
      <c r="S766" s="47" t="str">
        <f t="shared" si="67"/>
        <v>MICRO</v>
      </c>
    </row>
    <row r="767" ht="29.25" customHeight="1" outlineLevel="1" spans="1:19">
      <c r="B767" s="36">
        <f>'G MTTS'!B762</f>
        <v>0.958344907407407</v>
      </c>
      <c r="C767" s="179" t="str">
        <f>'G MTTS'!J762</f>
        <v>#AS 4K Plus+SPS</v>
      </c>
      <c r="D767" s="38" t="str">
        <f>'G MTTS'!M762</f>
        <v>Side Event</v>
      </c>
      <c r="E767" s="39" t="str">
        <f>'G MTTS'!N762</f>
        <v>NLH</v>
      </c>
      <c r="F767" s="40" t="str">
        <f>'G MTTS'!O762</f>
        <v>OFF</v>
      </c>
      <c r="G767" s="41">
        <f>IF('G MTTS'!Q762=0," ",'G MTTS'!Q762*$A$3)</f>
        <v>4150</v>
      </c>
      <c r="H767" s="42">
        <f>IF('G MTTS'!V762=0," ",'G MTTS'!V762*$A$3)</f>
        <v>4</v>
      </c>
      <c r="I767" s="42">
        <f>IF('G MTTS'!W762=0," ",'G MTTS'!W762*$A$3)</f>
        <v>4</v>
      </c>
      <c r="J767" s="42">
        <f>IF('G MTTS'!Z762=0," ",'G MTTS'!Z762*$A$3)</f>
        <v>4</v>
      </c>
      <c r="K767" s="43">
        <f>'G MTTS'!AF762</f>
        <v>20000</v>
      </c>
      <c r="L767" s="43">
        <f>'G MTTS'!X762</f>
        <v>0</v>
      </c>
      <c r="M767" s="43">
        <f>'G MTTS'!AA762</f>
        <v>60000</v>
      </c>
      <c r="N767" s="44">
        <f>'G MTTS'!AG762</f>
        <v>6</v>
      </c>
      <c r="O767" s="44">
        <f>'G MTTS'!AH762</f>
        <v>5</v>
      </c>
      <c r="P767" s="44">
        <f>'G MTTS'!AI762</f>
        <v>6</v>
      </c>
      <c r="Q767" s="45">
        <f>'G MTTS'!AJ762</f>
        <v>12</v>
      </c>
      <c r="R767" s="46">
        <f t="shared" si="65"/>
        <v>1.01181712962963</v>
      </c>
      <c r="S767" s="47" t="str">
        <f t="shared" si="67"/>
        <v>MICRO</v>
      </c>
    </row>
    <row r="768" ht="29.25" customHeight="1" outlineLevel="1" spans="1:19">
      <c r="B768" s="36">
        <f>'G MTTS'!B763</f>
        <v>0.958344907407407</v>
      </c>
      <c r="C768" s="178" t="str">
        <f>'G MTTS'!J763</f>
        <v>500 Plus</v>
      </c>
      <c r="D768" s="49" t="str">
        <f>'G MTTS'!M763</f>
        <v>Side Event</v>
      </c>
      <c r="E768" s="50" t="str">
        <f>'G MTTS'!N763</f>
        <v>NLH</v>
      </c>
      <c r="F768" s="51" t="str">
        <f>'G MTTS'!O763</f>
        <v>OFF</v>
      </c>
      <c r="G768" s="52">
        <f>IF('G MTTS'!Q763=0," ",'G MTTS'!Q763*$A$3)</f>
        <v>500</v>
      </c>
      <c r="H768" s="53">
        <f>IF('G MTTS'!V763=0," ",'G MTTS'!V763*$A$3)</f>
        <v>1</v>
      </c>
      <c r="I768" s="53">
        <f>IF('G MTTS'!W763=0," ",'G MTTS'!W763*$A$3)</f>
        <v>1</v>
      </c>
      <c r="J768" s="53">
        <f>IF('G MTTS'!Z763=0," ",'G MTTS'!Z763*$A$3)</f>
        <v>1</v>
      </c>
      <c r="K768" s="54">
        <f>'G MTTS'!AF763</f>
        <v>20000</v>
      </c>
      <c r="L768" s="54">
        <f>'G MTTS'!X763</f>
        <v>0</v>
      </c>
      <c r="M768" s="54">
        <f>'G MTTS'!AA763</f>
        <v>50000</v>
      </c>
      <c r="N768" s="55">
        <f>'G MTTS'!AG763</f>
        <v>5</v>
      </c>
      <c r="O768" s="55">
        <f>'G MTTS'!AH763</f>
        <v>5</v>
      </c>
      <c r="P768" s="55">
        <f>'G MTTS'!AI763</f>
        <v>5</v>
      </c>
      <c r="Q768" s="56">
        <f>'G MTTS'!AJ763</f>
        <v>12</v>
      </c>
      <c r="R768" s="46">
        <f t="shared" si="65"/>
        <v>1.0034837962963</v>
      </c>
      <c r="S768" s="47" t="str">
        <f t="shared" si="67"/>
        <v>MICRO</v>
      </c>
    </row>
    <row r="769" ht="29.25" customHeight="1" outlineLevel="1" spans="1:19">
      <c r="A769" s="60" t="s">
        <v>523</v>
      </c>
      <c r="B769" s="61">
        <f>'G MTTS'!B764</f>
        <v>0.965289351851852</v>
      </c>
      <c r="C769" s="179" t="str">
        <f>'G MTTS'!J764</f>
        <v>500 Omax</v>
      </c>
      <c r="D769" s="38" t="str">
        <f>'G MTTS'!M764</f>
        <v>Side Event</v>
      </c>
      <c r="E769" s="39" t="str">
        <f>'G MTTS'!N764</f>
        <v>PLO4</v>
      </c>
      <c r="F769" s="40" t="str">
        <f>'G MTTS'!O764</f>
        <v>OFF</v>
      </c>
      <c r="G769" s="41">
        <f>IF('G MTTS'!Q764=0," ",'G MTTS'!Q764*$A$3)</f>
        <v>500</v>
      </c>
      <c r="H769" s="42">
        <f>IF('G MTTS'!V764=0," ",'G MTTS'!V764*$A$3)</f>
        <v>3</v>
      </c>
      <c r="I769" s="42">
        <f>IF('G MTTS'!W764=0," ",'G MTTS'!W764*$A$3)</f>
        <v>3</v>
      </c>
      <c r="J769" s="42">
        <f>IF('G MTTS'!Z764=0," ",'G MTTS'!Z764*$A$3)</f>
        <v>3</v>
      </c>
      <c r="K769" s="43">
        <f>'G MTTS'!AF764</f>
        <v>40000</v>
      </c>
      <c r="L769" s="43">
        <f>'G MTTS'!X764</f>
        <v>0</v>
      </c>
      <c r="M769" s="43">
        <f>'G MTTS'!AA764</f>
        <v>80000</v>
      </c>
      <c r="N769" s="44">
        <f>'G MTTS'!AG764</f>
        <v>6</v>
      </c>
      <c r="O769" s="44">
        <f>'G MTTS'!AH764</f>
        <v>5</v>
      </c>
      <c r="P769" s="44">
        <f>'G MTTS'!AI764</f>
        <v>5</v>
      </c>
      <c r="Q769" s="45">
        <f>'G MTTS'!AJ764</f>
        <v>12</v>
      </c>
      <c r="R769" s="46">
        <f t="shared" si="65"/>
        <v>1.01876157407407</v>
      </c>
      <c r="S769" s="47" t="str">
        <f t="shared" si="67"/>
        <v>MICRO</v>
      </c>
    </row>
    <row r="770" ht="29.25" customHeight="1" outlineLevel="1" spans="1:19">
      <c r="B770" s="36">
        <f>'G MTTS'!B765</f>
        <v>0.979178240740741</v>
      </c>
      <c r="C770" s="178" t="str">
        <f>'G MTTS'!J765</f>
        <v>#AS 3K Big Mystery</v>
      </c>
      <c r="D770" s="49" t="str">
        <f>'G MTTS'!M765</f>
        <v>Side Event</v>
      </c>
      <c r="E770" s="50" t="str">
        <f>'G MTTS'!N765</f>
        <v>NLH</v>
      </c>
      <c r="F770" s="51" t="str">
        <f>'G MTTS'!O765</f>
        <v>Mystery Bounty 1/2</v>
      </c>
      <c r="G770" s="52">
        <f>IF('G MTTS'!Q765=0," ",'G MTTS'!Q765*$A$3)</f>
        <v>3000</v>
      </c>
      <c r="H770" s="53">
        <f>IF('G MTTS'!V765=0," ",'G MTTS'!V765*$A$3)</f>
        <v>10</v>
      </c>
      <c r="I770" s="53">
        <f>IF('G MTTS'!W765=0," ",'G MTTS'!W765*$A$3)</f>
        <v>10</v>
      </c>
      <c r="J770" s="53" t="str">
        <f>IF('G MTTS'!Z765=0," ",'G MTTS'!Z765*$A$3)</f>
        <v> </v>
      </c>
      <c r="K770" s="54">
        <f>'G MTTS'!AF765</f>
        <v>50000</v>
      </c>
      <c r="L770" s="54">
        <f>'G MTTS'!X765</f>
        <v>0</v>
      </c>
      <c r="M770" s="54" t="str">
        <f>'G MTTS'!AA765</f>
        <v>REENTRY</v>
      </c>
      <c r="N770" s="55">
        <f>'G MTTS'!AG765</f>
        <v>6</v>
      </c>
      <c r="O770" s="55">
        <f>'G MTTS'!AH765</f>
        <v>5</v>
      </c>
      <c r="P770" s="55">
        <f>'G MTTS'!AI765</f>
        <v>5</v>
      </c>
      <c r="Q770" s="56">
        <f>'G MTTS'!AJ765</f>
        <v>15</v>
      </c>
      <c r="R770" s="46">
        <f t="shared" si="65"/>
        <v>1.04515046296296</v>
      </c>
      <c r="S770" s="47" t="str">
        <f t="shared" si="67"/>
        <v>MICRO</v>
      </c>
    </row>
    <row r="771" ht="29.25" customHeight="1" outlineLevel="1" spans="1:19">
      <c r="B771" s="36">
        <f>'G MTTS'!B766</f>
        <v>0.979178240740741</v>
      </c>
      <c r="C771" s="179" t="str">
        <f>'G MTTS'!J766</f>
        <v>#AS 8K Bounty Night</v>
      </c>
      <c r="D771" s="38" t="str">
        <f>'G MTTS'!M766</f>
        <v>Side Event</v>
      </c>
      <c r="E771" s="39" t="str">
        <f>'G MTTS'!N766</f>
        <v>NLH</v>
      </c>
      <c r="F771" s="40" t="str">
        <f>'G MTTS'!O766</f>
        <v>Progressive KO 1/2</v>
      </c>
      <c r="G771" s="41">
        <f>IF('G MTTS'!Q766=0," ",'G MTTS'!Q766*$A$3)</f>
        <v>8000</v>
      </c>
      <c r="H771" s="42">
        <f>IF('G MTTS'!V766=0," ",'G MTTS'!V766*$A$3)</f>
        <v>55</v>
      </c>
      <c r="I771" s="42">
        <f>IF('G MTTS'!W766=0," ",'G MTTS'!W766*$A$3)</f>
        <v>55</v>
      </c>
      <c r="J771" s="42" t="str">
        <f>IF('G MTTS'!Z766=0," ",'G MTTS'!Z766*$A$3)</f>
        <v> </v>
      </c>
      <c r="K771" s="43">
        <f>'G MTTS'!AF766</f>
        <v>50000</v>
      </c>
      <c r="L771" s="43">
        <f>'G MTTS'!X766</f>
        <v>0</v>
      </c>
      <c r="M771" s="43" t="str">
        <f>'G MTTS'!AA766</f>
        <v>REENTRY</v>
      </c>
      <c r="N771" s="44">
        <f>'G MTTS'!AG766</f>
        <v>6</v>
      </c>
      <c r="O771" s="44">
        <f>'G MTTS'!AH766</f>
        <v>6</v>
      </c>
      <c r="P771" s="44">
        <f>'G MTTS'!AI766</f>
        <v>6</v>
      </c>
      <c r="Q771" s="45">
        <f>'G MTTS'!AJ766</f>
        <v>13</v>
      </c>
      <c r="R771" s="46">
        <f t="shared" si="65"/>
        <v>1.03681712962963</v>
      </c>
      <c r="S771" s="47" t="str">
        <f t="shared" si="67"/>
        <v>LOW</v>
      </c>
    </row>
    <row r="772" ht="29.25" customHeight="1" outlineLevel="1" spans="1:19">
      <c r="A772" s="60"/>
      <c r="B772" s="36">
        <f>'G MTTS'!B767</f>
        <v>0.979178240740741</v>
      </c>
      <c r="C772" s="178" t="str">
        <f>'G MTTS'!J767</f>
        <v>#AS 8K Sonic</v>
      </c>
      <c r="D772" s="49" t="str">
        <f>'G MTTS'!M767</f>
        <v>Side Event</v>
      </c>
      <c r="E772" s="50" t="str">
        <f>'G MTTS'!N767</f>
        <v>NLH</v>
      </c>
      <c r="F772" s="51" t="str">
        <f>'G MTTS'!O767</f>
        <v>OFF</v>
      </c>
      <c r="G772" s="52">
        <f>IF('G MTTS'!Q767=0," ",'G MTTS'!Q767*$A$3)</f>
        <v>8000</v>
      </c>
      <c r="H772" s="53">
        <f>IF('G MTTS'!V767=0," ",'G MTTS'!V767*$A$3)</f>
        <v>150</v>
      </c>
      <c r="I772" s="53">
        <f>IF('G MTTS'!W767=0," ",'G MTTS'!W767*$A$3)</f>
        <v>150</v>
      </c>
      <c r="J772" s="53" t="str">
        <f>IF('G MTTS'!Z767=0," ",'G MTTS'!Z767*$A$3)</f>
        <v> </v>
      </c>
      <c r="K772" s="54">
        <f>'G MTTS'!AF767</f>
        <v>50000</v>
      </c>
      <c r="L772" s="54">
        <f>'G MTTS'!X767</f>
        <v>0</v>
      </c>
      <c r="M772" s="54" t="str">
        <f>'G MTTS'!AA767</f>
        <v>REENTRY</v>
      </c>
      <c r="N772" s="55">
        <f>'G MTTS'!AG767</f>
        <v>6</v>
      </c>
      <c r="O772" s="55">
        <f>'G MTTS'!AH767</f>
        <v>5</v>
      </c>
      <c r="P772" s="55">
        <f>'G MTTS'!AI767</f>
        <v>6</v>
      </c>
      <c r="Q772" s="56">
        <f>'G MTTS'!AJ767</f>
        <v>13</v>
      </c>
      <c r="R772" s="46">
        <f t="shared" si="65"/>
        <v>1.03681712962963</v>
      </c>
      <c r="S772" s="47" t="str">
        <f t="shared" si="67"/>
        <v>MEDIUM</v>
      </c>
    </row>
    <row r="773" ht="29.25" customHeight="1" outlineLevel="1" spans="1:19">
      <c r="A773" s="60"/>
      <c r="B773" s="153"/>
      <c r="C773" s="154"/>
      <c r="D773" s="155"/>
      <c r="E773" s="156"/>
      <c r="F773" s="157"/>
      <c r="G773" s="158"/>
      <c r="H773" s="159"/>
      <c r="I773" s="159"/>
      <c r="J773" s="159"/>
      <c r="K773" s="160"/>
      <c r="L773" s="160"/>
      <c r="M773" s="160"/>
      <c r="N773" s="161"/>
      <c r="O773" s="161"/>
      <c r="P773" s="161"/>
      <c r="Q773" s="162"/>
      <c r="R773" s="46"/>
      <c r="S773" s="47" t="str">
        <f t="shared" si="67"/>
        <v> </v>
      </c>
    </row>
    <row r="774" ht="29.25" customHeight="1" outlineLevel="1" spans="1:19">
      <c r="A774" s="198" t="s">
        <v>193</v>
      </c>
      <c r="B774" s="199"/>
      <c r="C774" s="96" t="s">
        <v>514</v>
      </c>
      <c r="R774" s="46" t="str">
        <f t="shared" ref="R774:R779" si="68">IF(B774=0," ",TIME(,ROUNDDOWN(N774*Q774/60,0)*5+(N774*Q774),)+B774)</f>
        <v> </v>
      </c>
      <c r="S774" s="47" t="str">
        <f t="shared" si="67"/>
        <v> </v>
      </c>
    </row>
    <row r="775" ht="29.25" customHeight="1" outlineLevel="1" spans="1:19">
      <c r="A775" s="97" t="str">
        <f>'G MTTS'!J769</f>
        <v>#AS Reentry</v>
      </c>
      <c r="B775" s="98">
        <f>'G MTTS'!B769</f>
        <v>0.416678240740741</v>
      </c>
      <c r="C775" s="99" t="str">
        <f>'G MTTS'!L769</f>
        <v>4 Seats Reentry</v>
      </c>
      <c r="D775" s="100" t="str">
        <f>'G MTTS'!M769</f>
        <v>SAT</v>
      </c>
      <c r="E775" s="101" t="str">
        <f>'G MTTS'!N769</f>
        <v>NLH</v>
      </c>
      <c r="F775" s="102" t="str">
        <f>'G MTTS'!O769</f>
        <v>OFF</v>
      </c>
      <c r="G775" s="103">
        <f>IF('G MTTS'!Q769=0," ",'G MTTS'!Q769*$A$3)</f>
        <v>300</v>
      </c>
      <c r="H775" s="104">
        <f>IF('G MTTS'!V769=0," ",'G MTTS'!V769*$A$3)</f>
        <v>4</v>
      </c>
      <c r="I775" s="104">
        <f>IF('G MTTS'!W769=0," ",'G MTTS'!W769*$A$3)</f>
        <v>4</v>
      </c>
      <c r="J775" s="104">
        <f>IF('G MTTS'!Z769=0," ",'G MTTS'!Z769*$A$3)</f>
        <v>4</v>
      </c>
      <c r="K775" s="105">
        <f>'G MTTS'!AF769</f>
        <v>10000</v>
      </c>
      <c r="L775" s="105">
        <f>'G MTTS'!X769</f>
        <v>0</v>
      </c>
      <c r="M775" s="105">
        <f>'G MTTS'!AA769</f>
        <v>20000</v>
      </c>
      <c r="N775" s="106">
        <f>'G MTTS'!AG769</f>
        <v>4</v>
      </c>
      <c r="O775" s="106">
        <f>'G MTTS'!AH769</f>
        <v>4</v>
      </c>
      <c r="P775" s="106">
        <f>'G MTTS'!AI769</f>
        <v>4</v>
      </c>
      <c r="Q775" s="107">
        <f>'G MTTS'!AJ769</f>
        <v>9</v>
      </c>
      <c r="R775" s="46">
        <f t="shared" si="68"/>
        <v>0.441678240740741</v>
      </c>
      <c r="S775" s="47" t="str">
        <f t="shared" si="67"/>
        <v>MICRO</v>
      </c>
    </row>
    <row r="776" ht="29.25" customHeight="1" outlineLevel="1" spans="1:19">
      <c r="A776" s="135"/>
      <c r="B776" s="109"/>
      <c r="C776" s="110"/>
      <c r="D776" s="111"/>
      <c r="E776" s="112"/>
      <c r="F776" s="113"/>
      <c r="G776" s="114"/>
      <c r="H776" s="115"/>
      <c r="I776" s="115"/>
      <c r="J776" s="115"/>
      <c r="K776" s="116"/>
      <c r="L776" s="116"/>
      <c r="M776" s="116"/>
      <c r="N776" s="117"/>
      <c r="O776" s="117"/>
      <c r="P776" s="117"/>
      <c r="Q776" s="118"/>
      <c r="R776" s="46" t="str">
        <f t="shared" si="68"/>
        <v> </v>
      </c>
      <c r="S776" s="47" t="str">
        <f t="shared" si="67"/>
        <v> </v>
      </c>
    </row>
    <row r="777" ht="29.25" customHeight="1" outlineLevel="1" spans="1:19">
      <c r="A777" s="121" t="str">
        <f>'G MTTS'!J771</f>
        <v>#AS WarmUp</v>
      </c>
      <c r="B777" s="122">
        <f>'G MTTS'!B771</f>
        <v>0.437511574074074</v>
      </c>
      <c r="C777" s="123" t="str">
        <f>'G MTTS'!L771</f>
        <v>4 Seats WarmUp</v>
      </c>
      <c r="D777" s="120" t="str">
        <f>'G MTTS'!M771</f>
        <v>SAT</v>
      </c>
      <c r="E777" s="101" t="str">
        <f>'G MTTS'!N771</f>
        <v>NLH</v>
      </c>
      <c r="F777" s="102" t="str">
        <f>'G MTTS'!O771</f>
        <v>OFF</v>
      </c>
      <c r="G777" s="103">
        <f>IF('G MTTS'!Q771=0," ",'G MTTS'!Q771*$A$3)</f>
        <v>440</v>
      </c>
      <c r="H777" s="104">
        <f>IF('G MTTS'!V771=0," ",'G MTTS'!V771*$A$3)</f>
        <v>6</v>
      </c>
      <c r="I777" s="104">
        <f>IF('G MTTS'!W771=0," ",'G MTTS'!W771*$A$3)</f>
        <v>6</v>
      </c>
      <c r="J777" s="104">
        <f>IF('G MTTS'!Z771=0," ",'G MTTS'!Z771*$A$3)</f>
        <v>6</v>
      </c>
      <c r="K777" s="105">
        <f>'G MTTS'!AF771</f>
        <v>10000</v>
      </c>
      <c r="L777" s="105">
        <f>'G MTTS'!X771</f>
        <v>0</v>
      </c>
      <c r="M777" s="105">
        <f>'G MTTS'!AA771</f>
        <v>20000</v>
      </c>
      <c r="N777" s="106">
        <f>'G MTTS'!AG771</f>
        <v>5</v>
      </c>
      <c r="O777" s="106">
        <f>'G MTTS'!AH771</f>
        <v>4</v>
      </c>
      <c r="P777" s="106">
        <f>'G MTTS'!AI771</f>
        <v>4</v>
      </c>
      <c r="Q777" s="107">
        <f>'G MTTS'!AJ771</f>
        <v>9</v>
      </c>
      <c r="R777" s="46">
        <f t="shared" si="68"/>
        <v>0.468761574074074</v>
      </c>
      <c r="S777" s="47" t="str">
        <f t="shared" si="67"/>
        <v>MICRO</v>
      </c>
    </row>
    <row r="778" ht="29.25" customHeight="1" outlineLevel="1" spans="1:19">
      <c r="A778" s="29"/>
      <c r="B778" s="128">
        <f>'G MTTS'!B772</f>
        <v>0.479178240740741</v>
      </c>
      <c r="C778" s="129" t="str">
        <f>'G MTTS'!L772</f>
        <v>4 Seats WarmUp</v>
      </c>
      <c r="D778" s="120" t="str">
        <f>'G MTTS'!M772</f>
        <v>SAT</v>
      </c>
      <c r="E778" s="101" t="str">
        <f>'G MTTS'!N772</f>
        <v>NLH</v>
      </c>
      <c r="F778" s="102" t="str">
        <f>'G MTTS'!O772</f>
        <v>OFF</v>
      </c>
      <c r="G778" s="103">
        <f>IF('G MTTS'!Q772=0," ",'G MTTS'!Q772*$A$3)</f>
        <v>440</v>
      </c>
      <c r="H778" s="104">
        <f>IF('G MTTS'!V772=0," ",'G MTTS'!V772*$A$3)</f>
        <v>6</v>
      </c>
      <c r="I778" s="104">
        <f>IF('G MTTS'!W772=0," ",'G MTTS'!W772*$A$3)</f>
        <v>6</v>
      </c>
      <c r="J778" s="104">
        <f>IF('G MTTS'!Z772=0," ",'G MTTS'!Z772*$A$3)</f>
        <v>6</v>
      </c>
      <c r="K778" s="105">
        <f>'G MTTS'!AF772</f>
        <v>10000</v>
      </c>
      <c r="L778" s="105">
        <f>'G MTTS'!X772</f>
        <v>0</v>
      </c>
      <c r="M778" s="105">
        <f>'G MTTS'!AA772</f>
        <v>20000</v>
      </c>
      <c r="N778" s="106">
        <f>'G MTTS'!AG772</f>
        <v>4</v>
      </c>
      <c r="O778" s="106">
        <f>'G MTTS'!AH772</f>
        <v>4</v>
      </c>
      <c r="P778" s="106">
        <f>'G MTTS'!AI772</f>
        <v>4</v>
      </c>
      <c r="Q778" s="107">
        <f>'G MTTS'!AJ772</f>
        <v>9</v>
      </c>
      <c r="R778" s="46">
        <f t="shared" si="68"/>
        <v>0.504178240740741</v>
      </c>
      <c r="S778" s="47" t="str">
        <f t="shared" si="67"/>
        <v>MICRO</v>
      </c>
    </row>
    <row r="779" ht="29.25" customHeight="1" outlineLevel="1" spans="1:19">
      <c r="A779" s="124"/>
      <c r="B779" s="125">
        <f>'G MTTS'!B773</f>
        <v>0.520844907407407</v>
      </c>
      <c r="C779" s="126" t="str">
        <f>'G MTTS'!L773</f>
        <v>4 Seats WarmUp</v>
      </c>
      <c r="D779" s="120" t="str">
        <f>'G MTTS'!M773</f>
        <v>SAT</v>
      </c>
      <c r="E779" s="101" t="str">
        <f>'G MTTS'!N773</f>
        <v>NLH</v>
      </c>
      <c r="F779" s="102" t="str">
        <f>'G MTTS'!O773</f>
        <v>OFF</v>
      </c>
      <c r="G779" s="103">
        <f>IF('G MTTS'!Q773=0," ",'G MTTS'!Q773*$A$3)</f>
        <v>440</v>
      </c>
      <c r="H779" s="104">
        <f>IF('G MTTS'!V773=0," ",'G MTTS'!V773*$A$3)</f>
        <v>6</v>
      </c>
      <c r="I779" s="104">
        <f>IF('G MTTS'!W773=0," ",'G MTTS'!W773*$A$3)</f>
        <v>6</v>
      </c>
      <c r="J779" s="104">
        <f>IF('G MTTS'!Z773=0," ",'G MTTS'!Z773*$A$3)</f>
        <v>6</v>
      </c>
      <c r="K779" s="105">
        <f>'G MTTS'!AF773</f>
        <v>10000</v>
      </c>
      <c r="L779" s="105">
        <f>'G MTTS'!X773</f>
        <v>0</v>
      </c>
      <c r="M779" s="105">
        <f>'G MTTS'!AA773</f>
        <v>20000</v>
      </c>
      <c r="N779" s="106">
        <f>'G MTTS'!AG773</f>
        <v>4</v>
      </c>
      <c r="O779" s="106">
        <f>'G MTTS'!AH773</f>
        <v>4</v>
      </c>
      <c r="P779" s="106">
        <f>'G MTTS'!AI773</f>
        <v>4</v>
      </c>
      <c r="Q779" s="107">
        <f>'G MTTS'!AJ773</f>
        <v>9</v>
      </c>
      <c r="R779" s="46">
        <f t="shared" si="68"/>
        <v>0.545844907407407</v>
      </c>
      <c r="S779" s="47" t="str">
        <f t="shared" si="67"/>
        <v>MICRO</v>
      </c>
    </row>
    <row r="780" ht="29.25" customHeight="1" outlineLevel="1" spans="1:19">
      <c r="A780" s="135"/>
      <c r="B780" s="109"/>
      <c r="C780" s="110"/>
      <c r="D780" s="111"/>
      <c r="E780" s="112"/>
      <c r="F780" s="113"/>
      <c r="G780" s="114"/>
      <c r="H780" s="115"/>
      <c r="I780" s="115"/>
      <c r="J780" s="115"/>
      <c r="K780" s="116"/>
      <c r="L780" s="116"/>
      <c r="M780" s="116"/>
      <c r="N780" s="117"/>
      <c r="O780" s="117"/>
      <c r="P780" s="117"/>
      <c r="Q780" s="118"/>
      <c r="R780" s="46"/>
      <c r="S780" s="47"/>
    </row>
    <row r="781" ht="29.25" customHeight="1" outlineLevel="1" spans="1:19">
      <c r="A781" s="121" t="str">
        <f>'G MTTS'!J775</f>
        <v>#AS Battle HR+SPS</v>
      </c>
      <c r="B781" s="122">
        <f>'G MTTS'!B775</f>
        <v>0.541678240740741</v>
      </c>
      <c r="C781" s="123" t="str">
        <f>'G MTTS'!L775</f>
        <v>3 Seats Battle HR</v>
      </c>
      <c r="D781" s="120" t="str">
        <f>'G MTTS'!M775</f>
        <v>SAT</v>
      </c>
      <c r="E781" s="101" t="str">
        <f>'G MTTS'!N775</f>
        <v>NLH</v>
      </c>
      <c r="F781" s="102" t="str">
        <f>'G MTTS'!O775</f>
        <v>OFF</v>
      </c>
      <c r="G781" s="103">
        <f>IF('G MTTS'!Q775=0," ",'G MTTS'!Q775*$A$3)</f>
        <v>450</v>
      </c>
      <c r="H781" s="104">
        <f>IF('G MTTS'!V775=0," ",'G MTTS'!V775*$A$3)</f>
        <v>9</v>
      </c>
      <c r="I781" s="104">
        <f>IF('G MTTS'!W775=0," ",'G MTTS'!W775*$A$3)</f>
        <v>9</v>
      </c>
      <c r="J781" s="104">
        <f>IF('G MTTS'!Z775=0," ",'G MTTS'!Z775*$A$3)</f>
        <v>9</v>
      </c>
      <c r="K781" s="105">
        <f>'G MTTS'!AF775</f>
        <v>10000</v>
      </c>
      <c r="L781" s="105">
        <f>'G MTTS'!X775</f>
        <v>0</v>
      </c>
      <c r="M781" s="105">
        <f>'G MTTS'!AA775</f>
        <v>20000</v>
      </c>
      <c r="N781" s="106">
        <f>'G MTTS'!AG775</f>
        <v>5</v>
      </c>
      <c r="O781" s="106">
        <f>'G MTTS'!AH775</f>
        <v>4</v>
      </c>
      <c r="P781" s="106">
        <f>'G MTTS'!AI775</f>
        <v>4</v>
      </c>
      <c r="Q781" s="107">
        <f>'G MTTS'!AJ775</f>
        <v>9</v>
      </c>
      <c r="R781" s="46">
        <f t="shared" ref="R781:R785" si="69">IF(B781=0," ",TIME(,ROUNDDOWN(N781*Q781/60,0)*5+(N781*Q781),)+B781)</f>
        <v>0.572928240740741</v>
      </c>
      <c r="S781" s="47" t="str">
        <f t="shared" ref="S781:S785" si="70">IFERROR(IF(H781=0," ",IF(H781&lt;=25,"MICRO",IF(H781&lt;=99,"LOW",IF(H781&lt;=499,"MEDIUM",IF(H781&lt;=2500,"HIGH",IF(H781&gt;2500,"SUPER HIGH",)))))),"")</f>
        <v>MICRO</v>
      </c>
    </row>
    <row r="782" ht="29.25" customHeight="1" outlineLevel="1" spans="1:19">
      <c r="A782" s="29"/>
      <c r="B782" s="128">
        <f>'G MTTS'!B776</f>
        <v>0.583344907407407</v>
      </c>
      <c r="C782" s="129" t="str">
        <f>'G MTTS'!L776</f>
        <v>4 Seats Battle HR</v>
      </c>
      <c r="D782" s="120" t="str">
        <f>'G MTTS'!M776</f>
        <v>SAT</v>
      </c>
      <c r="E782" s="101" t="str">
        <f>'G MTTS'!N776</f>
        <v>NLH</v>
      </c>
      <c r="F782" s="102" t="str">
        <f>'G MTTS'!O776</f>
        <v>OFF</v>
      </c>
      <c r="G782" s="103">
        <f>IF('G MTTS'!Q776=0," ",'G MTTS'!Q776*$A$3)</f>
        <v>600</v>
      </c>
      <c r="H782" s="104">
        <f>IF('G MTTS'!V776=0," ",'G MTTS'!V776*$A$3)</f>
        <v>10</v>
      </c>
      <c r="I782" s="104">
        <f>IF('G MTTS'!W776=0," ",'G MTTS'!W776*$A$3)</f>
        <v>10</v>
      </c>
      <c r="J782" s="104">
        <f>IF('G MTTS'!Z776=0," ",'G MTTS'!Z776*$A$3)</f>
        <v>10</v>
      </c>
      <c r="K782" s="105">
        <f>'G MTTS'!AF776</f>
        <v>10000</v>
      </c>
      <c r="L782" s="105">
        <f>'G MTTS'!X776</f>
        <v>0</v>
      </c>
      <c r="M782" s="105">
        <f>'G MTTS'!AA776</f>
        <v>20000</v>
      </c>
      <c r="N782" s="106">
        <f>'G MTTS'!AG776</f>
        <v>5</v>
      </c>
      <c r="O782" s="106">
        <f>'G MTTS'!AH776</f>
        <v>4</v>
      </c>
      <c r="P782" s="106">
        <f>'G MTTS'!AI776</f>
        <v>4</v>
      </c>
      <c r="Q782" s="107">
        <f>'G MTTS'!AJ776</f>
        <v>9</v>
      </c>
      <c r="R782" s="46">
        <f t="shared" si="69"/>
        <v>0.614594907407407</v>
      </c>
      <c r="S782" s="47" t="str">
        <f t="shared" si="70"/>
        <v>MICRO</v>
      </c>
    </row>
    <row r="783" ht="29.25" customHeight="1" outlineLevel="1" spans="1:19">
      <c r="A783" s="29"/>
      <c r="B783" s="128">
        <f>'G MTTS'!B777</f>
        <v>0.625011574074074</v>
      </c>
      <c r="C783" s="129" t="str">
        <f>'G MTTS'!L777</f>
        <v>5 Seats Battle HR</v>
      </c>
      <c r="D783" s="120" t="str">
        <f>'G MTTS'!M777</f>
        <v>SAT</v>
      </c>
      <c r="E783" s="101" t="str">
        <f>'G MTTS'!N777</f>
        <v>NLH</v>
      </c>
      <c r="F783" s="102" t="str">
        <f>'G MTTS'!O777</f>
        <v>OFF</v>
      </c>
      <c r="G783" s="103">
        <f>IF('G MTTS'!Q777=0," ",'G MTTS'!Q777*$A$3)</f>
        <v>750</v>
      </c>
      <c r="H783" s="104">
        <f>IF('G MTTS'!V777=0," ",'G MTTS'!V777*$A$3)</f>
        <v>10</v>
      </c>
      <c r="I783" s="104">
        <f>IF('G MTTS'!W777=0," ",'G MTTS'!W777*$A$3)</f>
        <v>10</v>
      </c>
      <c r="J783" s="104">
        <f>IF('G MTTS'!Z777=0," ",'G MTTS'!Z777*$A$3)</f>
        <v>10</v>
      </c>
      <c r="K783" s="105">
        <f>'G MTTS'!AF777</f>
        <v>10000</v>
      </c>
      <c r="L783" s="105">
        <f>'G MTTS'!X777</f>
        <v>0</v>
      </c>
      <c r="M783" s="105">
        <f>'G MTTS'!AA777</f>
        <v>20000</v>
      </c>
      <c r="N783" s="106">
        <f>'G MTTS'!AG777</f>
        <v>5</v>
      </c>
      <c r="O783" s="106">
        <f>'G MTTS'!AH777</f>
        <v>4</v>
      </c>
      <c r="P783" s="106">
        <f>'G MTTS'!AI777</f>
        <v>4</v>
      </c>
      <c r="Q783" s="107">
        <f>'G MTTS'!AJ777</f>
        <v>9</v>
      </c>
      <c r="R783" s="46">
        <f t="shared" si="69"/>
        <v>0.656261574074074</v>
      </c>
      <c r="S783" s="47" t="str">
        <f t="shared" si="70"/>
        <v>MICRO</v>
      </c>
    </row>
    <row r="784" ht="29.25" customHeight="1" outlineLevel="1" spans="1:19">
      <c r="A784" s="29"/>
      <c r="B784" s="128">
        <f>'G MTTS'!B778</f>
        <v>0.666678240740741</v>
      </c>
      <c r="C784" s="129" t="str">
        <f>'G MTTS'!L778</f>
        <v>6 Seats Battle HR</v>
      </c>
      <c r="D784" s="120" t="str">
        <f>'G MTTS'!M778</f>
        <v>SAT</v>
      </c>
      <c r="E784" s="101" t="str">
        <f>'G MTTS'!N778</f>
        <v>NLH</v>
      </c>
      <c r="F784" s="102" t="str">
        <f>'G MTTS'!O778</f>
        <v>OFF</v>
      </c>
      <c r="G784" s="103">
        <f>IF('G MTTS'!Q778=0," ",'G MTTS'!Q778*$A$3)</f>
        <v>900</v>
      </c>
      <c r="H784" s="104">
        <f>IF('G MTTS'!V778=0," ",'G MTTS'!V778*$A$3)</f>
        <v>10</v>
      </c>
      <c r="I784" s="104">
        <f>IF('G MTTS'!W778=0," ",'G MTTS'!W778*$A$3)</f>
        <v>10</v>
      </c>
      <c r="J784" s="104">
        <f>IF('G MTTS'!Z778=0," ",'G MTTS'!Z778*$A$3)</f>
        <v>10</v>
      </c>
      <c r="K784" s="105">
        <f>'G MTTS'!AF778</f>
        <v>10000</v>
      </c>
      <c r="L784" s="105">
        <f>'G MTTS'!X778</f>
        <v>0</v>
      </c>
      <c r="M784" s="105">
        <f>'G MTTS'!AA778</f>
        <v>20000</v>
      </c>
      <c r="N784" s="106">
        <f>'G MTTS'!AG778</f>
        <v>5</v>
      </c>
      <c r="O784" s="106">
        <f>'G MTTS'!AH778</f>
        <v>4</v>
      </c>
      <c r="P784" s="106">
        <f>'G MTTS'!AI778</f>
        <v>4</v>
      </c>
      <c r="Q784" s="107">
        <f>'G MTTS'!AJ778</f>
        <v>9</v>
      </c>
      <c r="R784" s="46">
        <f t="shared" si="69"/>
        <v>0.697928240740741</v>
      </c>
      <c r="S784" s="47" t="str">
        <f t="shared" si="70"/>
        <v>MICRO</v>
      </c>
    </row>
    <row r="785" ht="29.25" customHeight="1" outlineLevel="1" spans="1:19">
      <c r="A785" s="124"/>
      <c r="B785" s="125">
        <f>'G MTTS'!B779</f>
        <v>0.729178240740741</v>
      </c>
      <c r="C785" s="126" t="str">
        <f>'G MTTS'!L779</f>
        <v>7 Seats Battle HR</v>
      </c>
      <c r="D785" s="120" t="str">
        <f>'G MTTS'!M779</f>
        <v>SAT</v>
      </c>
      <c r="E785" s="101" t="str">
        <f>'G MTTS'!N779</f>
        <v>NLH</v>
      </c>
      <c r="F785" s="102" t="str">
        <f>'G MTTS'!O779</f>
        <v>OFF</v>
      </c>
      <c r="G785" s="103">
        <f>IF('G MTTS'!Q779=0," ",'G MTTS'!Q779*$A$3)</f>
        <v>1050</v>
      </c>
      <c r="H785" s="104">
        <f>IF('G MTTS'!V779=0," ",'G MTTS'!V779*$A$3)</f>
        <v>10</v>
      </c>
      <c r="I785" s="104">
        <f>IF('G MTTS'!W779=0," ",'G MTTS'!W779*$A$3)</f>
        <v>10</v>
      </c>
      <c r="J785" s="104">
        <f>IF('G MTTS'!Z779=0," ",'G MTTS'!Z779*$A$3)</f>
        <v>10</v>
      </c>
      <c r="K785" s="105">
        <f>'G MTTS'!AF779</f>
        <v>10000</v>
      </c>
      <c r="L785" s="105">
        <f>'G MTTS'!X779</f>
        <v>0</v>
      </c>
      <c r="M785" s="105">
        <f>'G MTTS'!AA779</f>
        <v>20000</v>
      </c>
      <c r="N785" s="106">
        <f>'G MTTS'!AG779</f>
        <v>4</v>
      </c>
      <c r="O785" s="106">
        <f>'G MTTS'!AH779</f>
        <v>4</v>
      </c>
      <c r="P785" s="106">
        <f>'G MTTS'!AI779</f>
        <v>3</v>
      </c>
      <c r="Q785" s="107">
        <f>'G MTTS'!AJ779</f>
        <v>9</v>
      </c>
      <c r="R785" s="46">
        <f t="shared" si="69"/>
        <v>0.754178240740741</v>
      </c>
      <c r="S785" s="47" t="str">
        <f t="shared" si="70"/>
        <v>MICRO</v>
      </c>
    </row>
    <row r="786" ht="29.25" customHeight="1" outlineLevel="1" spans="1:19">
      <c r="A786" s="135"/>
      <c r="B786" s="109"/>
      <c r="C786" s="110"/>
      <c r="D786" s="111"/>
      <c r="E786" s="112"/>
      <c r="F786" s="113"/>
      <c r="G786" s="114"/>
      <c r="H786" s="115"/>
      <c r="I786" s="115"/>
      <c r="J786" s="115"/>
      <c r="K786" s="116"/>
      <c r="L786" s="116"/>
      <c r="M786" s="116"/>
      <c r="N786" s="117"/>
      <c r="O786" s="117"/>
      <c r="P786" s="117"/>
      <c r="Q786" s="118"/>
      <c r="R786" s="46"/>
      <c r="S786" s="47"/>
    </row>
    <row r="787" ht="29.25" customHeight="1" outlineLevel="1" spans="1:19">
      <c r="A787" s="119" t="str">
        <f>'G MTTS'!J781</f>
        <v>#AS Saturday PLO</v>
      </c>
      <c r="B787" s="98">
        <f>'G MTTS'!B781</f>
        <v>0.583344907407407</v>
      </c>
      <c r="C787" s="99" t="str">
        <f>'G MTTS'!L781</f>
        <v>5 Seats Saturday PLO</v>
      </c>
      <c r="D787" s="100" t="str">
        <f>'G MTTS'!M781</f>
        <v>SAT</v>
      </c>
      <c r="E787" s="101" t="str">
        <f>'G MTTS'!N781</f>
        <v>PLO5</v>
      </c>
      <c r="F787" s="102" t="str">
        <f>'G MTTS'!O781</f>
        <v>OFF</v>
      </c>
      <c r="G787" s="103">
        <f>IF('G MTTS'!Q781=0," ",'G MTTS'!Q781*$A$3)</f>
        <v>750</v>
      </c>
      <c r="H787" s="104">
        <f>IF('G MTTS'!V781=0," ",'G MTTS'!V781*$A$3)</f>
        <v>9</v>
      </c>
      <c r="I787" s="104">
        <f>IF('G MTTS'!W781=0," ",'G MTTS'!W781*$A$3)</f>
        <v>9</v>
      </c>
      <c r="J787" s="104">
        <f>IF('G MTTS'!Z781=0," ",'G MTTS'!Z781*$A$3)</f>
        <v>9</v>
      </c>
      <c r="K787" s="105">
        <f>'G MTTS'!AF781</f>
        <v>10000</v>
      </c>
      <c r="L787" s="105">
        <f>'G MTTS'!X781</f>
        <v>0</v>
      </c>
      <c r="M787" s="105">
        <f>'G MTTS'!AA781</f>
        <v>20000</v>
      </c>
      <c r="N787" s="106">
        <f>'G MTTS'!AG781</f>
        <v>4</v>
      </c>
      <c r="O787" s="106">
        <f>'G MTTS'!AH781</f>
        <v>4</v>
      </c>
      <c r="P787" s="106">
        <f>'G MTTS'!AI781</f>
        <v>4</v>
      </c>
      <c r="Q787" s="107">
        <f>'G MTTS'!AJ781</f>
        <v>9</v>
      </c>
      <c r="R787" s="46">
        <f t="shared" ref="R787:R789" si="71">IF(B787=0," ",TIME(,ROUNDDOWN(N787*Q787/60,0)*5+(N787*Q787),)+B787)</f>
        <v>0.608344907407407</v>
      </c>
      <c r="S787" s="47" t="str">
        <f t="shared" ref="S787:S789" si="72">IFERROR(IF(H787=0," ",IF(H787&lt;=25,"MICRO",IF(H787&lt;=99,"LOW",IF(H787&lt;=499,"MEDIUM",IF(H787&lt;=2500,"HIGH",IF(H787&gt;2500,"SUPER HIGH",)))))),"")</f>
        <v>MICRO</v>
      </c>
    </row>
    <row r="788" ht="29.25" customHeight="1" outlineLevel="1" spans="1:19">
      <c r="A788" s="135"/>
      <c r="B788" s="109"/>
      <c r="C788" s="110"/>
      <c r="D788" s="111"/>
      <c r="E788" s="112"/>
      <c r="F788" s="113"/>
      <c r="G788" s="114"/>
      <c r="H788" s="115"/>
      <c r="I788" s="115"/>
      <c r="J788" s="115"/>
      <c r="K788" s="116"/>
      <c r="L788" s="116"/>
      <c r="M788" s="116"/>
      <c r="N788" s="117"/>
      <c r="O788" s="117"/>
      <c r="P788" s="117"/>
      <c r="Q788" s="118"/>
      <c r="R788" s="46" t="str">
        <f t="shared" si="71"/>
        <v> </v>
      </c>
      <c r="S788" s="47" t="str">
        <f t="shared" si="72"/>
        <v> </v>
      </c>
    </row>
    <row r="789" ht="29.25" customHeight="1" outlineLevel="1" spans="1:19">
      <c r="A789" s="119" t="str">
        <f>'G MTTS'!J783</f>
        <v>#AS Battle</v>
      </c>
      <c r="B789" s="98">
        <f>'G MTTS'!B783</f>
        <v>0.604178240740741</v>
      </c>
      <c r="C789" s="99" t="str">
        <f>'G MTTS'!L783</f>
        <v>6 Seats Battle</v>
      </c>
      <c r="D789" s="120" t="str">
        <f>'G MTTS'!M783</f>
        <v>SAT</v>
      </c>
      <c r="E789" s="101" t="str">
        <f>'G MTTS'!N783</f>
        <v>NLH</v>
      </c>
      <c r="F789" s="102" t="str">
        <f>'G MTTS'!O783</f>
        <v>OFF</v>
      </c>
      <c r="G789" s="103">
        <f>IF('G MTTS'!Q783=0," ",'G MTTS'!Q783*$A$3)</f>
        <v>330</v>
      </c>
      <c r="H789" s="104">
        <f>IF('G MTTS'!V783=0," ",'G MTTS'!V783*$A$3)</f>
        <v>3</v>
      </c>
      <c r="I789" s="104">
        <f>IF('G MTTS'!W783=0," ",'G MTTS'!W783*$A$3)</f>
        <v>3</v>
      </c>
      <c r="J789" s="104">
        <f>IF('G MTTS'!Z783=0," ",'G MTTS'!Z783*$A$3)</f>
        <v>3</v>
      </c>
      <c r="K789" s="105">
        <f>'G MTTS'!AF783</f>
        <v>10000</v>
      </c>
      <c r="L789" s="105">
        <f>'G MTTS'!X783</f>
        <v>0</v>
      </c>
      <c r="M789" s="105">
        <f>'G MTTS'!AA783</f>
        <v>20000</v>
      </c>
      <c r="N789" s="106">
        <f>'G MTTS'!AG783</f>
        <v>5</v>
      </c>
      <c r="O789" s="106">
        <f>'G MTTS'!AH783</f>
        <v>4</v>
      </c>
      <c r="P789" s="106">
        <f>'G MTTS'!AI783</f>
        <v>4</v>
      </c>
      <c r="Q789" s="107">
        <f>'G MTTS'!AJ783</f>
        <v>9</v>
      </c>
      <c r="R789" s="46">
        <f t="shared" si="71"/>
        <v>0.635428240740741</v>
      </c>
      <c r="S789" s="47" t="str">
        <f t="shared" si="72"/>
        <v>MICRO</v>
      </c>
    </row>
    <row r="790" ht="29.25" customHeight="1" outlineLevel="1" spans="1:19">
      <c r="A790" s="135"/>
      <c r="B790" s="109"/>
      <c r="C790" s="110"/>
      <c r="D790" s="111"/>
      <c r="E790" s="112"/>
      <c r="F790" s="113"/>
      <c r="G790" s="114"/>
      <c r="H790" s="115"/>
      <c r="I790" s="115"/>
      <c r="J790" s="115"/>
      <c r="K790" s="116"/>
      <c r="L790" s="116"/>
      <c r="M790" s="116"/>
      <c r="N790" s="117"/>
      <c r="O790" s="117"/>
      <c r="P790" s="117"/>
      <c r="Q790" s="118"/>
      <c r="R790" s="46"/>
      <c r="S790" s="47"/>
    </row>
    <row r="791" ht="29.25" customHeight="1" outlineLevel="1" spans="1:19">
      <c r="A791" s="119" t="str">
        <f>'G MTTS'!J785</f>
        <v>#AS OmaX PKO</v>
      </c>
      <c r="B791" s="98">
        <f>'G MTTS'!B785</f>
        <v>0.687511574074074</v>
      </c>
      <c r="C791" s="99" t="str">
        <f>'G MTTS'!L785</f>
        <v>6 Seats OmaX PKO</v>
      </c>
      <c r="D791" s="120" t="str">
        <f>'G MTTS'!M785</f>
        <v>SAT</v>
      </c>
      <c r="E791" s="101" t="str">
        <f>'G MTTS'!N785</f>
        <v>PLO5</v>
      </c>
      <c r="F791" s="102" t="str">
        <f>'G MTTS'!O785</f>
        <v>OFF</v>
      </c>
      <c r="G791" s="103">
        <f>IF('G MTTS'!Q785=0," ",'G MTTS'!Q785*$A$3)</f>
        <v>450</v>
      </c>
      <c r="H791" s="104">
        <f>IF('G MTTS'!V785=0," ",'G MTTS'!V785*$A$3)</f>
        <v>4</v>
      </c>
      <c r="I791" s="104">
        <f>IF('G MTTS'!W785=0," ",'G MTTS'!W785*$A$3)</f>
        <v>4</v>
      </c>
      <c r="J791" s="104">
        <f>IF('G MTTS'!Z785=0," ",'G MTTS'!Z785*$A$3)</f>
        <v>4</v>
      </c>
      <c r="K791" s="105">
        <f>'G MTTS'!AF785</f>
        <v>10000</v>
      </c>
      <c r="L791" s="105">
        <f>'G MTTS'!X785</f>
        <v>0</v>
      </c>
      <c r="M791" s="105">
        <f>'G MTTS'!AA785</f>
        <v>20000</v>
      </c>
      <c r="N791" s="106">
        <f>'G MTTS'!AG785</f>
        <v>5</v>
      </c>
      <c r="O791" s="106">
        <f>'G MTTS'!AH785</f>
        <v>4</v>
      </c>
      <c r="P791" s="106">
        <f>'G MTTS'!AI785</f>
        <v>4</v>
      </c>
      <c r="Q791" s="107">
        <f>'G MTTS'!AJ785</f>
        <v>9</v>
      </c>
      <c r="R791" s="46">
        <f>IF(B791=0," ",TIME(,ROUNDDOWN(N791*Q791/60,0)*5+(N791*Q791),)+B791)</f>
        <v>0.718761574074074</v>
      </c>
      <c r="S791" s="47" t="str">
        <f>IFERROR(IF(H791=0," ",IF(H791&lt;=25,"MICRO",IF(H791&lt;=99,"LOW",IF(H791&lt;=499,"MEDIUM",IF(H791&lt;=2500,"HIGH",IF(H791&gt;2500,"SUPER HIGH",)))))),"")</f>
        <v>MICRO</v>
      </c>
    </row>
    <row r="792" ht="29.25" customHeight="1" outlineLevel="1" spans="1:19">
      <c r="A792" s="135"/>
      <c r="B792" s="109"/>
      <c r="C792" s="110"/>
      <c r="D792" s="111"/>
      <c r="E792" s="112"/>
      <c r="F792" s="113"/>
      <c r="G792" s="114"/>
      <c r="H792" s="115"/>
      <c r="I792" s="115"/>
      <c r="J792" s="115"/>
      <c r="K792" s="116"/>
      <c r="L792" s="116"/>
      <c r="M792" s="116"/>
      <c r="N792" s="117"/>
      <c r="O792" s="117"/>
      <c r="P792" s="117"/>
      <c r="Q792" s="118"/>
      <c r="R792" s="46"/>
      <c r="S792" s="47"/>
    </row>
    <row r="793" ht="29.25" customHeight="1" outlineLevel="1" spans="1:19">
      <c r="A793" s="119" t="str">
        <f>'G MTTS'!J787</f>
        <v>#AS OmaX HR</v>
      </c>
      <c r="B793" s="98">
        <f>'G MTTS'!B787</f>
        <v>0.750011574074074</v>
      </c>
      <c r="C793" s="99" t="str">
        <f>'G MTTS'!L787</f>
        <v>6 Seats OmaX HR</v>
      </c>
      <c r="D793" s="100" t="str">
        <f>'G MTTS'!M787</f>
        <v>SAT</v>
      </c>
      <c r="E793" s="101" t="str">
        <f>'G MTTS'!N787</f>
        <v>PLO5</v>
      </c>
      <c r="F793" s="102" t="str">
        <f>'G MTTS'!O787</f>
        <v>OFF</v>
      </c>
      <c r="G793" s="103">
        <f>IF('G MTTS'!Q787=0," ",'G MTTS'!Q787*$A$3)</f>
        <v>1500</v>
      </c>
      <c r="H793" s="104">
        <f>IF('G MTTS'!V787=0," ",'G MTTS'!V787*$A$3)</f>
        <v>15</v>
      </c>
      <c r="I793" s="104">
        <f>IF('G MTTS'!W787=0," ",'G MTTS'!W787*$A$3)</f>
        <v>15</v>
      </c>
      <c r="J793" s="104">
        <f>IF('G MTTS'!Z787=0," ",'G MTTS'!Z787*$A$3)</f>
        <v>20</v>
      </c>
      <c r="K793" s="105">
        <f>'G MTTS'!AF787</f>
        <v>10000</v>
      </c>
      <c r="L793" s="105">
        <f>'G MTTS'!X787</f>
        <v>0</v>
      </c>
      <c r="M793" s="105">
        <f>'G MTTS'!AA787</f>
        <v>20000</v>
      </c>
      <c r="N793" s="106">
        <f>'G MTTS'!AG787</f>
        <v>5</v>
      </c>
      <c r="O793" s="106">
        <f>'G MTTS'!AH787</f>
        <v>4</v>
      </c>
      <c r="P793" s="106">
        <f>'G MTTS'!AI787</f>
        <v>4</v>
      </c>
      <c r="Q793" s="107">
        <f>'G MTTS'!AJ787</f>
        <v>9</v>
      </c>
      <c r="R793" s="46">
        <f>IF(B793=0," ",TIME(,ROUNDDOWN(N793*Q793/60,0)*5+(N793*Q793),)+B793)</f>
        <v>0.781261574074074</v>
      </c>
      <c r="S793" s="47" t="str">
        <f>IFERROR(IF(H793=0," ",IF(H793&lt;=25,"MICRO",IF(H793&lt;=99,"LOW",IF(H793&lt;=499,"MEDIUM",IF(H793&lt;=2500,"HIGH",IF(H793&gt;2500,"SUPER HIGH",)))))),"")</f>
        <v>MICRO</v>
      </c>
    </row>
    <row r="794" ht="29.25" customHeight="1" outlineLevel="1" spans="1:19">
      <c r="A794" s="135"/>
      <c r="B794" s="109"/>
      <c r="C794" s="110"/>
      <c r="D794" s="111"/>
      <c r="E794" s="112"/>
      <c r="F794" s="113"/>
      <c r="G794" s="114"/>
      <c r="H794" s="115"/>
      <c r="I794" s="115"/>
      <c r="J794" s="115"/>
      <c r="K794" s="116"/>
      <c r="L794" s="116"/>
      <c r="M794" s="116"/>
      <c r="N794" s="117"/>
      <c r="O794" s="117"/>
      <c r="P794" s="117"/>
      <c r="Q794" s="118"/>
      <c r="R794" s="46"/>
      <c r="S794" s="47"/>
    </row>
    <row r="795" ht="29.25" customHeight="1" outlineLevel="1" spans="1:19">
      <c r="A795" s="97" t="str">
        <f>'G MTTS'!J789</f>
        <v>#AS OmaX Turbo</v>
      </c>
      <c r="B795" s="98">
        <f>'G MTTS'!B789</f>
        <v>0.812511574074074</v>
      </c>
      <c r="C795" s="99" t="str">
        <f>'G MTTS'!L789</f>
        <v>6 Seats OmaX T.</v>
      </c>
      <c r="D795" s="100" t="str">
        <f>'G MTTS'!M789</f>
        <v>SAT</v>
      </c>
      <c r="E795" s="101" t="str">
        <f>'G MTTS'!N789</f>
        <v>PLO5</v>
      </c>
      <c r="F795" s="102" t="str">
        <f>'G MTTS'!O789</f>
        <v>OFF</v>
      </c>
      <c r="G795" s="103">
        <f>IF('G MTTS'!Q789=0," ",'G MTTS'!Q789*$A$3)</f>
        <v>330</v>
      </c>
      <c r="H795" s="104">
        <f>IF('G MTTS'!V789=0," ",'G MTTS'!V789*$A$3)</f>
        <v>3</v>
      </c>
      <c r="I795" s="104">
        <f>IF('G MTTS'!W789=0," ",'G MTTS'!W789*$A$3)</f>
        <v>3</v>
      </c>
      <c r="J795" s="104">
        <f>IF('G MTTS'!Z789=0," ",'G MTTS'!Z789*$A$3)</f>
        <v>3</v>
      </c>
      <c r="K795" s="105">
        <f>'G MTTS'!AF789</f>
        <v>10000</v>
      </c>
      <c r="L795" s="105">
        <f>'G MTTS'!X789</f>
        <v>0</v>
      </c>
      <c r="M795" s="105">
        <f>'G MTTS'!AA789</f>
        <v>20000</v>
      </c>
      <c r="N795" s="106">
        <f>'G MTTS'!AG789</f>
        <v>5</v>
      </c>
      <c r="O795" s="106">
        <f>'G MTTS'!AH789</f>
        <v>4</v>
      </c>
      <c r="P795" s="106">
        <f>'G MTTS'!AI789</f>
        <v>4</v>
      </c>
      <c r="Q795" s="107">
        <f>'G MTTS'!AJ789</f>
        <v>9</v>
      </c>
      <c r="R795" s="46">
        <f>IF(B795=0," ",TIME(,ROUNDDOWN(N795*Q795/60,0)*5+(N795*Q795),)+B795)</f>
        <v>0.843761574074074</v>
      </c>
      <c r="S795" s="47" t="str">
        <f>IFERROR(IF(H795=0," ",IF(H795&lt;=25,"MICRO",IF(H795&lt;=99,"LOW",IF(H795&lt;=499,"MEDIUM",IF(H795&lt;=2500,"HIGH",IF(H795&gt;2500,"SUPER HIGH",)))))),"")</f>
        <v>MICRO</v>
      </c>
    </row>
    <row r="796" ht="29.25" customHeight="1" outlineLevel="1" spans="1:19">
      <c r="A796" s="135"/>
      <c r="B796" s="109"/>
      <c r="C796" s="110"/>
      <c r="D796" s="111"/>
      <c r="E796" s="112"/>
      <c r="F796" s="113"/>
      <c r="G796" s="114"/>
      <c r="H796" s="115"/>
      <c r="I796" s="115"/>
      <c r="J796" s="115"/>
      <c r="K796" s="116"/>
      <c r="L796" s="116"/>
      <c r="M796" s="116"/>
      <c r="N796" s="117"/>
      <c r="O796" s="117"/>
      <c r="P796" s="117"/>
      <c r="Q796" s="118"/>
      <c r="R796" s="46"/>
      <c r="S796" s="47"/>
    </row>
    <row r="797" ht="29.25" customHeight="1" outlineLevel="1" spans="1:19">
      <c r="A797" s="97" t="str">
        <f>'G MTTS'!J791</f>
        <v>#AS Battle PKO</v>
      </c>
      <c r="B797" s="98">
        <f>'G MTTS'!B791</f>
        <v>0.833344907407407</v>
      </c>
      <c r="C797" s="99" t="str">
        <f>'G MTTS'!L791</f>
        <v>3 Seats Battle PKO</v>
      </c>
      <c r="D797" s="100" t="str">
        <f>'G MTTS'!M791</f>
        <v>SAT</v>
      </c>
      <c r="E797" s="101" t="str">
        <f>'G MTTS'!N791</f>
        <v>NLH</v>
      </c>
      <c r="F797" s="102" t="str">
        <f>'G MTTS'!O791</f>
        <v>OFF</v>
      </c>
      <c r="G797" s="103">
        <f>IF('G MTTS'!Q791=0," ",'G MTTS'!Q791*$A$3)</f>
        <v>330</v>
      </c>
      <c r="H797" s="104">
        <f>IF('G MTTS'!V791=0," ",'G MTTS'!V791*$A$3)</f>
        <v>6</v>
      </c>
      <c r="I797" s="104">
        <f>IF('G MTTS'!W791=0," ",'G MTTS'!W791*$A$3)</f>
        <v>6</v>
      </c>
      <c r="J797" s="104">
        <f>IF('G MTTS'!Z791=0," ",'G MTTS'!Z791*$A$3)</f>
        <v>6</v>
      </c>
      <c r="K797" s="105">
        <f>'G MTTS'!AF791</f>
        <v>10000</v>
      </c>
      <c r="L797" s="105">
        <f>'G MTTS'!X791</f>
        <v>0</v>
      </c>
      <c r="M797" s="105">
        <f>'G MTTS'!AA791</f>
        <v>20000</v>
      </c>
      <c r="N797" s="106">
        <f>'G MTTS'!AG791</f>
        <v>4</v>
      </c>
      <c r="O797" s="106">
        <f>'G MTTS'!AH791</f>
        <v>4</v>
      </c>
      <c r="P797" s="106">
        <f>'G MTTS'!AI791</f>
        <v>4</v>
      </c>
      <c r="Q797" s="107">
        <f>'G MTTS'!AJ791</f>
        <v>9</v>
      </c>
      <c r="R797" s="46">
        <f>IF(B797=0," ",TIME(,ROUNDDOWN(N797*Q797/60,0)*5+(N797*Q797),)+B797)</f>
        <v>0.858344907407407</v>
      </c>
      <c r="S797" s="47" t="str">
        <f>IFERROR(IF(H797=0," ",IF(H797&lt;=25,"MICRO",IF(H797&lt;=99,"LOW",IF(H797&lt;=499,"MEDIUM",IF(H797&lt;=2500,"HIGH",IF(H797&gt;2500,"SUPER HIGH",)))))),"")</f>
        <v>MICRO</v>
      </c>
    </row>
    <row r="798" ht="29.25" customHeight="1" outlineLevel="1" spans="1:19">
      <c r="A798" s="135"/>
      <c r="B798" s="109"/>
      <c r="C798" s="110"/>
      <c r="D798" s="111"/>
      <c r="E798" s="112"/>
      <c r="F798" s="113"/>
      <c r="G798" s="114"/>
      <c r="H798" s="115"/>
      <c r="I798" s="115"/>
      <c r="J798" s="115"/>
      <c r="K798" s="116"/>
      <c r="L798" s="116"/>
      <c r="M798" s="116"/>
      <c r="N798" s="117"/>
      <c r="O798" s="117"/>
      <c r="P798" s="117"/>
      <c r="Q798" s="118"/>
      <c r="R798" s="46"/>
      <c r="S798" s="47"/>
    </row>
    <row r="799" ht="29.25" customHeight="1" outlineLevel="1" spans="1:19">
      <c r="A799" s="119" t="str">
        <f>'G MTTS'!J793</f>
        <v>#AS Bounty Night</v>
      </c>
      <c r="B799" s="98">
        <f>'G MTTS'!B793</f>
        <v>0.854178240740741</v>
      </c>
      <c r="C799" s="99" t="str">
        <f>'G MTTS'!L793</f>
        <v>5 Seats Bounty</v>
      </c>
      <c r="D799" s="120" t="str">
        <f>'G MTTS'!M793</f>
        <v>SAT</v>
      </c>
      <c r="E799" s="101" t="str">
        <f>'G MTTS'!N793</f>
        <v>NLH</v>
      </c>
      <c r="F799" s="102" t="str">
        <f>'G MTTS'!O793</f>
        <v>OFF</v>
      </c>
      <c r="G799" s="103">
        <f>IF('G MTTS'!Q793=0," ",'G MTTS'!Q793*$A$3)</f>
        <v>275</v>
      </c>
      <c r="H799" s="104">
        <f>IF('G MTTS'!V793=0," ",'G MTTS'!V793*$A$3)</f>
        <v>3</v>
      </c>
      <c r="I799" s="104">
        <f>IF('G MTTS'!W793=0," ",'G MTTS'!W793*$A$3)</f>
        <v>3</v>
      </c>
      <c r="J799" s="104">
        <f>IF('G MTTS'!Z793=0," ",'G MTTS'!Z793*$A$3)</f>
        <v>3</v>
      </c>
      <c r="K799" s="105">
        <f>'G MTTS'!AF793</f>
        <v>10000</v>
      </c>
      <c r="L799" s="105">
        <f>'G MTTS'!X793</f>
        <v>0</v>
      </c>
      <c r="M799" s="105">
        <f>'G MTTS'!AA793</f>
        <v>20000</v>
      </c>
      <c r="N799" s="106">
        <f>'G MTTS'!AG793</f>
        <v>5</v>
      </c>
      <c r="O799" s="106">
        <f>'G MTTS'!AH793</f>
        <v>4</v>
      </c>
      <c r="P799" s="106">
        <f>'G MTTS'!AI793</f>
        <v>4</v>
      </c>
      <c r="Q799" s="107">
        <f>'G MTTS'!AJ793</f>
        <v>9</v>
      </c>
      <c r="R799" s="46">
        <f>IF(B799=0," ",TIME(,ROUNDDOWN(N799*Q799/60,0)*5+(N799*Q799),)+B799)</f>
        <v>0.885428240740741</v>
      </c>
      <c r="S799" s="47" t="str">
        <f>IFERROR(IF(H799=0," ",IF(H799&lt;=25,"MICRO",IF(H799&lt;=99,"LOW",IF(H799&lt;=499,"MEDIUM",IF(H799&lt;=2500,"HIGH",IF(H799&gt;2500,"SUPER HIGH",)))))),"")</f>
        <v>MICRO</v>
      </c>
    </row>
    <row r="800" ht="29.25" customHeight="1" outlineLevel="1" spans="1:19">
      <c r="A800" s="135"/>
      <c r="B800" s="109"/>
      <c r="C800" s="110"/>
      <c r="D800" s="111"/>
      <c r="E800" s="112"/>
      <c r="F800" s="113"/>
      <c r="G800" s="114"/>
      <c r="H800" s="115"/>
      <c r="I800" s="115"/>
      <c r="J800" s="115"/>
      <c r="K800" s="116"/>
      <c r="L800" s="116"/>
      <c r="M800" s="116"/>
      <c r="N800" s="117"/>
      <c r="O800" s="117"/>
      <c r="P800" s="117"/>
      <c r="Q800" s="118"/>
      <c r="R800" s="46"/>
      <c r="S800" s="47"/>
    </row>
    <row r="801" ht="29.25" customHeight="1" outlineLevel="1" spans="1:19">
      <c r="A801" s="119" t="str">
        <f>'G MTTS'!J795</f>
        <v>#AS Sonic</v>
      </c>
      <c r="B801" s="98">
        <f>'G MTTS'!B795</f>
        <v>0.875011574074074</v>
      </c>
      <c r="C801" s="99" t="str">
        <f>'G MTTS'!L795</f>
        <v>2 Seats Sonic</v>
      </c>
      <c r="D801" s="100" t="str">
        <f>'G MTTS'!M795</f>
        <v>SAT</v>
      </c>
      <c r="E801" s="101" t="str">
        <f>'G MTTS'!N795</f>
        <v>NLH</v>
      </c>
      <c r="F801" s="102" t="str">
        <f>'G MTTS'!O795</f>
        <v>OFF</v>
      </c>
      <c r="G801" s="103">
        <f>IF('G MTTS'!Q795=0," ",'G MTTS'!Q795*$A$3)</f>
        <v>300</v>
      </c>
      <c r="H801" s="104">
        <f>IF('G MTTS'!V795=0," ",'G MTTS'!V795*$A$3)</f>
        <v>8</v>
      </c>
      <c r="I801" s="104">
        <f>IF('G MTTS'!W795=0," ",'G MTTS'!W795*$A$3)</f>
        <v>8</v>
      </c>
      <c r="J801" s="104">
        <f>IF('G MTTS'!Z795=0," ",'G MTTS'!Z795*$A$3)</f>
        <v>8</v>
      </c>
      <c r="K801" s="105">
        <f>'G MTTS'!AF795</f>
        <v>10000</v>
      </c>
      <c r="L801" s="105">
        <f>'G MTTS'!X795</f>
        <v>0</v>
      </c>
      <c r="M801" s="105">
        <f>'G MTTS'!AA795</f>
        <v>20000</v>
      </c>
      <c r="N801" s="106">
        <f>'G MTTS'!AG795</f>
        <v>5</v>
      </c>
      <c r="O801" s="106">
        <f>'G MTTS'!AH795</f>
        <v>4</v>
      </c>
      <c r="P801" s="106">
        <f>'G MTTS'!AI795</f>
        <v>4</v>
      </c>
      <c r="Q801" s="107">
        <f>'G MTTS'!AJ795</f>
        <v>9</v>
      </c>
      <c r="R801" s="46">
        <f>IF(B801=0," ",TIME(,ROUNDDOWN(N801*Q801/60,0)*5+(N801*Q801),)+B801)</f>
        <v>0.906261574074074</v>
      </c>
      <c r="S801" s="47" t="str">
        <f>IFERROR(IF(H801=0," ",IF(H801&lt;=25,"MICRO",IF(H801&lt;=99,"LOW",IF(H801&lt;=499,"MEDIUM",IF(H801&lt;=2500,"HIGH",IF(H801&gt;2500,"SUPER HIGH",)))))),"")</f>
        <v>MICRO</v>
      </c>
    </row>
    <row r="802" ht="29.25" customHeight="1" outlineLevel="1" spans="1:19">
      <c r="A802" s="135"/>
      <c r="B802" s="109"/>
      <c r="C802" s="110"/>
      <c r="D802" s="111"/>
      <c r="E802" s="112"/>
      <c r="F802" s="113"/>
      <c r="G802" s="114"/>
      <c r="H802" s="115"/>
      <c r="I802" s="115"/>
      <c r="J802" s="115"/>
      <c r="K802" s="116"/>
      <c r="L802" s="116"/>
      <c r="M802" s="116"/>
      <c r="N802" s="117"/>
      <c r="O802" s="117"/>
      <c r="P802" s="117"/>
      <c r="Q802" s="118"/>
      <c r="R802" s="46"/>
      <c r="S802" s="47"/>
    </row>
    <row r="803" ht="29.25" customHeight="1" outlineLevel="1" spans="1:19">
      <c r="A803" s="119" t="str">
        <f>'G MTTS'!J797</f>
        <v>SPS 76-M Supremo</v>
      </c>
      <c r="B803" s="98">
        <f>'G MTTS'!B797</f>
        <v>0.833344907407407</v>
      </c>
      <c r="C803" s="99" t="str">
        <f>'G MTTS'!L797</f>
        <v>1 Seat 76-M Supremo</v>
      </c>
      <c r="D803" s="100" t="str">
        <f>'G MTTS'!M797</f>
        <v>SAT</v>
      </c>
      <c r="E803" s="101" t="str">
        <f>'G MTTS'!N797</f>
        <v>NLH</v>
      </c>
      <c r="F803" s="102" t="str">
        <f>'G MTTS'!O797</f>
        <v>OFF</v>
      </c>
      <c r="G803" s="103">
        <f>IF('G MTTS'!Q797=0," ",'G MTTS'!Q797*$A$3)</f>
        <v>1000</v>
      </c>
      <c r="H803" s="104">
        <f>IF('G MTTS'!V797=0," ",'G MTTS'!V797*$A$3)</f>
        <v>5</v>
      </c>
      <c r="I803" s="104">
        <f>IF('G MTTS'!W797=0," ",'G MTTS'!W797*$A$3)</f>
        <v>5</v>
      </c>
      <c r="J803" s="104">
        <f>IF('G MTTS'!Z797=0," ",'G MTTS'!Z797*$A$3)</f>
        <v>15</v>
      </c>
      <c r="K803" s="105">
        <f>'G MTTS'!AF797</f>
        <v>30000</v>
      </c>
      <c r="L803" s="105">
        <f>'G MTTS'!X797</f>
        <v>40000</v>
      </c>
      <c r="M803" s="105">
        <f>'G MTTS'!AA797</f>
        <v>90000</v>
      </c>
      <c r="N803" s="106">
        <f>'G MTTS'!AG797</f>
        <v>8</v>
      </c>
      <c r="O803" s="106">
        <f>'G MTTS'!AH797</f>
        <v>6</v>
      </c>
      <c r="P803" s="106">
        <f>'G MTTS'!AI797</f>
        <v>5</v>
      </c>
      <c r="Q803" s="107">
        <f>'G MTTS'!AJ797</f>
        <v>15</v>
      </c>
      <c r="R803" s="46">
        <f>IF(B803=0," ",TIME(,ROUNDDOWN(N803*Q803/60,0)*5+(N803*Q803),)+B803)</f>
        <v>0.923622685185185</v>
      </c>
      <c r="S803" s="47" t="str">
        <f>IFERROR(IF(H803=0," ",IF(H803&lt;=25,"MICRO",IF(H803&lt;=99,"LOW",IF(H803&lt;=499,"MEDIUM",IF(H803&lt;=2500,"HIGH",IF(H803&gt;2500,"SUPER HIGH",)))))),"")</f>
        <v>MICRO</v>
      </c>
    </row>
    <row r="804" ht="29.25" customHeight="1" outlineLevel="1" spans="1:19">
      <c r="A804" s="135"/>
      <c r="B804" s="109"/>
      <c r="C804" s="110"/>
      <c r="D804" s="111"/>
      <c r="E804" s="112"/>
      <c r="F804" s="113"/>
      <c r="G804" s="114"/>
      <c r="H804" s="115"/>
      <c r="I804" s="115"/>
      <c r="J804" s="115"/>
      <c r="K804" s="116"/>
      <c r="L804" s="116"/>
      <c r="M804" s="116"/>
      <c r="N804" s="117"/>
      <c r="O804" s="117"/>
      <c r="P804" s="117"/>
      <c r="Q804" s="118"/>
      <c r="R804" s="46"/>
      <c r="S804" s="47"/>
    </row>
    <row r="805" ht="29.25" customHeight="1" outlineLevel="1" spans="1:19">
      <c r="A805" s="121" t="str">
        <f>'G MTTS'!J799</f>
        <v>Suprema Poker Tour</v>
      </c>
      <c r="B805" s="122">
        <f>'G MTTS'!B799</f>
        <v>0.375011574074074</v>
      </c>
      <c r="C805" s="123" t="str">
        <f>'G MTTS'!L799</f>
        <v>2 Seats SPT</v>
      </c>
      <c r="D805" s="120" t="str">
        <f>'G MTTS'!M799</f>
        <v>SAT</v>
      </c>
      <c r="E805" s="101" t="str">
        <f>'G MTTS'!N799</f>
        <v>NLH</v>
      </c>
      <c r="F805" s="102" t="str">
        <f>'G MTTS'!O799</f>
        <v>OFF</v>
      </c>
      <c r="G805" s="103">
        <f>IF('G MTTS'!Q799=0," ",'G MTTS'!Q799*$A$3)</f>
        <v>400</v>
      </c>
      <c r="H805" s="104">
        <f>IF('G MTTS'!V799=0," ",'G MTTS'!V799*$A$3)</f>
        <v>3</v>
      </c>
      <c r="I805" s="104">
        <f>IF('G MTTS'!W799=0," ",'G MTTS'!W799*$A$3)</f>
        <v>5</v>
      </c>
      <c r="J805" s="104">
        <f>IF('G MTTS'!Z799=0," ",'G MTTS'!Z799*$A$3)</f>
        <v>10</v>
      </c>
      <c r="K805" s="105">
        <f>'G MTTS'!AF799</f>
        <v>30000</v>
      </c>
      <c r="L805" s="105">
        <f>'G MTTS'!X799</f>
        <v>0</v>
      </c>
      <c r="M805" s="105">
        <f>'G MTTS'!AA799</f>
        <v>50000</v>
      </c>
      <c r="N805" s="106">
        <f>'G MTTS'!AG799</f>
        <v>7</v>
      </c>
      <c r="O805" s="106">
        <f>'G MTTS'!AH799</f>
        <v>6</v>
      </c>
      <c r="P805" s="106">
        <f>'G MTTS'!AI799</f>
        <v>5</v>
      </c>
      <c r="Q805" s="107">
        <f>'G MTTS'!AJ799</f>
        <v>13</v>
      </c>
      <c r="R805" s="46">
        <f t="shared" ref="R805:R812" si="73">IF(B805=0," ",TIME(,ROUNDDOWN(N805*Q805/60,0)*5+(N805*Q805),)+B805)</f>
        <v>0.441678240740741</v>
      </c>
      <c r="S805" s="47" t="str">
        <f t="shared" ref="S805:S812" si="74">IFERROR(IF(H805=0," ",IF(H805&lt;=25,"MICRO",IF(H805&lt;=99,"LOW",IF(H805&lt;=499,"MEDIUM",IF(H805&lt;=2500,"HIGH",IF(H805&gt;2500,"SUPER HIGH",)))))),"")</f>
        <v>MICRO</v>
      </c>
    </row>
    <row r="806" ht="29.25" customHeight="1" outlineLevel="1" spans="1:19">
      <c r="A806" s="29"/>
      <c r="B806" s="128">
        <f>'G MTTS'!B800</f>
        <v>0.458344907407407</v>
      </c>
      <c r="C806" s="129" t="str">
        <f>'G MTTS'!L800</f>
        <v>3 Seats SPT</v>
      </c>
      <c r="D806" s="120" t="str">
        <f>'G MTTS'!M800</f>
        <v>SAT</v>
      </c>
      <c r="E806" s="101" t="str">
        <f>'G MTTS'!N800</f>
        <v>NLH</v>
      </c>
      <c r="F806" s="102" t="str">
        <f>'G MTTS'!O800</f>
        <v>OFF</v>
      </c>
      <c r="G806" s="103">
        <f>IF('G MTTS'!Q800=0," ",'G MTTS'!Q800*$A$3)</f>
        <v>600</v>
      </c>
      <c r="H806" s="104">
        <f>IF('G MTTS'!V800=0," ",'G MTTS'!V800*$A$3)</f>
        <v>5</v>
      </c>
      <c r="I806" s="104">
        <f>IF('G MTTS'!W800=0," ",'G MTTS'!W800*$A$3)</f>
        <v>5</v>
      </c>
      <c r="J806" s="104">
        <f>IF('G MTTS'!Z800=0," ",'G MTTS'!Z800*$A$3)</f>
        <v>15</v>
      </c>
      <c r="K806" s="105">
        <f>'G MTTS'!AF800</f>
        <v>30000</v>
      </c>
      <c r="L806" s="105">
        <f>'G MTTS'!X800</f>
        <v>0</v>
      </c>
      <c r="M806" s="105">
        <f>'G MTTS'!AA800</f>
        <v>50000</v>
      </c>
      <c r="N806" s="106">
        <f>'G MTTS'!AG800</f>
        <v>7</v>
      </c>
      <c r="O806" s="106">
        <f>'G MTTS'!AH800</f>
        <v>6</v>
      </c>
      <c r="P806" s="106">
        <f>'G MTTS'!AI800</f>
        <v>5</v>
      </c>
      <c r="Q806" s="107">
        <f>'G MTTS'!AJ800</f>
        <v>13</v>
      </c>
      <c r="R806" s="46">
        <f t="shared" si="73"/>
        <v>0.525011574074074</v>
      </c>
      <c r="S806" s="47" t="str">
        <f t="shared" si="74"/>
        <v>MICRO</v>
      </c>
    </row>
    <row r="807" ht="29.25" customHeight="1" outlineLevel="1" spans="1:19">
      <c r="A807" s="29"/>
      <c r="B807" s="128">
        <f>'G MTTS'!B801</f>
        <v>0.541678240740741</v>
      </c>
      <c r="C807" s="129" t="str">
        <f>'G MTTS'!L801</f>
        <v>5 Seats SPT</v>
      </c>
      <c r="D807" s="120" t="str">
        <f>'G MTTS'!M801</f>
        <v>SAT</v>
      </c>
      <c r="E807" s="101" t="str">
        <f>'G MTTS'!N801</f>
        <v>NLH</v>
      </c>
      <c r="F807" s="102" t="str">
        <f>'G MTTS'!O801</f>
        <v>OFF</v>
      </c>
      <c r="G807" s="103">
        <f>IF('G MTTS'!Q801=0," ",'G MTTS'!Q801*$A$3)</f>
        <v>1000</v>
      </c>
      <c r="H807" s="104">
        <f>IF('G MTTS'!V801=0," ",'G MTTS'!V801*$A$3)</f>
        <v>10</v>
      </c>
      <c r="I807" s="104">
        <f>IF('G MTTS'!W801=0," ",'G MTTS'!W801*$A$3)</f>
        <v>10</v>
      </c>
      <c r="J807" s="104">
        <f>IF('G MTTS'!Z801=0," ",'G MTTS'!Z801*$A$3)</f>
        <v>15</v>
      </c>
      <c r="K807" s="105">
        <f>'G MTTS'!AF801</f>
        <v>30000</v>
      </c>
      <c r="L807" s="105">
        <f>'G MTTS'!X801</f>
        <v>0</v>
      </c>
      <c r="M807" s="105">
        <f>'G MTTS'!AA801</f>
        <v>50000</v>
      </c>
      <c r="N807" s="106">
        <f>'G MTTS'!AG801</f>
        <v>7</v>
      </c>
      <c r="O807" s="106">
        <f>'G MTTS'!AH801</f>
        <v>6</v>
      </c>
      <c r="P807" s="106">
        <f>'G MTTS'!AI801</f>
        <v>5</v>
      </c>
      <c r="Q807" s="107">
        <f>'G MTTS'!AJ801</f>
        <v>13</v>
      </c>
      <c r="R807" s="46">
        <f t="shared" si="73"/>
        <v>0.608344907407407</v>
      </c>
      <c r="S807" s="47" t="str">
        <f t="shared" si="74"/>
        <v>MICRO</v>
      </c>
    </row>
    <row r="808" ht="29.25" customHeight="1" outlineLevel="1" spans="1:19">
      <c r="A808" s="29"/>
      <c r="B808" s="128">
        <f>'G MTTS'!B802</f>
        <v>0.625011574074074</v>
      </c>
      <c r="C808" s="129" t="str">
        <f>'G MTTS'!L802</f>
        <v>10 Seats SPT</v>
      </c>
      <c r="D808" s="120" t="str">
        <f>'G MTTS'!M802</f>
        <v>SAT</v>
      </c>
      <c r="E808" s="101" t="str">
        <f>'G MTTS'!N802</f>
        <v>NLH</v>
      </c>
      <c r="F808" s="102" t="str">
        <f>'G MTTS'!O802</f>
        <v>OFF</v>
      </c>
      <c r="G808" s="103">
        <f>IF('G MTTS'!Q802=0," ",'G MTTS'!Q802*$A$3)</f>
        <v>2000</v>
      </c>
      <c r="H808" s="104">
        <f>IF('G MTTS'!V802=0," ",'G MTTS'!V802*$A$3)</f>
        <v>10</v>
      </c>
      <c r="I808" s="104">
        <f>IF('G MTTS'!W802=0," ",'G MTTS'!W802*$A$3)</f>
        <v>10</v>
      </c>
      <c r="J808" s="104">
        <f>IF('G MTTS'!Z802=0," ",'G MTTS'!Z802*$A$3)</f>
        <v>20</v>
      </c>
      <c r="K808" s="105">
        <f>'G MTTS'!AF802</f>
        <v>30000</v>
      </c>
      <c r="L808" s="105">
        <f>'G MTTS'!X802</f>
        <v>0</v>
      </c>
      <c r="M808" s="105">
        <f>'G MTTS'!AA802</f>
        <v>60000</v>
      </c>
      <c r="N808" s="106">
        <f>'G MTTS'!AG802</f>
        <v>7</v>
      </c>
      <c r="O808" s="106">
        <f>'G MTTS'!AH802</f>
        <v>6</v>
      </c>
      <c r="P808" s="106">
        <f>'G MTTS'!AI802</f>
        <v>5</v>
      </c>
      <c r="Q808" s="107">
        <f>'G MTTS'!AJ802</f>
        <v>13</v>
      </c>
      <c r="R808" s="46">
        <f t="shared" si="73"/>
        <v>0.691678240740741</v>
      </c>
      <c r="S808" s="47" t="str">
        <f t="shared" si="74"/>
        <v>MICRO</v>
      </c>
    </row>
    <row r="809" ht="29.25" customHeight="1" outlineLevel="1" spans="1:19">
      <c r="A809" s="29"/>
      <c r="B809" s="128">
        <f>'G MTTS'!B803</f>
        <v>0.708344907407407</v>
      </c>
      <c r="C809" s="129" t="str">
        <f>'G MTTS'!L803</f>
        <v>10 Seats SPT</v>
      </c>
      <c r="D809" s="120" t="str">
        <f>'G MTTS'!M803</f>
        <v>SAT</v>
      </c>
      <c r="E809" s="101" t="str">
        <f>'G MTTS'!N803</f>
        <v>NLH</v>
      </c>
      <c r="F809" s="102" t="str">
        <f>'G MTTS'!O803</f>
        <v>OFF</v>
      </c>
      <c r="G809" s="103">
        <f>IF('G MTTS'!Q803=0," ",'G MTTS'!Q803*$A$3)</f>
        <v>2000</v>
      </c>
      <c r="H809" s="104">
        <f>IF('G MTTS'!V803=0," ",'G MTTS'!V803*$A$3)</f>
        <v>10</v>
      </c>
      <c r="I809" s="104">
        <f>IF('G MTTS'!W803=0," ",'G MTTS'!W803*$A$3)</f>
        <v>10</v>
      </c>
      <c r="J809" s="104">
        <f>IF('G MTTS'!Z803=0," ",'G MTTS'!Z803*$A$3)</f>
        <v>20</v>
      </c>
      <c r="K809" s="105">
        <f>'G MTTS'!AF803</f>
        <v>30000</v>
      </c>
      <c r="L809" s="105">
        <f>'G MTTS'!X803</f>
        <v>0</v>
      </c>
      <c r="M809" s="105">
        <f>'G MTTS'!AA803</f>
        <v>60000</v>
      </c>
      <c r="N809" s="106">
        <f>'G MTTS'!AG803</f>
        <v>7</v>
      </c>
      <c r="O809" s="106">
        <f>'G MTTS'!AH803</f>
        <v>6</v>
      </c>
      <c r="P809" s="106">
        <f>'G MTTS'!AI803</f>
        <v>5</v>
      </c>
      <c r="Q809" s="107">
        <f>'G MTTS'!AJ803</f>
        <v>13</v>
      </c>
      <c r="R809" s="46">
        <f t="shared" si="73"/>
        <v>0.775011574074074</v>
      </c>
      <c r="S809" s="47" t="str">
        <f t="shared" si="74"/>
        <v>MICRO</v>
      </c>
    </row>
    <row r="810" ht="29.25" customHeight="1" outlineLevel="1" spans="1:19">
      <c r="A810" s="29"/>
      <c r="B810" s="128">
        <f>'G MTTS'!B804</f>
        <v>0.791678240740741</v>
      </c>
      <c r="C810" s="129" t="str">
        <f>'G MTTS'!L804</f>
        <v>10 Seats SPT</v>
      </c>
      <c r="D810" s="120" t="str">
        <f>'G MTTS'!M804</f>
        <v>SAT</v>
      </c>
      <c r="E810" s="101" t="str">
        <f>'G MTTS'!N804</f>
        <v>NLH</v>
      </c>
      <c r="F810" s="102" t="str">
        <f>'G MTTS'!O804</f>
        <v>OFF</v>
      </c>
      <c r="G810" s="103">
        <f>IF('G MTTS'!Q804=0," ",'G MTTS'!Q804*$A$3)</f>
        <v>2000</v>
      </c>
      <c r="H810" s="104">
        <f>IF('G MTTS'!V804=0," ",'G MTTS'!V804*$A$3)</f>
        <v>10</v>
      </c>
      <c r="I810" s="104">
        <f>IF('G MTTS'!W804=0," ",'G MTTS'!W804*$A$3)</f>
        <v>10</v>
      </c>
      <c r="J810" s="104">
        <f>IF('G MTTS'!Z804=0," ",'G MTTS'!Z804*$A$3)</f>
        <v>20</v>
      </c>
      <c r="K810" s="105">
        <f>'G MTTS'!AF804</f>
        <v>30000</v>
      </c>
      <c r="L810" s="105">
        <f>'G MTTS'!X804</f>
        <v>0</v>
      </c>
      <c r="M810" s="105">
        <f>'G MTTS'!AA804</f>
        <v>60000</v>
      </c>
      <c r="N810" s="106">
        <f>'G MTTS'!AG804</f>
        <v>7</v>
      </c>
      <c r="O810" s="106">
        <f>'G MTTS'!AH804</f>
        <v>6</v>
      </c>
      <c r="P810" s="106">
        <f>'G MTTS'!AI804</f>
        <v>5</v>
      </c>
      <c r="Q810" s="107">
        <f>'G MTTS'!AJ804</f>
        <v>13</v>
      </c>
      <c r="R810" s="46">
        <f t="shared" si="73"/>
        <v>0.858344907407407</v>
      </c>
      <c r="S810" s="47" t="str">
        <f t="shared" si="74"/>
        <v>MICRO</v>
      </c>
    </row>
    <row r="811" ht="29.25" customHeight="1" outlineLevel="1" spans="1:19">
      <c r="A811" s="29"/>
      <c r="B811" s="128">
        <f>'G MTTS'!B805</f>
        <v>0.875011574074074</v>
      </c>
      <c r="C811" s="129" t="str">
        <f>'G MTTS'!L805</f>
        <v>FreeBuy 5 Seats SPT</v>
      </c>
      <c r="D811" s="120" t="str">
        <f>'G MTTS'!M805</f>
        <v>SAT</v>
      </c>
      <c r="E811" s="101" t="str">
        <f>'G MTTS'!N805</f>
        <v>NLH</v>
      </c>
      <c r="F811" s="102" t="str">
        <f>'G MTTS'!O805</f>
        <v>OFF</v>
      </c>
      <c r="G811" s="103">
        <f>IF('G MTTS'!Q805=0," ",'G MTTS'!Q805*$A$3)</f>
        <v>1000</v>
      </c>
      <c r="H811" s="104" t="str">
        <f>IF('G MTTS'!V805=0," ",'G MTTS'!V805*$A$3)</f>
        <v> </v>
      </c>
      <c r="I811" s="104">
        <f>IF('G MTTS'!W805=0," ",'G MTTS'!W805*$A$3)</f>
        <v>5</v>
      </c>
      <c r="J811" s="104">
        <f>IF('G MTTS'!Z805=0," ",'G MTTS'!Z805*$A$3)</f>
        <v>15</v>
      </c>
      <c r="K811" s="105">
        <f>'G MTTS'!AF805</f>
        <v>30000</v>
      </c>
      <c r="L811" s="105">
        <f>'G MTTS'!X805</f>
        <v>0</v>
      </c>
      <c r="M811" s="105">
        <f>'G MTTS'!AA805</f>
        <v>50000</v>
      </c>
      <c r="N811" s="106">
        <f>'G MTTS'!AG805</f>
        <v>7</v>
      </c>
      <c r="O811" s="106">
        <f>'G MTTS'!AH805</f>
        <v>6</v>
      </c>
      <c r="P811" s="106">
        <f>'G MTTS'!AI805</f>
        <v>5</v>
      </c>
      <c r="Q811" s="107">
        <f>'G MTTS'!AJ805</f>
        <v>13</v>
      </c>
      <c r="R811" s="46">
        <f t="shared" si="73"/>
        <v>0.941678240740741</v>
      </c>
      <c r="S811" s="47" t="str">
        <f t="shared" si="74"/>
        <v>SUPER HIGH</v>
      </c>
    </row>
    <row r="812" ht="29.25" customHeight="1" outlineLevel="1" spans="1:19">
      <c r="A812" s="124"/>
      <c r="B812" s="125">
        <f>'G MTTS'!B806</f>
        <v>0.958344907407407</v>
      </c>
      <c r="C812" s="126" t="str">
        <f>'G MTTS'!L806</f>
        <v>2 Seats SPT</v>
      </c>
      <c r="D812" s="120" t="str">
        <f>'G MTTS'!M806</f>
        <v>SAT</v>
      </c>
      <c r="E812" s="101" t="str">
        <f>'G MTTS'!N806</f>
        <v>NLH</v>
      </c>
      <c r="F812" s="102" t="str">
        <f>'G MTTS'!O806</f>
        <v>OFF</v>
      </c>
      <c r="G812" s="103">
        <f>IF('G MTTS'!Q806=0," ",'G MTTS'!Q806*$A$3)</f>
        <v>400</v>
      </c>
      <c r="H812" s="104">
        <f>IF('G MTTS'!V806=0," ",'G MTTS'!V806*$A$3)</f>
        <v>3</v>
      </c>
      <c r="I812" s="104">
        <f>IF('G MTTS'!W806=0," ",'G MTTS'!W806*$A$3)</f>
        <v>5</v>
      </c>
      <c r="J812" s="104">
        <f>IF('G MTTS'!Z806=0," ",'G MTTS'!Z806*$A$3)</f>
        <v>10</v>
      </c>
      <c r="K812" s="105">
        <f>'G MTTS'!AF806</f>
        <v>30000</v>
      </c>
      <c r="L812" s="105">
        <f>'G MTTS'!X806</f>
        <v>0</v>
      </c>
      <c r="M812" s="105">
        <f>'G MTTS'!AA806</f>
        <v>50000</v>
      </c>
      <c r="N812" s="106">
        <f>'G MTTS'!AG806</f>
        <v>6</v>
      </c>
      <c r="O812" s="106">
        <f>'G MTTS'!AH806</f>
        <v>5</v>
      </c>
      <c r="P812" s="106">
        <f>'G MTTS'!AI806</f>
        <v>4</v>
      </c>
      <c r="Q812" s="107">
        <f>'G MTTS'!AJ806</f>
        <v>13</v>
      </c>
      <c r="R812" s="46">
        <f t="shared" si="73"/>
        <v>1.0159837962963</v>
      </c>
      <c r="S812" s="47" t="str">
        <f t="shared" si="74"/>
        <v>MICRO</v>
      </c>
    </row>
    <row r="813" ht="29.25" customHeight="1" outlineLevel="1" spans="1:19">
      <c r="A813" s="135"/>
      <c r="B813" s="109"/>
      <c r="C813" s="110"/>
      <c r="D813" s="111"/>
      <c r="E813" s="112"/>
      <c r="F813" s="113"/>
      <c r="G813" s="114"/>
      <c r="H813" s="115"/>
      <c r="I813" s="115"/>
      <c r="J813" s="115"/>
      <c r="K813" s="116"/>
      <c r="L813" s="116"/>
      <c r="M813" s="116"/>
      <c r="N813" s="117"/>
      <c r="O813" s="117"/>
      <c r="P813" s="117"/>
      <c r="Q813" s="118"/>
      <c r="R813" s="46"/>
      <c r="S813" s="47"/>
    </row>
    <row r="814" ht="29.25" customHeight="1" outlineLevel="1" spans="1:19">
      <c r="A814" s="121" t="str">
        <f>'G MTTS'!J808</f>
        <v>#AS Supremo</v>
      </c>
      <c r="B814" s="122">
        <f>'G MTTS'!B808</f>
        <v>0.5</v>
      </c>
      <c r="C814" s="123" t="str">
        <f>'G MTTS'!L808</f>
        <v>2 Seats Supremo</v>
      </c>
      <c r="D814" s="120" t="str">
        <f>'G MTTS'!M808</f>
        <v>SAT</v>
      </c>
      <c r="E814" s="101" t="str">
        <f>'G MTTS'!N808</f>
        <v>NLH</v>
      </c>
      <c r="F814" s="102" t="str">
        <f>'G MTTS'!O808</f>
        <v>OFF</v>
      </c>
      <c r="G814" s="103">
        <f>IF('G MTTS'!Q808=0," ",'G MTTS'!Q808*$A$3)</f>
        <v>1100</v>
      </c>
      <c r="H814" s="104">
        <f>IF('G MTTS'!V808=0," ",'G MTTS'!V808*$A$3)</f>
        <v>10</v>
      </c>
      <c r="I814" s="104">
        <f>IF('G MTTS'!W808=0," ",'G MTTS'!W808*$A$3)</f>
        <v>20</v>
      </c>
      <c r="J814" s="104">
        <f>IF('G MTTS'!Z808=0," ",'G MTTS'!Z808*$A$3)</f>
        <v>30</v>
      </c>
      <c r="K814" s="105">
        <f>'G MTTS'!AF808</f>
        <v>20000</v>
      </c>
      <c r="L814" s="105">
        <f>'G MTTS'!X808</f>
        <v>25000</v>
      </c>
      <c r="M814" s="105">
        <f>'G MTTS'!AA808</f>
        <v>50000</v>
      </c>
      <c r="N814" s="106">
        <f>'G MTTS'!AG808</f>
        <v>7</v>
      </c>
      <c r="O814" s="106">
        <f>'G MTTS'!AH808</f>
        <v>6</v>
      </c>
      <c r="P814" s="106">
        <f>'G MTTS'!AI808</f>
        <v>5</v>
      </c>
      <c r="Q814" s="107">
        <f>'G MTTS'!AJ808</f>
        <v>13</v>
      </c>
      <c r="R814" s="46">
        <f t="shared" ref="R814:R819" si="75">IF(B814=0," ",TIME(,ROUNDDOWN(N814*Q814/60,0)*5+(N814*Q814),)+B814)</f>
        <v>0.566666666666667</v>
      </c>
      <c r="S814" s="47" t="str">
        <f t="shared" ref="S814:S819" si="76">IFERROR(IF(H814=0," ",IF(H814&lt;=25,"MICRO",IF(H814&lt;=99,"LOW",IF(H814&lt;=499,"MEDIUM",IF(H814&lt;=2500,"HIGH",IF(H814&gt;2500,"SUPER HIGH",)))))),"")</f>
        <v>MICRO</v>
      </c>
    </row>
    <row r="815" ht="29.25" customHeight="1" outlineLevel="1" spans="1:19">
      <c r="A815" s="29"/>
      <c r="B815" s="128">
        <f>'G MTTS'!B809</f>
        <v>0.583333333333333</v>
      </c>
      <c r="C815" s="129" t="str">
        <f>'G MTTS'!L809</f>
        <v>3 Seats Supremo</v>
      </c>
      <c r="D815" s="120" t="str">
        <f>'G MTTS'!M809</f>
        <v>SAT</v>
      </c>
      <c r="E815" s="101" t="str">
        <f>'G MTTS'!N809</f>
        <v>NLH</v>
      </c>
      <c r="F815" s="102" t="str">
        <f>'G MTTS'!O809</f>
        <v>OFF</v>
      </c>
      <c r="G815" s="103">
        <f>IF('G MTTS'!Q809=0," ",'G MTTS'!Q809*$A$3)</f>
        <v>1650</v>
      </c>
      <c r="H815" s="104">
        <f>IF('G MTTS'!V809=0," ",'G MTTS'!V809*$A$3)</f>
        <v>15</v>
      </c>
      <c r="I815" s="104">
        <f>IF('G MTTS'!W809=0," ",'G MTTS'!W809*$A$3)</f>
        <v>20</v>
      </c>
      <c r="J815" s="104">
        <f>IF('G MTTS'!Z809=0," ",'G MTTS'!Z809*$A$3)</f>
        <v>30</v>
      </c>
      <c r="K815" s="105">
        <f>'G MTTS'!AF809</f>
        <v>20000</v>
      </c>
      <c r="L815" s="105">
        <f>'G MTTS'!X809</f>
        <v>25000</v>
      </c>
      <c r="M815" s="105">
        <f>'G MTTS'!AA809</f>
        <v>50000</v>
      </c>
      <c r="N815" s="106">
        <f>'G MTTS'!AG809</f>
        <v>7</v>
      </c>
      <c r="O815" s="106">
        <f>'G MTTS'!AH809</f>
        <v>6</v>
      </c>
      <c r="P815" s="106">
        <f>'G MTTS'!AI809</f>
        <v>5</v>
      </c>
      <c r="Q815" s="107">
        <f>'G MTTS'!AJ809</f>
        <v>13</v>
      </c>
      <c r="R815" s="46">
        <f t="shared" si="75"/>
        <v>0.65</v>
      </c>
      <c r="S815" s="47" t="str">
        <f t="shared" si="76"/>
        <v>MICRO</v>
      </c>
    </row>
    <row r="816" ht="29.25" customHeight="1" outlineLevel="1" spans="1:19">
      <c r="A816" s="29"/>
      <c r="B816" s="128">
        <f>'G MTTS'!B810</f>
        <v>0.666666666666667</v>
      </c>
      <c r="C816" s="129" t="str">
        <f>'G MTTS'!L810</f>
        <v>5 Seats Supremo</v>
      </c>
      <c r="D816" s="120" t="str">
        <f>'G MTTS'!M810</f>
        <v>SAT</v>
      </c>
      <c r="E816" s="101" t="str">
        <f>'G MTTS'!N810</f>
        <v>NLH</v>
      </c>
      <c r="F816" s="102" t="str">
        <f>'G MTTS'!O810</f>
        <v>OFF</v>
      </c>
      <c r="G816" s="103">
        <f>IF('G MTTS'!Q810=0," ",'G MTTS'!Q810*$A$3)</f>
        <v>2750</v>
      </c>
      <c r="H816" s="104">
        <f>IF('G MTTS'!V810=0," ",'G MTTS'!V810*$A$3)</f>
        <v>25</v>
      </c>
      <c r="I816" s="104">
        <f>IF('G MTTS'!W810=0," ",'G MTTS'!W810*$A$3)</f>
        <v>25</v>
      </c>
      <c r="J816" s="104">
        <f>IF('G MTTS'!Z810=0," ",'G MTTS'!Z810*$A$3)</f>
        <v>30</v>
      </c>
      <c r="K816" s="105">
        <f>'G MTTS'!AF810</f>
        <v>20000</v>
      </c>
      <c r="L816" s="105">
        <f>'G MTTS'!X810</f>
        <v>25000</v>
      </c>
      <c r="M816" s="105">
        <f>'G MTTS'!AA810</f>
        <v>50000</v>
      </c>
      <c r="N816" s="106">
        <f>'G MTTS'!AG810</f>
        <v>7</v>
      </c>
      <c r="O816" s="106">
        <f>'G MTTS'!AH810</f>
        <v>6</v>
      </c>
      <c r="P816" s="106">
        <f>'G MTTS'!AI810</f>
        <v>5</v>
      </c>
      <c r="Q816" s="107">
        <f>'G MTTS'!AJ810</f>
        <v>13</v>
      </c>
      <c r="R816" s="46">
        <f t="shared" si="75"/>
        <v>0.733333333333333</v>
      </c>
      <c r="S816" s="47" t="str">
        <f t="shared" si="76"/>
        <v>MICRO</v>
      </c>
    </row>
    <row r="817" ht="29.25" customHeight="1" outlineLevel="1" spans="1:19">
      <c r="A817" s="29"/>
      <c r="B817" s="128">
        <f>'G MTTS'!B811</f>
        <v>0.750011574074074</v>
      </c>
      <c r="C817" s="129" t="str">
        <f>'G MTTS'!L811</f>
        <v>5 Seats Supremo</v>
      </c>
      <c r="D817" s="120" t="str">
        <f>'G MTTS'!M811</f>
        <v>SAT</v>
      </c>
      <c r="E817" s="101" t="str">
        <f>'G MTTS'!N811</f>
        <v>NLH</v>
      </c>
      <c r="F817" s="102" t="str">
        <f>'G MTTS'!O811</f>
        <v>OFF</v>
      </c>
      <c r="G817" s="103">
        <f>IF('G MTTS'!Q811=0," ",'G MTTS'!Q811*$A$3)</f>
        <v>2750</v>
      </c>
      <c r="H817" s="104">
        <f>IF('G MTTS'!V811=0," ",'G MTTS'!V811*$A$3)</f>
        <v>25</v>
      </c>
      <c r="I817" s="104">
        <f>IF('G MTTS'!W811=0," ",'G MTTS'!W811*$A$3)</f>
        <v>25</v>
      </c>
      <c r="J817" s="104">
        <f>IF('G MTTS'!Z811=0," ",'G MTTS'!Z811*$A$3)</f>
        <v>30</v>
      </c>
      <c r="K817" s="105">
        <f>'G MTTS'!AF811</f>
        <v>20000</v>
      </c>
      <c r="L817" s="105">
        <f>'G MTTS'!X811</f>
        <v>25000</v>
      </c>
      <c r="M817" s="105">
        <f>'G MTTS'!AA811</f>
        <v>50000</v>
      </c>
      <c r="N817" s="106">
        <f>'G MTTS'!AG811</f>
        <v>7</v>
      </c>
      <c r="O817" s="106">
        <f>'G MTTS'!AH811</f>
        <v>6</v>
      </c>
      <c r="P817" s="106">
        <f>'G MTTS'!AI811</f>
        <v>5</v>
      </c>
      <c r="Q817" s="107">
        <f>'G MTTS'!AJ811</f>
        <v>13</v>
      </c>
      <c r="R817" s="46">
        <f t="shared" si="75"/>
        <v>0.816678240740741</v>
      </c>
      <c r="S817" s="47" t="str">
        <f t="shared" si="76"/>
        <v>MICRO</v>
      </c>
    </row>
    <row r="818" ht="29.25" customHeight="1" outlineLevel="1" spans="1:19">
      <c r="A818" s="29"/>
      <c r="B818" s="128">
        <f>'G MTTS'!B812</f>
        <v>0.833344907407407</v>
      </c>
      <c r="C818" s="129" t="str">
        <f>'G MTTS'!L812</f>
        <v>5 Seats Supremo</v>
      </c>
      <c r="D818" s="120" t="str">
        <f>'G MTTS'!M812</f>
        <v>SAT</v>
      </c>
      <c r="E818" s="101" t="str">
        <f>'G MTTS'!N812</f>
        <v>NLH</v>
      </c>
      <c r="F818" s="102" t="str">
        <f>'G MTTS'!O812</f>
        <v>OFF</v>
      </c>
      <c r="G818" s="103">
        <f>IF('G MTTS'!Q812=0," ",'G MTTS'!Q812*$A$3)</f>
        <v>2750</v>
      </c>
      <c r="H818" s="104">
        <f>IF('G MTTS'!V812=0," ",'G MTTS'!V812*$A$3)</f>
        <v>25</v>
      </c>
      <c r="I818" s="104">
        <f>IF('G MTTS'!W812=0," ",'G MTTS'!W812*$A$3)</f>
        <v>25</v>
      </c>
      <c r="J818" s="104">
        <f>IF('G MTTS'!Z812=0," ",'G MTTS'!Z812*$A$3)</f>
        <v>30</v>
      </c>
      <c r="K818" s="105">
        <f>'G MTTS'!AF812</f>
        <v>20000</v>
      </c>
      <c r="L818" s="105">
        <f>'G MTTS'!X812</f>
        <v>25000</v>
      </c>
      <c r="M818" s="105">
        <f>'G MTTS'!AA812</f>
        <v>50000</v>
      </c>
      <c r="N818" s="106">
        <f>'G MTTS'!AG812</f>
        <v>7</v>
      </c>
      <c r="O818" s="106">
        <f>'G MTTS'!AH812</f>
        <v>6</v>
      </c>
      <c r="P818" s="106">
        <f>'G MTTS'!AI812</f>
        <v>5</v>
      </c>
      <c r="Q818" s="107">
        <f>'G MTTS'!AJ812</f>
        <v>13</v>
      </c>
      <c r="R818" s="46">
        <f t="shared" si="75"/>
        <v>0.900011574074074</v>
      </c>
      <c r="S818" s="47" t="str">
        <f t="shared" si="76"/>
        <v>MICRO</v>
      </c>
    </row>
    <row r="819" ht="29.25" customHeight="1" outlineLevel="1" spans="1:19">
      <c r="A819" s="124"/>
      <c r="B819" s="125">
        <f>'G MTTS'!B813</f>
        <v>0.916678240740741</v>
      </c>
      <c r="C819" s="126" t="str">
        <f>'G MTTS'!L813</f>
        <v>5 Seats Supremo</v>
      </c>
      <c r="D819" s="120" t="str">
        <f>'G MTTS'!M813</f>
        <v>SAT</v>
      </c>
      <c r="E819" s="101" t="str">
        <f>'G MTTS'!N813</f>
        <v>NLH</v>
      </c>
      <c r="F819" s="102" t="str">
        <f>'G MTTS'!O813</f>
        <v>OFF</v>
      </c>
      <c r="G819" s="103">
        <f>IF('G MTTS'!Q813=0," ",'G MTTS'!Q813*$A$3)</f>
        <v>2750</v>
      </c>
      <c r="H819" s="104">
        <f>IF('G MTTS'!V813=0," ",'G MTTS'!V813*$A$3)</f>
        <v>20</v>
      </c>
      <c r="I819" s="104">
        <f>IF('G MTTS'!W813=0," ",'G MTTS'!W813*$A$3)</f>
        <v>20</v>
      </c>
      <c r="J819" s="104">
        <f>IF('G MTTS'!Z813=0," ",'G MTTS'!Z813*$A$3)</f>
        <v>30</v>
      </c>
      <c r="K819" s="105">
        <f>'G MTTS'!AF813</f>
        <v>20000</v>
      </c>
      <c r="L819" s="105">
        <f>'G MTTS'!X813</f>
        <v>25000</v>
      </c>
      <c r="M819" s="105">
        <f>'G MTTS'!AA813</f>
        <v>50000</v>
      </c>
      <c r="N819" s="106">
        <f>'G MTTS'!AG813</f>
        <v>7</v>
      </c>
      <c r="O819" s="106">
        <f>'G MTTS'!AH813</f>
        <v>6</v>
      </c>
      <c r="P819" s="106">
        <f>'G MTTS'!AI813</f>
        <v>5</v>
      </c>
      <c r="Q819" s="107">
        <f>'G MTTS'!AJ813</f>
        <v>13</v>
      </c>
      <c r="R819" s="46">
        <f t="shared" si="75"/>
        <v>0.983344907407407</v>
      </c>
      <c r="S819" s="47" t="str">
        <f t="shared" si="76"/>
        <v>MICRO</v>
      </c>
    </row>
    <row r="820" ht="29.25" customHeight="1" outlineLevel="1" spans="1:19">
      <c r="A820" s="135"/>
      <c r="B820" s="109"/>
      <c r="C820" s="110"/>
      <c r="D820" s="111"/>
      <c r="E820" s="112"/>
      <c r="F820" s="113"/>
      <c r="G820" s="114"/>
      <c r="H820" s="115"/>
      <c r="I820" s="115"/>
      <c r="J820" s="115"/>
      <c r="K820" s="116"/>
      <c r="L820" s="116"/>
      <c r="M820" s="116"/>
      <c r="N820" s="117"/>
      <c r="O820" s="117"/>
      <c r="P820" s="117"/>
      <c r="Q820" s="118"/>
      <c r="R820" s="46"/>
      <c r="S820" s="47"/>
    </row>
    <row r="821" ht="29.25" customHeight="1" outlineLevel="1" spans="1:19">
      <c r="A821" s="121" t="str">
        <f>'G MTTS'!J815</f>
        <v>30 Seats Supremo</v>
      </c>
      <c r="B821" s="122">
        <f>'G MTTS'!B815</f>
        <v>0.500011574074074</v>
      </c>
      <c r="C821" s="123" t="str">
        <f>'G MTTS'!L815</f>
        <v>Step 76-M Supremo</v>
      </c>
      <c r="D821" s="120" t="str">
        <f>'G MTTS'!M815</f>
        <v>SAT</v>
      </c>
      <c r="E821" s="101" t="str">
        <f>'G MTTS'!N815</f>
        <v>NLH</v>
      </c>
      <c r="F821" s="102" t="str">
        <f>'G MTTS'!O815</f>
        <v>OFF</v>
      </c>
      <c r="G821" s="103">
        <f>IF('G MTTS'!Q815=0," ",'G MTTS'!Q815*$A$3)</f>
        <v>300</v>
      </c>
      <c r="H821" s="104">
        <f>IF('G MTTS'!V815=0," ",'G MTTS'!V815*$A$3)</f>
        <v>3</v>
      </c>
      <c r="I821" s="104">
        <f>IF('G MTTS'!W815=0," ",'G MTTS'!W815*$A$3)</f>
        <v>5</v>
      </c>
      <c r="J821" s="104">
        <f>IF('G MTTS'!Z815=0," ",'G MTTS'!Z815*$A$3)</f>
        <v>5</v>
      </c>
      <c r="K821" s="105">
        <f>'G MTTS'!AF815</f>
        <v>20000</v>
      </c>
      <c r="L821" s="105">
        <f>'G MTTS'!X815</f>
        <v>25000</v>
      </c>
      <c r="M821" s="105">
        <f>'G MTTS'!AA815</f>
        <v>40000</v>
      </c>
      <c r="N821" s="106">
        <f>'G MTTS'!AG815</f>
        <v>7</v>
      </c>
      <c r="O821" s="106">
        <f>'G MTTS'!AH815</f>
        <v>6</v>
      </c>
      <c r="P821" s="106">
        <f>'G MTTS'!AI815</f>
        <v>5</v>
      </c>
      <c r="Q821" s="107">
        <f>'G MTTS'!AJ815</f>
        <v>13</v>
      </c>
      <c r="R821" s="46">
        <f t="shared" ref="R821:R826" si="77">IF(B821=0," ",TIME(,ROUNDDOWN(N821*Q821/60,0)*5+(N821*Q821),)+B821)</f>
        <v>0.566678240740741</v>
      </c>
      <c r="S821" s="47" t="str">
        <f t="shared" ref="S821:S826" si="78">IFERROR(IF(H821=0," ",IF(H821&lt;=25,"MICRO",IF(H821&lt;=99,"LOW",IF(H821&lt;=499,"MEDIUM",IF(H821&lt;=2500,"HIGH",IF(H821&gt;2500,"SUPER HIGH",)))))),"")</f>
        <v>MICRO</v>
      </c>
    </row>
    <row r="822" ht="29.25" customHeight="1" outlineLevel="1" spans="1:19">
      <c r="A822" s="29"/>
      <c r="B822" s="128">
        <f>'G MTTS'!B816</f>
        <v>0.583344907407407</v>
      </c>
      <c r="C822" s="129" t="str">
        <f>'G MTTS'!L816</f>
        <v>Step 76-M Supremo</v>
      </c>
      <c r="D822" s="120" t="str">
        <f>'G MTTS'!M816</f>
        <v>SAT</v>
      </c>
      <c r="E822" s="101" t="str">
        <f>'G MTTS'!N816</f>
        <v>NLH</v>
      </c>
      <c r="F822" s="102" t="str">
        <f>'G MTTS'!O816</f>
        <v>OFF</v>
      </c>
      <c r="G822" s="103">
        <f>IF('G MTTS'!Q816=0," ",'G MTTS'!Q816*$A$3)</f>
        <v>300</v>
      </c>
      <c r="H822" s="104">
        <f>IF('G MTTS'!V816=0," ",'G MTTS'!V816*$A$3)</f>
        <v>3</v>
      </c>
      <c r="I822" s="104">
        <f>IF('G MTTS'!W816=0," ",'G MTTS'!W816*$A$3)</f>
        <v>5</v>
      </c>
      <c r="J822" s="104">
        <f>IF('G MTTS'!Z816=0," ",'G MTTS'!Z816*$A$3)</f>
        <v>5</v>
      </c>
      <c r="K822" s="105">
        <f>'G MTTS'!AF816</f>
        <v>20000</v>
      </c>
      <c r="L822" s="105">
        <f>'G MTTS'!X816</f>
        <v>25000</v>
      </c>
      <c r="M822" s="105">
        <f>'G MTTS'!AA816</f>
        <v>40000</v>
      </c>
      <c r="N822" s="106">
        <f>'G MTTS'!AG816</f>
        <v>7</v>
      </c>
      <c r="O822" s="106">
        <f>'G MTTS'!AH816</f>
        <v>6</v>
      </c>
      <c r="P822" s="106">
        <f>'G MTTS'!AI816</f>
        <v>5</v>
      </c>
      <c r="Q822" s="107">
        <f>'G MTTS'!AJ816</f>
        <v>13</v>
      </c>
      <c r="R822" s="46">
        <f t="shared" si="77"/>
        <v>0.650011574074074</v>
      </c>
      <c r="S822" s="47" t="str">
        <f t="shared" si="78"/>
        <v>MICRO</v>
      </c>
    </row>
    <row r="823" ht="29.25" customHeight="1" outlineLevel="1" spans="1:19">
      <c r="A823" s="29"/>
      <c r="B823" s="128">
        <f>'G MTTS'!B817</f>
        <v>0.666678240740741</v>
      </c>
      <c r="C823" s="129" t="str">
        <f>'G MTTS'!L817</f>
        <v>Step 76-M Supremo</v>
      </c>
      <c r="D823" s="120" t="str">
        <f>'G MTTS'!M817</f>
        <v>SAT</v>
      </c>
      <c r="E823" s="101" t="str">
        <f>'G MTTS'!N817</f>
        <v>NLH</v>
      </c>
      <c r="F823" s="102" t="str">
        <f>'G MTTS'!O817</f>
        <v>OFF</v>
      </c>
      <c r="G823" s="103">
        <f>IF('G MTTS'!Q817=0," ",'G MTTS'!Q817*$A$3)</f>
        <v>300</v>
      </c>
      <c r="H823" s="104">
        <f>IF('G MTTS'!V817=0," ",'G MTTS'!V817*$A$3)</f>
        <v>3</v>
      </c>
      <c r="I823" s="104">
        <f>IF('G MTTS'!W817=0," ",'G MTTS'!W817*$A$3)</f>
        <v>5</v>
      </c>
      <c r="J823" s="104">
        <f>IF('G MTTS'!Z817=0," ",'G MTTS'!Z817*$A$3)</f>
        <v>5</v>
      </c>
      <c r="K823" s="105">
        <f>'G MTTS'!AF817</f>
        <v>20000</v>
      </c>
      <c r="L823" s="105">
        <f>'G MTTS'!X817</f>
        <v>25000</v>
      </c>
      <c r="M823" s="105">
        <f>'G MTTS'!AA817</f>
        <v>40000</v>
      </c>
      <c r="N823" s="106">
        <f>'G MTTS'!AG817</f>
        <v>7</v>
      </c>
      <c r="O823" s="106">
        <f>'G MTTS'!AH817</f>
        <v>6</v>
      </c>
      <c r="P823" s="106">
        <f>'G MTTS'!AI817</f>
        <v>5</v>
      </c>
      <c r="Q823" s="107">
        <f>'G MTTS'!AJ817</f>
        <v>13</v>
      </c>
      <c r="R823" s="46">
        <f t="shared" si="77"/>
        <v>0.733344907407407</v>
      </c>
      <c r="S823" s="47" t="str">
        <f t="shared" si="78"/>
        <v>MICRO</v>
      </c>
    </row>
    <row r="824" ht="29.25" customHeight="1" outlineLevel="1" spans="1:19">
      <c r="A824" s="29"/>
      <c r="B824" s="128">
        <f>'G MTTS'!B818</f>
        <v>0.750011574074074</v>
      </c>
      <c r="C824" s="129" t="str">
        <f>'G MTTS'!L818</f>
        <v>Step 76-M Supremo</v>
      </c>
      <c r="D824" s="120" t="str">
        <f>'G MTTS'!M818</f>
        <v>SAT</v>
      </c>
      <c r="E824" s="101" t="str">
        <f>'G MTTS'!N818</f>
        <v>NLH</v>
      </c>
      <c r="F824" s="102" t="str">
        <f>'G MTTS'!O818</f>
        <v>OFF</v>
      </c>
      <c r="G824" s="103">
        <f>IF('G MTTS'!Q818=0," ",'G MTTS'!Q818*$A$3)</f>
        <v>300</v>
      </c>
      <c r="H824" s="104">
        <f>IF('G MTTS'!V818=0," ",'G MTTS'!V818*$A$3)</f>
        <v>3</v>
      </c>
      <c r="I824" s="104">
        <f>IF('G MTTS'!W818=0," ",'G MTTS'!W818*$A$3)</f>
        <v>5</v>
      </c>
      <c r="J824" s="104">
        <f>IF('G MTTS'!Z818=0," ",'G MTTS'!Z818*$A$3)</f>
        <v>5</v>
      </c>
      <c r="K824" s="105">
        <f>'G MTTS'!AF818</f>
        <v>20000</v>
      </c>
      <c r="L824" s="105">
        <f>'G MTTS'!X818</f>
        <v>25000</v>
      </c>
      <c r="M824" s="105">
        <f>'G MTTS'!AA818</f>
        <v>40000</v>
      </c>
      <c r="N824" s="106">
        <f>'G MTTS'!AG818</f>
        <v>7</v>
      </c>
      <c r="O824" s="106">
        <f>'G MTTS'!AH818</f>
        <v>6</v>
      </c>
      <c r="P824" s="106">
        <f>'G MTTS'!AI818</f>
        <v>5</v>
      </c>
      <c r="Q824" s="107">
        <f>'G MTTS'!AJ818</f>
        <v>13</v>
      </c>
      <c r="R824" s="46">
        <f t="shared" si="77"/>
        <v>0.816678240740741</v>
      </c>
      <c r="S824" s="47" t="str">
        <f t="shared" si="78"/>
        <v>MICRO</v>
      </c>
    </row>
    <row r="825" ht="29.25" customHeight="1" outlineLevel="1" spans="1:19">
      <c r="A825" s="29"/>
      <c r="B825" s="128">
        <f>'G MTTS'!B819</f>
        <v>0.833344907407407</v>
      </c>
      <c r="C825" s="129" t="str">
        <f>'G MTTS'!L819</f>
        <v>Step 76-M Supremo</v>
      </c>
      <c r="D825" s="120" t="str">
        <f>'G MTTS'!M819</f>
        <v>SAT</v>
      </c>
      <c r="E825" s="101" t="str">
        <f>'G MTTS'!N819</f>
        <v>NLH</v>
      </c>
      <c r="F825" s="102" t="str">
        <f>'G MTTS'!O819</f>
        <v>OFF</v>
      </c>
      <c r="G825" s="103">
        <f>IF('G MTTS'!Q819=0," ",'G MTTS'!Q819*$A$3)</f>
        <v>300</v>
      </c>
      <c r="H825" s="104">
        <f>IF('G MTTS'!V819=0," ",'G MTTS'!V819*$A$3)</f>
        <v>3</v>
      </c>
      <c r="I825" s="104">
        <f>IF('G MTTS'!W819=0," ",'G MTTS'!W819*$A$3)</f>
        <v>5</v>
      </c>
      <c r="J825" s="104">
        <f>IF('G MTTS'!Z819=0," ",'G MTTS'!Z819*$A$3)</f>
        <v>5</v>
      </c>
      <c r="K825" s="105">
        <f>'G MTTS'!AF819</f>
        <v>20000</v>
      </c>
      <c r="L825" s="105">
        <f>'G MTTS'!X819</f>
        <v>25000</v>
      </c>
      <c r="M825" s="105">
        <f>'G MTTS'!AA819</f>
        <v>40000</v>
      </c>
      <c r="N825" s="106">
        <f>'G MTTS'!AG819</f>
        <v>7</v>
      </c>
      <c r="O825" s="106">
        <f>'G MTTS'!AH819</f>
        <v>6</v>
      </c>
      <c r="P825" s="106">
        <f>'G MTTS'!AI819</f>
        <v>5</v>
      </c>
      <c r="Q825" s="107">
        <f>'G MTTS'!AJ819</f>
        <v>13</v>
      </c>
      <c r="R825" s="46">
        <f t="shared" si="77"/>
        <v>0.900011574074074</v>
      </c>
      <c r="S825" s="47" t="str">
        <f t="shared" si="78"/>
        <v>MICRO</v>
      </c>
    </row>
    <row r="826" ht="29.25" customHeight="1" outlineLevel="1" spans="1:19">
      <c r="A826" s="124"/>
      <c r="B826" s="125">
        <f>'G MTTS'!B820</f>
        <v>0.916678240740741</v>
      </c>
      <c r="C826" s="126" t="str">
        <f>'G MTTS'!L820</f>
        <v>Step 76-M Supremo</v>
      </c>
      <c r="D826" s="120" t="str">
        <f>'G MTTS'!M820</f>
        <v>SAT</v>
      </c>
      <c r="E826" s="101" t="str">
        <f>'G MTTS'!N820</f>
        <v>NLH</v>
      </c>
      <c r="F826" s="102" t="str">
        <f>'G MTTS'!O820</f>
        <v>OFF</v>
      </c>
      <c r="G826" s="103">
        <f>IF('G MTTS'!Q820=0," ",'G MTTS'!Q820*$A$3)</f>
        <v>300</v>
      </c>
      <c r="H826" s="104">
        <f>IF('G MTTS'!V820=0," ",'G MTTS'!V820*$A$3)</f>
        <v>3</v>
      </c>
      <c r="I826" s="104">
        <f>IF('G MTTS'!W820=0," ",'G MTTS'!W820*$A$3)</f>
        <v>5</v>
      </c>
      <c r="J826" s="104">
        <f>IF('G MTTS'!Z820=0," ",'G MTTS'!Z820*$A$3)</f>
        <v>5</v>
      </c>
      <c r="K826" s="105">
        <f>'G MTTS'!AF820</f>
        <v>20000</v>
      </c>
      <c r="L826" s="105">
        <f>'G MTTS'!X820</f>
        <v>25000</v>
      </c>
      <c r="M826" s="105">
        <f>'G MTTS'!AA820</f>
        <v>40000</v>
      </c>
      <c r="N826" s="106">
        <f>'G MTTS'!AG820</f>
        <v>7</v>
      </c>
      <c r="O826" s="106">
        <f>'G MTTS'!AH820</f>
        <v>6</v>
      </c>
      <c r="P826" s="106">
        <f>'G MTTS'!AI820</f>
        <v>5</v>
      </c>
      <c r="Q826" s="107">
        <f>'G MTTS'!AJ820</f>
        <v>13</v>
      </c>
      <c r="R826" s="46">
        <f t="shared" si="77"/>
        <v>0.983344907407407</v>
      </c>
      <c r="S826" s="47" t="str">
        <f t="shared" si="78"/>
        <v>MICRO</v>
      </c>
    </row>
    <row r="827" ht="29.25" customHeight="1" outlineLevel="1" spans="1:19">
      <c r="A827" s="135"/>
      <c r="B827" s="109"/>
      <c r="C827" s="110"/>
      <c r="D827" s="111"/>
      <c r="E827" s="112"/>
      <c r="F827" s="113"/>
      <c r="G827" s="114"/>
      <c r="H827" s="115"/>
      <c r="I827" s="115"/>
      <c r="J827" s="115"/>
      <c r="K827" s="116"/>
      <c r="L827" s="116"/>
      <c r="M827" s="116"/>
      <c r="N827" s="117"/>
      <c r="O827" s="117"/>
      <c r="P827" s="117"/>
      <c r="Q827" s="118"/>
      <c r="R827" s="46"/>
      <c r="S827" s="47"/>
    </row>
    <row r="828" ht="21.75" customHeight="1" spans="1:19">
      <c r="A828" s="33" t="s">
        <v>525</v>
      </c>
      <c r="B828" s="15"/>
      <c r="C828" s="33" t="s">
        <v>525</v>
      </c>
      <c r="G828" s="15"/>
      <c r="H828" s="35" t="s">
        <v>525</v>
      </c>
      <c r="Q828" s="15"/>
      <c r="R828" s="33"/>
      <c r="S828" s="47"/>
    </row>
    <row r="829" ht="29.25" customHeight="1" outlineLevel="1" spans="1:19">
      <c r="A829" s="33" t="s">
        <v>525</v>
      </c>
      <c r="B829" s="36">
        <f>'G MTTS'!B823</f>
        <v>0.541678240740741</v>
      </c>
      <c r="C829" s="178" t="str">
        <f>'G MTTS'!J823</f>
        <v>#AS 50K Sunday MB+SPS</v>
      </c>
      <c r="D829" s="49" t="str">
        <f>'G MTTS'!M823</f>
        <v>Main Event</v>
      </c>
      <c r="E829" s="50" t="str">
        <f>'G MTTS'!N823</f>
        <v>NLH</v>
      </c>
      <c r="F829" s="51" t="str">
        <f>'G MTTS'!O823</f>
        <v>Mystery Bounty 1/3</v>
      </c>
      <c r="G829" s="52">
        <f>IF('G MTTS'!Q823=0," ",'G MTTS'!Q823*$A$3)</f>
        <v>51000</v>
      </c>
      <c r="H829" s="53">
        <f>IF('G MTTS'!V823=0," ",'G MTTS'!V823*$A$3)</f>
        <v>75</v>
      </c>
      <c r="I829" s="53">
        <f>IF('G MTTS'!W823=0," ",'G MTTS'!W823*$A$3)</f>
        <v>75</v>
      </c>
      <c r="J829" s="53" t="str">
        <f>IF('G MTTS'!Z823=0," ",'G MTTS'!Z823*$A$3)</f>
        <v> </v>
      </c>
      <c r="K829" s="54">
        <f>'G MTTS'!AF823</f>
        <v>50000</v>
      </c>
      <c r="L829" s="54">
        <f>'G MTTS'!X823</f>
        <v>0</v>
      </c>
      <c r="M829" s="54" t="str">
        <f>'G MTTS'!AA823</f>
        <v>REENTRY</v>
      </c>
      <c r="N829" s="55">
        <f>'G MTTS'!AG823</f>
        <v>12</v>
      </c>
      <c r="O829" s="55">
        <f>'G MTTS'!AH823</f>
        <v>10</v>
      </c>
      <c r="P829" s="55">
        <f>'G MTTS'!AI823</f>
        <v>10</v>
      </c>
      <c r="Q829" s="56">
        <f>'G MTTS'!AJ823</f>
        <v>15</v>
      </c>
      <c r="R829" s="46">
        <f t="shared" ref="R829:R918" si="79">IF(B829=0," ",TIME(,ROUNDDOWN(N829*Q829/60,0)*5+(N829*Q829),)+B829)</f>
        <v>0.677094907407407</v>
      </c>
      <c r="S829" s="47" t="str">
        <f t="shared" ref="S829:S839" si="80">IFERROR(IF(H829=0," ",IF(H829&lt;=25,"MICRO",IF(H829&lt;=99,"LOW",IF(H829&lt;=499,"MEDIUM",IF(H829&lt;=2500,"HIGH",IF(H829&gt;2500,"SUPER HIGH",)))))),"")</f>
        <v>LOW</v>
      </c>
    </row>
    <row r="830" ht="29.25" customHeight="1" outlineLevel="1" spans="1:19">
      <c r="A830" s="33" t="s">
        <v>71</v>
      </c>
      <c r="B830" s="36">
        <f>'G MTTS'!B824</f>
        <v>0.583344907407407</v>
      </c>
      <c r="C830" s="179" t="str">
        <f>'G MTTS'!J824</f>
        <v>#AS 50K WarmUp+SPS</v>
      </c>
      <c r="D830" s="38" t="str">
        <f>'G MTTS'!M824</f>
        <v>Main Event</v>
      </c>
      <c r="E830" s="39" t="str">
        <f>'G MTTS'!N824</f>
        <v>NLH</v>
      </c>
      <c r="F830" s="40" t="str">
        <f>'G MTTS'!O824</f>
        <v>Progressive KO 1/3</v>
      </c>
      <c r="G830" s="41">
        <f>IF('G MTTS'!Q824=0," ",'G MTTS'!Q824*$A$3)</f>
        <v>51000</v>
      </c>
      <c r="H830" s="42">
        <f>IF('G MTTS'!V824=0," ",'G MTTS'!V824*$A$3)</f>
        <v>110</v>
      </c>
      <c r="I830" s="42">
        <f>IF('G MTTS'!W824=0," ",'G MTTS'!W824*$A$3)</f>
        <v>110</v>
      </c>
      <c r="J830" s="42" t="str">
        <f>IF('G MTTS'!Z824=0," ",'G MTTS'!Z824*$A$3)</f>
        <v> </v>
      </c>
      <c r="K830" s="43">
        <f>'G MTTS'!AF824</f>
        <v>50000</v>
      </c>
      <c r="L830" s="43">
        <f>'G MTTS'!X824</f>
        <v>0</v>
      </c>
      <c r="M830" s="43" t="str">
        <f>'G MTTS'!AA824</f>
        <v>REENTRY</v>
      </c>
      <c r="N830" s="44">
        <f>'G MTTS'!AG824</f>
        <v>12</v>
      </c>
      <c r="O830" s="44">
        <f>'G MTTS'!AH824</f>
        <v>12</v>
      </c>
      <c r="P830" s="44">
        <f>'G MTTS'!AI824</f>
        <v>12</v>
      </c>
      <c r="Q830" s="45">
        <f>'G MTTS'!AJ824</f>
        <v>15</v>
      </c>
      <c r="R830" s="46">
        <f t="shared" si="79"/>
        <v>0.718761574074074</v>
      </c>
      <c r="S830" s="47" t="str">
        <f t="shared" si="80"/>
        <v>MEDIUM</v>
      </c>
    </row>
    <row r="831" ht="29.25" customHeight="1" outlineLevel="1" spans="1:19">
      <c r="A831" s="33">
        <f>COUNTIF(D829:D918,"Side event")</f>
        <v>75</v>
      </c>
      <c r="B831" s="36">
        <f>'G MTTS'!B825</f>
        <v>0.625011574074074</v>
      </c>
      <c r="C831" s="178" t="str">
        <f>'G MTTS'!J825</f>
        <v>#AS 1M Supremo</v>
      </c>
      <c r="D831" s="49" t="str">
        <f>'G MTTS'!M825</f>
        <v>Main Event</v>
      </c>
      <c r="E831" s="50" t="str">
        <f>'G MTTS'!N825</f>
        <v>NLH</v>
      </c>
      <c r="F831" s="51" t="str">
        <f>'G MTTS'!O825</f>
        <v>Progressive KO 1/2</v>
      </c>
      <c r="G831" s="52">
        <f>IF('G MTTS'!Q825=0," ",'G MTTS'!Q825*$A$3)</f>
        <v>1022000</v>
      </c>
      <c r="H831" s="53">
        <f>IF('G MTTS'!V825=0," ",'G MTTS'!V825*$A$3)</f>
        <v>550</v>
      </c>
      <c r="I831" s="53">
        <f>IF('G MTTS'!W825=0," ",'G MTTS'!W825*$A$3)</f>
        <v>550</v>
      </c>
      <c r="J831" s="53" t="str">
        <f>IF('G MTTS'!Z825=0," ",'G MTTS'!Z825*$A$3)</f>
        <v> </v>
      </c>
      <c r="K831" s="54">
        <f>'G MTTS'!AF825</f>
        <v>50000</v>
      </c>
      <c r="L831" s="54">
        <f>'G MTTS'!X825</f>
        <v>60000</v>
      </c>
      <c r="M831" s="54" t="str">
        <f>'G MTTS'!AA825</f>
        <v>REENTRY</v>
      </c>
      <c r="N831" s="55">
        <f>'G MTTS'!AG825</f>
        <v>15</v>
      </c>
      <c r="O831" s="55">
        <f>'G MTTS'!AH825</f>
        <v>12</v>
      </c>
      <c r="P831" s="55">
        <f>'G MTTS'!AI825</f>
        <v>12</v>
      </c>
      <c r="Q831" s="56">
        <f>'G MTTS'!AJ825</f>
        <v>15</v>
      </c>
      <c r="R831" s="46">
        <f t="shared" si="79"/>
        <v>0.791678240740741</v>
      </c>
      <c r="S831" s="47" t="str">
        <f t="shared" si="80"/>
        <v>HIGH</v>
      </c>
    </row>
    <row r="832" ht="29.25" customHeight="1" outlineLevel="1" spans="1:19">
      <c r="A832" s="33" t="s">
        <v>56</v>
      </c>
      <c r="B832" s="36">
        <f>'G MTTS'!B826</f>
        <v>0.666678240740741</v>
      </c>
      <c r="C832" s="179" t="str">
        <f>'G MTTS'!J826</f>
        <v>#AS 100K Sunday PLO</v>
      </c>
      <c r="D832" s="38" t="str">
        <f>'G MTTS'!M826</f>
        <v>Main Event</v>
      </c>
      <c r="E832" s="39" t="str">
        <f>'G MTTS'!N826</f>
        <v>PLO5</v>
      </c>
      <c r="F832" s="40" t="str">
        <f>'G MTTS'!O826</f>
        <v>Progressive KO 1/2</v>
      </c>
      <c r="G832" s="41">
        <f>IF('G MTTS'!Q826=0," ",'G MTTS'!Q826*$A$3)</f>
        <v>100000</v>
      </c>
      <c r="H832" s="42">
        <f>IF('G MTTS'!V826=0," ",'G MTTS'!V826*$A$3)</f>
        <v>300</v>
      </c>
      <c r="I832" s="42">
        <f>IF('G MTTS'!W826=0," ",'G MTTS'!W826*$A$3)</f>
        <v>300</v>
      </c>
      <c r="J832" s="42" t="str">
        <f>IF('G MTTS'!Z826=0," ",'G MTTS'!Z826*$A$3)</f>
        <v> </v>
      </c>
      <c r="K832" s="43">
        <f>'G MTTS'!AF826</f>
        <v>50000</v>
      </c>
      <c r="L832" s="43">
        <f>'G MTTS'!X826</f>
        <v>60000</v>
      </c>
      <c r="M832" s="43" t="str">
        <f>'G MTTS'!AA826</f>
        <v>REENTRY</v>
      </c>
      <c r="N832" s="44">
        <f>'G MTTS'!AG826</f>
        <v>12</v>
      </c>
      <c r="O832" s="44">
        <f>'G MTTS'!AH826</f>
        <v>12</v>
      </c>
      <c r="P832" s="44">
        <f>'G MTTS'!AI826</f>
        <v>12</v>
      </c>
      <c r="Q832" s="45">
        <f>'G MTTS'!AJ826</f>
        <v>15</v>
      </c>
      <c r="R832" s="46">
        <f t="shared" si="79"/>
        <v>0.802094907407407</v>
      </c>
      <c r="S832" s="47" t="str">
        <f t="shared" si="80"/>
        <v>MEDIUM</v>
      </c>
    </row>
    <row r="833" ht="29.25" customHeight="1" outlineLevel="1" spans="1:19">
      <c r="A833" s="33">
        <f>COUNTIF(D829:D918,"Main Event")</f>
        <v>11</v>
      </c>
      <c r="B833" s="36">
        <f>'G MTTS'!B827</f>
        <v>0.708344907407407</v>
      </c>
      <c r="C833" s="178" t="str">
        <f>'G MTTS'!J827</f>
        <v>#AS 100K Supreminho+SPS</v>
      </c>
      <c r="D833" s="49" t="str">
        <f>'G MTTS'!M827</f>
        <v>Main Event</v>
      </c>
      <c r="E833" s="50" t="str">
        <f>'G MTTS'!N827</f>
        <v>NLH</v>
      </c>
      <c r="F833" s="51" t="str">
        <f>'G MTTS'!O827</f>
        <v>Progressive KO 1/2</v>
      </c>
      <c r="G833" s="52">
        <f>IF('G MTTS'!Q827=0," ",'G MTTS'!Q827*$A$3)</f>
        <v>101000</v>
      </c>
      <c r="H833" s="53">
        <f>IF('G MTTS'!V827=0," ",'G MTTS'!V827*$A$3)</f>
        <v>55</v>
      </c>
      <c r="I833" s="53">
        <f>IF('G MTTS'!W827=0," ",'G MTTS'!W827*$A$3)</f>
        <v>55</v>
      </c>
      <c r="J833" s="53" t="str">
        <f>IF('G MTTS'!Z827=0," ",'G MTTS'!Z827*$A$3)</f>
        <v> </v>
      </c>
      <c r="K833" s="54">
        <f>'G MTTS'!AF827</f>
        <v>50000</v>
      </c>
      <c r="L833" s="54">
        <f>'G MTTS'!X827</f>
        <v>60000</v>
      </c>
      <c r="M833" s="54" t="str">
        <f>'G MTTS'!AA827</f>
        <v>REENTRY</v>
      </c>
      <c r="N833" s="55">
        <f>'G MTTS'!AG827</f>
        <v>12</v>
      </c>
      <c r="O833" s="55">
        <f>'G MTTS'!AH827</f>
        <v>10</v>
      </c>
      <c r="P833" s="55">
        <f>'G MTTS'!AI827</f>
        <v>10</v>
      </c>
      <c r="Q833" s="56">
        <f>'G MTTS'!AJ827</f>
        <v>15</v>
      </c>
      <c r="R833" s="46">
        <f t="shared" si="79"/>
        <v>0.843761574074074</v>
      </c>
      <c r="S833" s="47" t="str">
        <f t="shared" si="80"/>
        <v>LOW</v>
      </c>
    </row>
    <row r="834" ht="29.25" customHeight="1" outlineLevel="1" spans="1:19">
      <c r="A834" s="57" t="s">
        <v>89</v>
      </c>
      <c r="B834" s="36">
        <f>'G MTTS'!B828</f>
        <v>0.708344907407407</v>
      </c>
      <c r="C834" s="179" t="str">
        <f>'G MTTS'!J828</f>
        <v>#AS 75K Freeze HR</v>
      </c>
      <c r="D834" s="38" t="str">
        <f>'G MTTS'!M828</f>
        <v>Main Event</v>
      </c>
      <c r="E834" s="39" t="str">
        <f>'G MTTS'!N828</f>
        <v>NLH</v>
      </c>
      <c r="F834" s="40" t="str">
        <f>'G MTTS'!O828</f>
        <v>OFF</v>
      </c>
      <c r="G834" s="41">
        <f>IF('G MTTS'!Q828=0," ",'G MTTS'!Q828*$A$3)</f>
        <v>75000</v>
      </c>
      <c r="H834" s="42">
        <f>IF('G MTTS'!V828=0," ",'G MTTS'!V828*$A$3)</f>
        <v>250</v>
      </c>
      <c r="I834" s="42" t="str">
        <f>IF('G MTTS'!W828=0," ",'G MTTS'!W828*$A$3)</f>
        <v> </v>
      </c>
      <c r="J834" s="42" t="str">
        <f>IF('G MTTS'!Z828=0," ",'G MTTS'!Z828*$A$3)</f>
        <v> </v>
      </c>
      <c r="K834" s="43">
        <f>'G MTTS'!AF828</f>
        <v>40000</v>
      </c>
      <c r="L834" s="43">
        <f>'G MTTS'!X828</f>
        <v>0</v>
      </c>
      <c r="M834" s="43" t="str">
        <f>'G MTTS'!AA828</f>
        <v>FREEZE</v>
      </c>
      <c r="N834" s="44">
        <f>'G MTTS'!AG828</f>
        <v>15</v>
      </c>
      <c r="O834" s="44">
        <f>'G MTTS'!AH828</f>
        <v>12</v>
      </c>
      <c r="P834" s="44">
        <f>'G MTTS'!AI828</f>
        <v>12</v>
      </c>
      <c r="Q834" s="45">
        <f>'G MTTS'!AJ828</f>
        <v>13</v>
      </c>
      <c r="R834" s="46">
        <f t="shared" si="79"/>
        <v>0.854178240740741</v>
      </c>
      <c r="S834" s="47" t="str">
        <f t="shared" si="80"/>
        <v>MEDIUM</v>
      </c>
    </row>
    <row r="835" ht="29.25" customHeight="1" outlineLevel="1" spans="1:19">
      <c r="A835" s="58">
        <f>SUM(G829:G918,G921:G997)</f>
        <v>2657605</v>
      </c>
      <c r="B835" s="36">
        <f>'G MTTS'!B829</f>
        <v>0.750011574074074</v>
      </c>
      <c r="C835" s="178" t="str">
        <f>'G MTTS'!J829</f>
        <v>#AS 200K Sunday Plus+SPT</v>
      </c>
      <c r="D835" s="49" t="str">
        <f>'G MTTS'!M829</f>
        <v>Main Event</v>
      </c>
      <c r="E835" s="50" t="str">
        <f>'G MTTS'!N829</f>
        <v>NLH</v>
      </c>
      <c r="F835" s="51" t="str">
        <f>'G MTTS'!O829</f>
        <v>OFF</v>
      </c>
      <c r="G835" s="52">
        <f>IF('G MTTS'!Q829=0," ",'G MTTS'!Q829*$A$3)</f>
        <v>208500</v>
      </c>
      <c r="H835" s="53">
        <f>IF('G MTTS'!V829=0," ",'G MTTS'!V829*$A$3)</f>
        <v>50</v>
      </c>
      <c r="I835" s="53">
        <f>IF('G MTTS'!W829=0," ",'G MTTS'!W829*$A$3)</f>
        <v>50</v>
      </c>
      <c r="J835" s="53">
        <f>IF('G MTTS'!Z829=0," ",'G MTTS'!Z829*$A$3)</f>
        <v>60</v>
      </c>
      <c r="K835" s="54">
        <f>'G MTTS'!AF829</f>
        <v>50000</v>
      </c>
      <c r="L835" s="54">
        <f>'G MTTS'!X829</f>
        <v>0</v>
      </c>
      <c r="M835" s="54">
        <f>'G MTTS'!AA829</f>
        <v>250000</v>
      </c>
      <c r="N835" s="55">
        <f>'G MTTS'!AG829</f>
        <v>12</v>
      </c>
      <c r="O835" s="55">
        <f>'G MTTS'!AH829</f>
        <v>10</v>
      </c>
      <c r="P835" s="55">
        <f>'G MTTS'!AI829</f>
        <v>10</v>
      </c>
      <c r="Q835" s="56">
        <f>'G MTTS'!AJ829</f>
        <v>15</v>
      </c>
      <c r="R835" s="46">
        <f t="shared" si="79"/>
        <v>0.885428240740741</v>
      </c>
      <c r="S835" s="47" t="str">
        <f t="shared" si="80"/>
        <v>LOW</v>
      </c>
    </row>
    <row r="836" ht="29.25" customHeight="1" outlineLevel="1" spans="1:19">
      <c r="A836" s="60"/>
      <c r="B836" s="36">
        <f>'G MTTS'!B830</f>
        <v>0.791678240740741</v>
      </c>
      <c r="C836" s="179" t="str">
        <f>'G MTTS'!J830</f>
        <v>#AS 100K Battle HR+SPS</v>
      </c>
      <c r="D836" s="38" t="str">
        <f>'G MTTS'!M830</f>
        <v>Main Event</v>
      </c>
      <c r="E836" s="39" t="str">
        <f>'G MTTS'!N830</f>
        <v>NLH</v>
      </c>
      <c r="F836" s="40" t="str">
        <f>'G MTTS'!O830</f>
        <v>Progressive KO 1/2</v>
      </c>
      <c r="G836" s="41">
        <f>IF('G MTTS'!Q830=0," ",'G MTTS'!Q830*$A$3)</f>
        <v>101500</v>
      </c>
      <c r="H836" s="42">
        <f>IF('G MTTS'!V830=0," ",'G MTTS'!V830*$A$3)</f>
        <v>150</v>
      </c>
      <c r="I836" s="42">
        <f>IF('G MTTS'!W830=0," ",'G MTTS'!W830*$A$3)</f>
        <v>150</v>
      </c>
      <c r="J836" s="42" t="str">
        <f>IF('G MTTS'!Z830=0," ",'G MTTS'!Z830*$A$3)</f>
        <v> </v>
      </c>
      <c r="K836" s="43">
        <f>'G MTTS'!AF830</f>
        <v>50000</v>
      </c>
      <c r="L836" s="43">
        <f>'G MTTS'!X830</f>
        <v>0</v>
      </c>
      <c r="M836" s="43" t="str">
        <f>'G MTTS'!AA830</f>
        <v>REENTRY</v>
      </c>
      <c r="N836" s="44">
        <f>'G MTTS'!AG830</f>
        <v>12</v>
      </c>
      <c r="O836" s="44">
        <f>'G MTTS'!AH830</f>
        <v>12</v>
      </c>
      <c r="P836" s="44">
        <f>'G MTTS'!AI830</f>
        <v>12</v>
      </c>
      <c r="Q836" s="45">
        <f>'G MTTS'!AJ830</f>
        <v>15</v>
      </c>
      <c r="R836" s="46">
        <f t="shared" si="79"/>
        <v>0.927094907407407</v>
      </c>
      <c r="S836" s="47" t="str">
        <f t="shared" si="80"/>
        <v>MEDIUM</v>
      </c>
    </row>
    <row r="837" ht="29.25" customHeight="1" outlineLevel="1" spans="1:19">
      <c r="A837" s="60"/>
      <c r="B837" s="36">
        <f>'G MTTS'!B831</f>
        <v>0.791678240740741</v>
      </c>
      <c r="C837" s="178" t="str">
        <f>'G MTTS'!J831</f>
        <v>#AS 100K HighS</v>
      </c>
      <c r="D837" s="49" t="str">
        <f>'G MTTS'!M831</f>
        <v>Main Event</v>
      </c>
      <c r="E837" s="50" t="str">
        <f>'G MTTS'!N831</f>
        <v>NLH</v>
      </c>
      <c r="F837" s="51" t="str">
        <f>'G MTTS'!O831</f>
        <v>Progressive KO 1/2</v>
      </c>
      <c r="G837" s="52">
        <f>IF('G MTTS'!Q831=0," ",'G MTTS'!Q831*$A$3)</f>
        <v>100000</v>
      </c>
      <c r="H837" s="53">
        <f>IF('G MTTS'!V831=0," ",'G MTTS'!V831*$A$3)</f>
        <v>750</v>
      </c>
      <c r="I837" s="53">
        <f>IF('G MTTS'!W831=0," ",'G MTTS'!W831*$A$3)</f>
        <v>750</v>
      </c>
      <c r="J837" s="53" t="str">
        <f>IF('G MTTS'!Z831=0," ",'G MTTS'!Z831*$A$3)</f>
        <v> </v>
      </c>
      <c r="K837" s="54">
        <f>'G MTTS'!AF831</f>
        <v>50000</v>
      </c>
      <c r="L837" s="54">
        <f>'G MTTS'!X831</f>
        <v>60000</v>
      </c>
      <c r="M837" s="54" t="str">
        <f>'G MTTS'!AA831</f>
        <v>REENTRY</v>
      </c>
      <c r="N837" s="55">
        <f>'G MTTS'!AG831</f>
        <v>12</v>
      </c>
      <c r="O837" s="55">
        <f>'G MTTS'!AH831</f>
        <v>12</v>
      </c>
      <c r="P837" s="55">
        <f>'G MTTS'!AI831</f>
        <v>12</v>
      </c>
      <c r="Q837" s="56">
        <f>'G MTTS'!AJ831</f>
        <v>15</v>
      </c>
      <c r="R837" s="46">
        <f t="shared" si="79"/>
        <v>0.927094907407407</v>
      </c>
      <c r="S837" s="47" t="str">
        <f t="shared" si="80"/>
        <v>HIGH</v>
      </c>
    </row>
    <row r="838" ht="29.25" customHeight="1" outlineLevel="1" spans="1:19">
      <c r="A838" s="60" t="s">
        <v>525</v>
      </c>
      <c r="B838" s="36">
        <f>'G MTTS'!B832</f>
        <v>0.833344907407407</v>
      </c>
      <c r="C838" s="179" t="str">
        <f>'G MTTS'!J832</f>
        <v>#AS 100K OmaX HR</v>
      </c>
      <c r="D838" s="38" t="str">
        <f>'G MTTS'!M832</f>
        <v>Main Event</v>
      </c>
      <c r="E838" s="39" t="str">
        <f>'G MTTS'!N832</f>
        <v>PLO5</v>
      </c>
      <c r="F838" s="40" t="str">
        <f>'G MTTS'!O832</f>
        <v>Progressive KO 1/2</v>
      </c>
      <c r="G838" s="41">
        <f>IF('G MTTS'!Q832=0," ",'G MTTS'!Q832*$A$3)</f>
        <v>100000</v>
      </c>
      <c r="H838" s="42">
        <f>IF('G MTTS'!V832=0," ",'G MTTS'!V832*$A$3)</f>
        <v>800</v>
      </c>
      <c r="I838" s="42">
        <f>IF('G MTTS'!W832=0," ",'G MTTS'!W832*$A$3)</f>
        <v>800</v>
      </c>
      <c r="J838" s="42" t="str">
        <f>IF('G MTTS'!Z832=0," ",'G MTTS'!Z832*$A$3)</f>
        <v> </v>
      </c>
      <c r="K838" s="43">
        <f>'G MTTS'!AF832</f>
        <v>40000</v>
      </c>
      <c r="L838" s="43">
        <f>'G MTTS'!X832</f>
        <v>60000</v>
      </c>
      <c r="M838" s="43" t="str">
        <f>'G MTTS'!AA832</f>
        <v>REENTRY</v>
      </c>
      <c r="N838" s="44">
        <f>'G MTTS'!AG832</f>
        <v>12</v>
      </c>
      <c r="O838" s="44">
        <f>'G MTTS'!AH832</f>
        <v>12</v>
      </c>
      <c r="P838" s="44">
        <f>'G MTTS'!AI832</f>
        <v>12</v>
      </c>
      <c r="Q838" s="45">
        <f>'G MTTS'!AJ832</f>
        <v>15</v>
      </c>
      <c r="R838" s="46">
        <f t="shared" si="79"/>
        <v>0.968761574074074</v>
      </c>
      <c r="S838" s="47" t="str">
        <f t="shared" si="80"/>
        <v>HIGH</v>
      </c>
    </row>
    <row r="839" ht="29.25" customHeight="1" outlineLevel="1" spans="1:19">
      <c r="B839" s="36">
        <f>'G MTTS'!B833</f>
        <v>0.833344907407407</v>
      </c>
      <c r="C839" s="178" t="str">
        <f>'G MTTS'!J833</f>
        <v>#AS 30K Bounty+SPS</v>
      </c>
      <c r="D839" s="49" t="str">
        <f>'G MTTS'!M833</f>
        <v>Main Event</v>
      </c>
      <c r="E839" s="50" t="str">
        <f>'G MTTS'!N833</f>
        <v>NLH</v>
      </c>
      <c r="F839" s="51" t="str">
        <f>'G MTTS'!O833</f>
        <v>Progressive KO 1/2</v>
      </c>
      <c r="G839" s="52">
        <f>IF('G MTTS'!Q833=0," ",'G MTTS'!Q833*$A$3)</f>
        <v>31000</v>
      </c>
      <c r="H839" s="53">
        <f>IF('G MTTS'!V833=0," ",'G MTTS'!V833*$A$3)</f>
        <v>75</v>
      </c>
      <c r="I839" s="53">
        <f>IF('G MTTS'!W833=0," ",'G MTTS'!W833*$A$3)</f>
        <v>75</v>
      </c>
      <c r="J839" s="53" t="str">
        <f>IF('G MTTS'!Z833=0," ",'G MTTS'!Z833*$A$3)</f>
        <v> </v>
      </c>
      <c r="K839" s="54">
        <f>'G MTTS'!AF833</f>
        <v>50000</v>
      </c>
      <c r="L839" s="54">
        <f>'G MTTS'!X833</f>
        <v>0</v>
      </c>
      <c r="M839" s="54" t="str">
        <f>'G MTTS'!AA833</f>
        <v>REENTRY</v>
      </c>
      <c r="N839" s="55">
        <f>'G MTTS'!AG833</f>
        <v>10</v>
      </c>
      <c r="O839" s="55">
        <f>'G MTTS'!AH833</f>
        <v>10</v>
      </c>
      <c r="P839" s="55">
        <f>'G MTTS'!AI833</f>
        <v>10</v>
      </c>
      <c r="Q839" s="56">
        <f>'G MTTS'!AJ833</f>
        <v>15</v>
      </c>
      <c r="R839" s="46">
        <f t="shared" si="79"/>
        <v>0.944456018518518</v>
      </c>
      <c r="S839" s="47" t="str">
        <f t="shared" si="80"/>
        <v>LOW</v>
      </c>
    </row>
    <row r="840" ht="29.25" customHeight="1" outlineLevel="1" spans="1:19">
      <c r="B840" s="62">
        <f>'G MTTS'!B834</f>
        <v>0</v>
      </c>
      <c r="C840" s="110">
        <f>'G MTTS'!J834</f>
        <v>0</v>
      </c>
      <c r="D840" s="111">
        <f>'G MTTS'!M834</f>
        <v>0</v>
      </c>
      <c r="E840" s="112">
        <f>'G MTTS'!N834</f>
        <v>0</v>
      </c>
      <c r="F840" s="113">
        <f>'G MTTS'!O834</f>
        <v>0</v>
      </c>
      <c r="G840" s="114" t="str">
        <f>IF('G MTTS'!Q834=0," ",'G MTTS'!Q834*5)</f>
        <v> </v>
      </c>
      <c r="H840" s="115" t="str">
        <f>IF('G MTTS'!V834=0," ",'G MTTS'!V834*5)</f>
        <v> </v>
      </c>
      <c r="I840" s="115" t="str">
        <f>IF('G MTTS'!W834=0," ",'G MTTS'!W834*5)</f>
        <v> </v>
      </c>
      <c r="J840" s="115" t="str">
        <f>IF('G MTTS'!Z834=0," ",'G MTTS'!Z834*5)</f>
        <v> </v>
      </c>
      <c r="K840" s="116">
        <f>'G MTTS'!AF834</f>
        <v>0</v>
      </c>
      <c r="L840" s="116">
        <f>'G MTTS'!X834</f>
        <v>0</v>
      </c>
      <c r="M840" s="116">
        <f>'G MTTS'!AA834</f>
        <v>0</v>
      </c>
      <c r="N840" s="117">
        <f>'G MTTS'!AG834</f>
        <v>0</v>
      </c>
      <c r="O840" s="117">
        <f>'G MTTS'!AH834</f>
        <v>0</v>
      </c>
      <c r="P840" s="117">
        <f>'G MTTS'!AI834</f>
        <v>0</v>
      </c>
      <c r="Q840" s="118">
        <f>'G MTTS'!AJ834</f>
        <v>0</v>
      </c>
      <c r="R840" s="46" t="str">
        <f t="shared" si="79"/>
        <v> </v>
      </c>
      <c r="S840" s="47"/>
    </row>
    <row r="841" ht="29.25" customHeight="1" outlineLevel="1" spans="1:19">
      <c r="B841" s="36">
        <f>'G MTTS'!B835</f>
        <v>1.15740740740741e-5</v>
      </c>
      <c r="C841" s="178" t="str">
        <f>'G MTTS'!J835</f>
        <v>#AS 6K Sonic</v>
      </c>
      <c r="D841" s="49" t="str">
        <f>'G MTTS'!M835</f>
        <v>Side Event</v>
      </c>
      <c r="E841" s="50" t="str">
        <f>'G MTTS'!N835</f>
        <v>NLH</v>
      </c>
      <c r="F841" s="51" t="str">
        <f>'G MTTS'!O835</f>
        <v>OFF</v>
      </c>
      <c r="G841" s="52">
        <f>IF('G MTTS'!Q835=0," ",'G MTTS'!Q835*$A$3)</f>
        <v>6000</v>
      </c>
      <c r="H841" s="53">
        <f>IF('G MTTS'!V835=0," ",'G MTTS'!V835*$A$3)</f>
        <v>35</v>
      </c>
      <c r="I841" s="53">
        <f>IF('G MTTS'!W835=0," ",'G MTTS'!W835*$A$3)</f>
        <v>35</v>
      </c>
      <c r="J841" s="53" t="str">
        <f>IF('G MTTS'!Z835=0," ",'G MTTS'!Z835*$A$3)</f>
        <v> </v>
      </c>
      <c r="K841" s="54">
        <f>'G MTTS'!AF835</f>
        <v>50000</v>
      </c>
      <c r="L841" s="54">
        <f>'G MTTS'!X835</f>
        <v>0</v>
      </c>
      <c r="M841" s="54" t="str">
        <f>'G MTTS'!AA835</f>
        <v>REENTRY</v>
      </c>
      <c r="N841" s="55">
        <f>'G MTTS'!AG835</f>
        <v>6</v>
      </c>
      <c r="O841" s="55">
        <f>'G MTTS'!AH835</f>
        <v>5</v>
      </c>
      <c r="P841" s="55">
        <f>'G MTTS'!AI835</f>
        <v>6</v>
      </c>
      <c r="Q841" s="56">
        <f>'G MTTS'!AJ835</f>
        <v>13</v>
      </c>
      <c r="R841" s="46">
        <f t="shared" si="79"/>
        <v>0.057650462962963</v>
      </c>
      <c r="S841" s="47" t="str">
        <f t="shared" ref="S841:S927" si="81">IFERROR(IF(H841=0," ",IF(H841&lt;=25,"MICRO",IF(H841&lt;=99,"LOW",IF(H841&lt;=499,"MEDIUM",IF(H841&lt;=2500,"HIGH",IF(H841&gt;2500,"SUPER HIGH",)))))),"")</f>
        <v>LOW</v>
      </c>
    </row>
    <row r="842" ht="29.25" customHeight="1" outlineLevel="1" spans="1:19">
      <c r="A842" s="60" t="s">
        <v>525</v>
      </c>
      <c r="B842" s="36">
        <f>'G MTTS'!B836</f>
        <v>1.15740740740741e-5</v>
      </c>
      <c r="C842" s="179" t="str">
        <f>'G MTTS'!J836</f>
        <v>1.5K Omax K.O</v>
      </c>
      <c r="D842" s="38" t="str">
        <f>'G MTTS'!M836</f>
        <v>Side Event</v>
      </c>
      <c r="E842" s="39" t="str">
        <f>'G MTTS'!N836</f>
        <v>PLO5</v>
      </c>
      <c r="F842" s="40" t="str">
        <f>'G MTTS'!O836</f>
        <v>Regular KO 1/3</v>
      </c>
      <c r="G842" s="41">
        <f>IF('G MTTS'!Q836=0," ",'G MTTS'!Q836*$A$3)</f>
        <v>1500</v>
      </c>
      <c r="H842" s="42">
        <f>IF('G MTTS'!V836=0," ",'G MTTS'!V836*$A$3)</f>
        <v>10</v>
      </c>
      <c r="I842" s="42">
        <f>IF('G MTTS'!W836=0," ",'G MTTS'!W836*$A$3)</f>
        <v>10</v>
      </c>
      <c r="J842" s="42" t="str">
        <f>IF('G MTTS'!Z836=0," ",'G MTTS'!Z836*$A$3)</f>
        <v> </v>
      </c>
      <c r="K842" s="43">
        <f>'G MTTS'!AF836</f>
        <v>60000</v>
      </c>
      <c r="L842" s="43">
        <f>'G MTTS'!X836</f>
        <v>0</v>
      </c>
      <c r="M842" s="43" t="str">
        <f>'G MTTS'!AA836</f>
        <v>REENTRY</v>
      </c>
      <c r="N842" s="44">
        <f>'G MTTS'!AG836</f>
        <v>6</v>
      </c>
      <c r="O842" s="44">
        <f>'G MTTS'!AH836</f>
        <v>5</v>
      </c>
      <c r="P842" s="44">
        <f>'G MTTS'!AI836</f>
        <v>5</v>
      </c>
      <c r="Q842" s="45">
        <f>'G MTTS'!AJ836</f>
        <v>12</v>
      </c>
      <c r="R842" s="46">
        <f t="shared" si="79"/>
        <v>0.0534837962962963</v>
      </c>
      <c r="S842" s="47" t="str">
        <f t="shared" si="81"/>
        <v>MICRO</v>
      </c>
    </row>
    <row r="843" ht="29.25" customHeight="1" outlineLevel="1" spans="1:19">
      <c r="B843" s="36">
        <f>'G MTTS'!B837</f>
        <v>0.013900462962963</v>
      </c>
      <c r="C843" s="178" t="str">
        <f>'G MTTS'!J837</f>
        <v>750 Battle Turbo</v>
      </c>
      <c r="D843" s="49" t="str">
        <f>'G MTTS'!M837</f>
        <v>Side Event</v>
      </c>
      <c r="E843" s="50" t="str">
        <f>'G MTTS'!N837</f>
        <v>NLH</v>
      </c>
      <c r="F843" s="51" t="str">
        <f>'G MTTS'!O837</f>
        <v>Regular KO 1/3</v>
      </c>
      <c r="G843" s="52">
        <f>IF('G MTTS'!Q837=0," ",'G MTTS'!Q837*$A$3)</f>
        <v>750</v>
      </c>
      <c r="H843" s="53">
        <f>IF('G MTTS'!V837=0," ",'G MTTS'!V837*$A$3)</f>
        <v>5</v>
      </c>
      <c r="I843" s="53">
        <f>IF('G MTTS'!W837=0," ",'G MTTS'!W837*$A$3)</f>
        <v>5</v>
      </c>
      <c r="J843" s="53" t="str">
        <f>IF('G MTTS'!Z837=0," ",'G MTTS'!Z837*$A$3)</f>
        <v> </v>
      </c>
      <c r="K843" s="54">
        <f>'G MTTS'!AF837</f>
        <v>15000</v>
      </c>
      <c r="L843" s="54">
        <f>'G MTTS'!X837</f>
        <v>0</v>
      </c>
      <c r="M843" s="54" t="str">
        <f>'G MTTS'!AA837</f>
        <v>REENTRY</v>
      </c>
      <c r="N843" s="55">
        <f>'G MTTS'!AG837</f>
        <v>6</v>
      </c>
      <c r="O843" s="55">
        <f>'G MTTS'!AH837</f>
        <v>5</v>
      </c>
      <c r="P843" s="55">
        <f>'G MTTS'!AI837</f>
        <v>5</v>
      </c>
      <c r="Q843" s="56">
        <f>'G MTTS'!AJ837</f>
        <v>13</v>
      </c>
      <c r="R843" s="46">
        <f t="shared" si="79"/>
        <v>0.0715393518518519</v>
      </c>
      <c r="S843" s="47" t="str">
        <f t="shared" si="81"/>
        <v>MICRO</v>
      </c>
    </row>
    <row r="844" ht="29.25" customHeight="1" outlineLevel="1" spans="1:19">
      <c r="B844" s="36">
        <f>'G MTTS'!B838</f>
        <v>0.0208449074074074</v>
      </c>
      <c r="C844" s="179" t="str">
        <f>'G MTTS'!J838</f>
        <v>1K Plus</v>
      </c>
      <c r="D844" s="38" t="str">
        <f>'G MTTS'!M838</f>
        <v>Side Event</v>
      </c>
      <c r="E844" s="39" t="str">
        <f>'G MTTS'!N838</f>
        <v>NLH</v>
      </c>
      <c r="F844" s="40" t="str">
        <f>'G MTTS'!O838</f>
        <v>OFF</v>
      </c>
      <c r="G844" s="41">
        <f>IF('G MTTS'!Q838=0," ",'G MTTS'!Q838*$A$3)</f>
        <v>1000</v>
      </c>
      <c r="H844" s="42">
        <f>IF('G MTTS'!V838=0," ",'G MTTS'!V838*$A$3)</f>
        <v>2</v>
      </c>
      <c r="I844" s="42">
        <f>IF('G MTTS'!W838=0," ",'G MTTS'!W838*$A$3)</f>
        <v>2</v>
      </c>
      <c r="J844" s="42">
        <f>IF('G MTTS'!Z838=0," ",'G MTTS'!Z838*$A$3)</f>
        <v>2</v>
      </c>
      <c r="K844" s="43">
        <f>'G MTTS'!AF838</f>
        <v>30000</v>
      </c>
      <c r="L844" s="43">
        <f>'G MTTS'!X838</f>
        <v>0</v>
      </c>
      <c r="M844" s="43">
        <f>'G MTTS'!AA838</f>
        <v>50000</v>
      </c>
      <c r="N844" s="44">
        <f>'G MTTS'!AG838</f>
        <v>5</v>
      </c>
      <c r="O844" s="44">
        <f>'G MTTS'!AH838</f>
        <v>5</v>
      </c>
      <c r="P844" s="44">
        <f>'G MTTS'!AI838</f>
        <v>5</v>
      </c>
      <c r="Q844" s="45">
        <f>'G MTTS'!AJ838</f>
        <v>13</v>
      </c>
      <c r="R844" s="46">
        <f t="shared" si="79"/>
        <v>0.0694560185185185</v>
      </c>
      <c r="S844" s="47" t="str">
        <f t="shared" si="81"/>
        <v>MICRO</v>
      </c>
    </row>
    <row r="845" ht="29.25" customHeight="1" outlineLevel="1" spans="1:19">
      <c r="A845" s="60" t="s">
        <v>525</v>
      </c>
      <c r="B845" s="36">
        <f>'G MTTS'!B839</f>
        <v>0.0208449074074074</v>
      </c>
      <c r="C845" s="48" t="str">
        <f>'G MTTS'!J839</f>
        <v>#AS 1.5K Omax</v>
      </c>
      <c r="D845" s="49" t="str">
        <f>'G MTTS'!M839</f>
        <v>Side Event</v>
      </c>
      <c r="E845" s="50" t="str">
        <f>'G MTTS'!N839</f>
        <v>PLO5</v>
      </c>
      <c r="F845" s="51" t="str">
        <f>'G MTTS'!O839</f>
        <v>OFF</v>
      </c>
      <c r="G845" s="52">
        <f>IF('G MTTS'!Q839=0," ",'G MTTS'!Q839*$A$3)</f>
        <v>1500</v>
      </c>
      <c r="H845" s="53">
        <f>IF('G MTTS'!V839=0," ",'G MTTS'!V839*$A$3)</f>
        <v>5</v>
      </c>
      <c r="I845" s="53">
        <f>IF('G MTTS'!W839=0," ",'G MTTS'!W839*$A$3)</f>
        <v>5</v>
      </c>
      <c r="J845" s="53">
        <f>IF('G MTTS'!Z839=0," ",'G MTTS'!Z839*$A$3)</f>
        <v>5</v>
      </c>
      <c r="K845" s="54">
        <f>'G MTTS'!AF839</f>
        <v>30000</v>
      </c>
      <c r="L845" s="54">
        <f>'G MTTS'!X839</f>
        <v>0</v>
      </c>
      <c r="M845" s="54">
        <f>'G MTTS'!AA839</f>
        <v>90000</v>
      </c>
      <c r="N845" s="55">
        <f>'G MTTS'!AG839</f>
        <v>6</v>
      </c>
      <c r="O845" s="55">
        <f>'G MTTS'!AH839</f>
        <v>5</v>
      </c>
      <c r="P845" s="55">
        <f>'G MTTS'!AI839</f>
        <v>5</v>
      </c>
      <c r="Q845" s="56">
        <f>'G MTTS'!AJ839</f>
        <v>12</v>
      </c>
      <c r="R845" s="46">
        <f t="shared" si="79"/>
        <v>0.0743171296296296</v>
      </c>
      <c r="S845" s="47" t="str">
        <f t="shared" si="81"/>
        <v>MICRO</v>
      </c>
    </row>
    <row r="846" ht="29.25" customHeight="1" outlineLevel="1" spans="1:19">
      <c r="B846" s="36">
        <f>'G MTTS'!B840</f>
        <v>0.0416782407407407</v>
      </c>
      <c r="C846" s="179" t="str">
        <f>'G MTTS'!J840</f>
        <v>#AS 8K Plus</v>
      </c>
      <c r="D846" s="38" t="str">
        <f>'G MTTS'!M840</f>
        <v>Side Event</v>
      </c>
      <c r="E846" s="39" t="str">
        <f>'G MTTS'!N840</f>
        <v>NLH</v>
      </c>
      <c r="F846" s="40" t="str">
        <f>'G MTTS'!O840</f>
        <v>OFF</v>
      </c>
      <c r="G846" s="41">
        <f>IF('G MTTS'!Q840=0," ",'G MTTS'!Q840*$A$3)</f>
        <v>8000</v>
      </c>
      <c r="H846" s="42">
        <f>IF('G MTTS'!V840=0," ",'G MTTS'!V840*$A$3)</f>
        <v>15</v>
      </c>
      <c r="I846" s="42">
        <f>IF('G MTTS'!W840=0," ",'G MTTS'!W840*$A$3)</f>
        <v>15</v>
      </c>
      <c r="J846" s="42">
        <f>IF('G MTTS'!Z840=0," ",'G MTTS'!Z840*$A$3)</f>
        <v>15</v>
      </c>
      <c r="K846" s="43">
        <f>'G MTTS'!AF840</f>
        <v>40000</v>
      </c>
      <c r="L846" s="43">
        <f>'G MTTS'!X840</f>
        <v>0</v>
      </c>
      <c r="M846" s="43">
        <f>'G MTTS'!AA840</f>
        <v>160000</v>
      </c>
      <c r="N846" s="44">
        <f>'G MTTS'!AG840</f>
        <v>6</v>
      </c>
      <c r="O846" s="44">
        <f>'G MTTS'!AH840</f>
        <v>5</v>
      </c>
      <c r="P846" s="44">
        <f>'G MTTS'!AI840</f>
        <v>6</v>
      </c>
      <c r="Q846" s="45">
        <f>'G MTTS'!AJ840</f>
        <v>13</v>
      </c>
      <c r="R846" s="46">
        <f t="shared" si="79"/>
        <v>0.0993171296296296</v>
      </c>
      <c r="S846" s="47" t="str">
        <f t="shared" si="81"/>
        <v>MICRO</v>
      </c>
    </row>
    <row r="847" ht="29.25" customHeight="1" outlineLevel="1" spans="1:19">
      <c r="B847" s="36">
        <f>'G MTTS'!B841</f>
        <v>0.0416782407407407</v>
      </c>
      <c r="C847" s="178" t="str">
        <f>'G MTTS'!J841</f>
        <v>#AS 2K Omax K.O</v>
      </c>
      <c r="D847" s="49" t="str">
        <f>'G MTTS'!M841</f>
        <v>Side Event</v>
      </c>
      <c r="E847" s="50" t="str">
        <f>'G MTTS'!N841</f>
        <v>PLO4</v>
      </c>
      <c r="F847" s="51" t="str">
        <f>'G MTTS'!O841</f>
        <v>Regular KO 1/3</v>
      </c>
      <c r="G847" s="52">
        <f>IF('G MTTS'!Q841=0," ",'G MTTS'!Q841*$A$3)</f>
        <v>2000</v>
      </c>
      <c r="H847" s="53">
        <f>IF('G MTTS'!V841=0," ",'G MTTS'!V841*$A$3)</f>
        <v>50</v>
      </c>
      <c r="I847" s="53">
        <f>IF('G MTTS'!W841=0," ",'G MTTS'!W841*$A$3)</f>
        <v>50</v>
      </c>
      <c r="J847" s="53" t="str">
        <f>IF('G MTTS'!Z841=0," ",'G MTTS'!Z841*$A$3)</f>
        <v> </v>
      </c>
      <c r="K847" s="54">
        <f>'G MTTS'!AF841</f>
        <v>50000</v>
      </c>
      <c r="L847" s="54">
        <f>'G MTTS'!X841</f>
        <v>0</v>
      </c>
      <c r="M847" s="54" t="str">
        <f>'G MTTS'!AA841</f>
        <v>REENTRY</v>
      </c>
      <c r="N847" s="55">
        <f>'G MTTS'!AG841</f>
        <v>6</v>
      </c>
      <c r="O847" s="55">
        <f>'G MTTS'!AH841</f>
        <v>5</v>
      </c>
      <c r="P847" s="55">
        <f>'G MTTS'!AI841</f>
        <v>5</v>
      </c>
      <c r="Q847" s="56">
        <f>'G MTTS'!AJ841</f>
        <v>15</v>
      </c>
      <c r="R847" s="46">
        <f t="shared" si="79"/>
        <v>0.107650462962963</v>
      </c>
      <c r="S847" s="47" t="str">
        <f t="shared" si="81"/>
        <v>LOW</v>
      </c>
    </row>
    <row r="848" ht="29.25" customHeight="1" outlineLevel="1" spans="1:19">
      <c r="A848" s="60" t="s">
        <v>525</v>
      </c>
      <c r="B848" s="36">
        <f>'G MTTS'!B842</f>
        <v>0.0625115740740741</v>
      </c>
      <c r="C848" s="179" t="str">
        <f>'G MTTS'!J842</f>
        <v>500 Omax PKO</v>
      </c>
      <c r="D848" s="38" t="str">
        <f>'G MTTS'!M842</f>
        <v>Side Event</v>
      </c>
      <c r="E848" s="39" t="str">
        <f>'G MTTS'!N842</f>
        <v>PLO5</v>
      </c>
      <c r="F848" s="40" t="str">
        <f>'G MTTS'!O842</f>
        <v>Progressive KO 1/2</v>
      </c>
      <c r="G848" s="41">
        <f>IF('G MTTS'!Q842=0," ",'G MTTS'!Q842*$A$3)</f>
        <v>500</v>
      </c>
      <c r="H848" s="42">
        <f>IF('G MTTS'!V842=0," ",'G MTTS'!V842*$A$3)</f>
        <v>3</v>
      </c>
      <c r="I848" s="42">
        <f>IF('G MTTS'!W842=0," ",'G MTTS'!W842*$A$3)</f>
        <v>3</v>
      </c>
      <c r="J848" s="42" t="str">
        <f>IF('G MTTS'!Z842=0," ",'G MTTS'!Z842*$A$3)</f>
        <v> </v>
      </c>
      <c r="K848" s="43">
        <f>'G MTTS'!AF842</f>
        <v>30000</v>
      </c>
      <c r="L848" s="43">
        <f>'G MTTS'!X842</f>
        <v>0</v>
      </c>
      <c r="M848" s="43" t="str">
        <f>'G MTTS'!AA842</f>
        <v>REENTRY</v>
      </c>
      <c r="N848" s="44">
        <f>'G MTTS'!AG842</f>
        <v>5</v>
      </c>
      <c r="O848" s="44">
        <f>'G MTTS'!AH842</f>
        <v>5</v>
      </c>
      <c r="P848" s="44">
        <f>'G MTTS'!AI842</f>
        <v>5</v>
      </c>
      <c r="Q848" s="45">
        <f>'G MTTS'!AJ842</f>
        <v>13</v>
      </c>
      <c r="R848" s="46">
        <f t="shared" si="79"/>
        <v>0.111122685185185</v>
      </c>
      <c r="S848" s="47" t="str">
        <f t="shared" si="81"/>
        <v>MICRO</v>
      </c>
    </row>
    <row r="849" ht="29.25" customHeight="1" outlineLevel="1" spans="1:19">
      <c r="B849" s="36">
        <f>'G MTTS'!B843</f>
        <v>0.0833449074074074</v>
      </c>
      <c r="C849" s="178" t="str">
        <f>'G MTTS'!J843</f>
        <v>#AS 4K Battle</v>
      </c>
      <c r="D849" s="49" t="str">
        <f>'G MTTS'!M843</f>
        <v>Side Event</v>
      </c>
      <c r="E849" s="50" t="str">
        <f>'G MTTS'!N843</f>
        <v>NLH</v>
      </c>
      <c r="F849" s="51" t="str">
        <f>'G MTTS'!O843</f>
        <v>Progressive KO 1/2</v>
      </c>
      <c r="G849" s="52">
        <f>IF('G MTTS'!Q843=0," ",'G MTTS'!Q843*$A$3)</f>
        <v>4000</v>
      </c>
      <c r="H849" s="53">
        <f>IF('G MTTS'!V843=0," ",'G MTTS'!V843*$A$3)</f>
        <v>35</v>
      </c>
      <c r="I849" s="53">
        <f>IF('G MTTS'!W843=0," ",'G MTTS'!W843*$A$3)</f>
        <v>35</v>
      </c>
      <c r="J849" s="53" t="str">
        <f>IF('G MTTS'!Z843=0," ",'G MTTS'!Z843*$A$3)</f>
        <v> </v>
      </c>
      <c r="K849" s="54">
        <f>'G MTTS'!AF843</f>
        <v>40000</v>
      </c>
      <c r="L849" s="54">
        <f>'G MTTS'!X843</f>
        <v>0</v>
      </c>
      <c r="M849" s="54" t="str">
        <f>'G MTTS'!AA843</f>
        <v>REENTRY</v>
      </c>
      <c r="N849" s="55">
        <f>'G MTTS'!AG843</f>
        <v>6</v>
      </c>
      <c r="O849" s="55">
        <f>'G MTTS'!AH843</f>
        <v>5</v>
      </c>
      <c r="P849" s="55">
        <f>'G MTTS'!AI843</f>
        <v>5</v>
      </c>
      <c r="Q849" s="56">
        <f>'G MTTS'!AJ843</f>
        <v>13</v>
      </c>
      <c r="R849" s="46">
        <f t="shared" si="79"/>
        <v>0.140983796296296</v>
      </c>
      <c r="S849" s="47" t="str">
        <f t="shared" si="81"/>
        <v>LOW</v>
      </c>
    </row>
    <row r="850" ht="29.25" customHeight="1" outlineLevel="1" spans="1:19">
      <c r="B850" s="36">
        <f>'G MTTS'!B844</f>
        <v>0.0833449074074074</v>
      </c>
      <c r="C850" s="179" t="str">
        <f>'G MTTS'!J844</f>
        <v>#AS 2K Omax PKO</v>
      </c>
      <c r="D850" s="38" t="str">
        <f>'G MTTS'!M844</f>
        <v>Side Event</v>
      </c>
      <c r="E850" s="39" t="str">
        <f>'G MTTS'!N844</f>
        <v>PLO5</v>
      </c>
      <c r="F850" s="40" t="str">
        <f>'G MTTS'!O844</f>
        <v>Progressive KO 1/2</v>
      </c>
      <c r="G850" s="41">
        <f>IF('G MTTS'!Q844=0," ",'G MTTS'!Q844*$A$3)</f>
        <v>2000</v>
      </c>
      <c r="H850" s="42">
        <f>IF('G MTTS'!V844=0," ",'G MTTS'!V844*$A$3)</f>
        <v>30</v>
      </c>
      <c r="I850" s="42">
        <f>IF('G MTTS'!W844=0," ",'G MTTS'!W844*$A$3)</f>
        <v>30</v>
      </c>
      <c r="J850" s="42" t="str">
        <f>IF('G MTTS'!Z844=0," ",'G MTTS'!Z844*$A$3)</f>
        <v> </v>
      </c>
      <c r="K850" s="43">
        <f>'G MTTS'!AF844</f>
        <v>50000</v>
      </c>
      <c r="L850" s="43">
        <f>'G MTTS'!X844</f>
        <v>0</v>
      </c>
      <c r="M850" s="43" t="str">
        <f>'G MTTS'!AA844</f>
        <v>REENTRY</v>
      </c>
      <c r="N850" s="44">
        <f>'G MTTS'!AG844</f>
        <v>6</v>
      </c>
      <c r="O850" s="44">
        <f>'G MTTS'!AH844</f>
        <v>5</v>
      </c>
      <c r="P850" s="44">
        <f>'G MTTS'!AI844</f>
        <v>5</v>
      </c>
      <c r="Q850" s="45">
        <f>'G MTTS'!AJ844</f>
        <v>15</v>
      </c>
      <c r="R850" s="46">
        <f t="shared" si="79"/>
        <v>0.14931712962963</v>
      </c>
      <c r="S850" s="47" t="str">
        <f t="shared" si="81"/>
        <v>LOW</v>
      </c>
    </row>
    <row r="851" ht="29.25" customHeight="1" outlineLevel="1" spans="1:19">
      <c r="A851" s="60" t="s">
        <v>525</v>
      </c>
      <c r="B851" s="36">
        <f>'G MTTS'!B845</f>
        <v>0.104178240740741</v>
      </c>
      <c r="C851" s="48" t="str">
        <f>'G MTTS'!J845</f>
        <v>1.5K Plus+SPS</v>
      </c>
      <c r="D851" s="49" t="str">
        <f>'G MTTS'!M845</f>
        <v>Side Event</v>
      </c>
      <c r="E851" s="50" t="str">
        <f>'G MTTS'!N845</f>
        <v>NLH</v>
      </c>
      <c r="F851" s="51" t="str">
        <f>'G MTTS'!O845</f>
        <v>OFF</v>
      </c>
      <c r="G851" s="52">
        <f>IF('G MTTS'!Q845=0," ",'G MTTS'!Q845*$A$3)</f>
        <v>1650</v>
      </c>
      <c r="H851" s="53">
        <f>IF('G MTTS'!V845=0," ",'G MTTS'!V845*$A$3)</f>
        <v>3</v>
      </c>
      <c r="I851" s="53">
        <f>IF('G MTTS'!W845=0," ",'G MTTS'!W845*$A$3)</f>
        <v>3</v>
      </c>
      <c r="J851" s="53">
        <f>IF('G MTTS'!Z845=0," ",'G MTTS'!Z845*$A$3)</f>
        <v>4</v>
      </c>
      <c r="K851" s="54">
        <f>'G MTTS'!AF845</f>
        <v>50000</v>
      </c>
      <c r="L851" s="54">
        <f>'G MTTS'!X845</f>
        <v>0</v>
      </c>
      <c r="M851" s="54">
        <f>'G MTTS'!AA845</f>
        <v>100000</v>
      </c>
      <c r="N851" s="55">
        <f>'G MTTS'!AG845</f>
        <v>5</v>
      </c>
      <c r="O851" s="55">
        <f>'G MTTS'!AH845</f>
        <v>5</v>
      </c>
      <c r="P851" s="55">
        <f>'G MTTS'!AI845</f>
        <v>5</v>
      </c>
      <c r="Q851" s="56">
        <f>'G MTTS'!AJ845</f>
        <v>13</v>
      </c>
      <c r="R851" s="46">
        <f t="shared" si="79"/>
        <v>0.152789351851852</v>
      </c>
      <c r="S851" s="47" t="str">
        <f t="shared" si="81"/>
        <v>MICRO</v>
      </c>
    </row>
    <row r="852" ht="29.25" customHeight="1" outlineLevel="1" spans="1:19">
      <c r="B852" s="36">
        <f>'G MTTS'!B846</f>
        <v>0.131956018518519</v>
      </c>
      <c r="C852" s="179" t="str">
        <f>'G MTTS'!J846</f>
        <v>#AS 1K Omax</v>
      </c>
      <c r="D852" s="38" t="str">
        <f>'G MTTS'!M846</f>
        <v>Side Event</v>
      </c>
      <c r="E852" s="39" t="str">
        <f>'G MTTS'!N846</f>
        <v>PLO5</v>
      </c>
      <c r="F852" s="40" t="str">
        <f>'G MTTS'!O846</f>
        <v>OFF</v>
      </c>
      <c r="G852" s="41">
        <f>IF('G MTTS'!Q846=0," ",'G MTTS'!Q846*$A$3)</f>
        <v>1000</v>
      </c>
      <c r="H852" s="42">
        <f>IF('G MTTS'!V846=0," ",'G MTTS'!V846*$A$3)</f>
        <v>10</v>
      </c>
      <c r="I852" s="42">
        <f>IF('G MTTS'!W846=0," ",'G MTTS'!W846*$A$3)</f>
        <v>10</v>
      </c>
      <c r="J852" s="42">
        <f>IF('G MTTS'!Z846=0," ",'G MTTS'!Z846*$A$3)</f>
        <v>10</v>
      </c>
      <c r="K852" s="43">
        <f>'G MTTS'!AF846</f>
        <v>40000</v>
      </c>
      <c r="L852" s="43">
        <f>'G MTTS'!X846</f>
        <v>0</v>
      </c>
      <c r="M852" s="43">
        <f>'G MTTS'!AA846</f>
        <v>80000</v>
      </c>
      <c r="N852" s="44">
        <f>'G MTTS'!AG846</f>
        <v>5</v>
      </c>
      <c r="O852" s="44">
        <f>'G MTTS'!AH846</f>
        <v>5</v>
      </c>
      <c r="P852" s="44">
        <f>'G MTTS'!AI846</f>
        <v>5</v>
      </c>
      <c r="Q852" s="45">
        <f>'G MTTS'!AJ846</f>
        <v>13</v>
      </c>
      <c r="R852" s="46">
        <f t="shared" si="79"/>
        <v>0.18056712962963</v>
      </c>
      <c r="S852" s="47" t="str">
        <f t="shared" si="81"/>
        <v>MICRO</v>
      </c>
    </row>
    <row r="853" ht="29.25" customHeight="1" outlineLevel="1" spans="1:19">
      <c r="B853" s="36">
        <f>'G MTTS'!B847</f>
        <v>0.131956018518519</v>
      </c>
      <c r="C853" s="48" t="str">
        <f>'G MTTS'!J847</f>
        <v>#AS 1.5K Battle</v>
      </c>
      <c r="D853" s="49" t="str">
        <f>'G MTTS'!M847</f>
        <v>Side Event</v>
      </c>
      <c r="E853" s="50" t="str">
        <f>'G MTTS'!N847</f>
        <v>NLH</v>
      </c>
      <c r="F853" s="51" t="str">
        <f>'G MTTS'!O847</f>
        <v>Progressive KO 1/2</v>
      </c>
      <c r="G853" s="52">
        <f>IF('G MTTS'!Q847=0," ",'G MTTS'!Q847*$A$3)</f>
        <v>1500</v>
      </c>
      <c r="H853" s="53">
        <f>IF('G MTTS'!V847=0," ",'G MTTS'!V847*$A$3)</f>
        <v>25</v>
      </c>
      <c r="I853" s="53">
        <f>IF('G MTTS'!W847=0," ",'G MTTS'!W847*$A$3)</f>
        <v>25</v>
      </c>
      <c r="J853" s="53" t="str">
        <f>IF('G MTTS'!Z847=0," ",'G MTTS'!Z847*$A$3)</f>
        <v> </v>
      </c>
      <c r="K853" s="54">
        <f>'G MTTS'!AF847</f>
        <v>30000</v>
      </c>
      <c r="L853" s="54">
        <f>'G MTTS'!X847</f>
        <v>0</v>
      </c>
      <c r="M853" s="54" t="str">
        <f>'G MTTS'!AA847</f>
        <v>REENTRY</v>
      </c>
      <c r="N853" s="55">
        <f>'G MTTS'!AG847</f>
        <v>5</v>
      </c>
      <c r="O853" s="55">
        <f>'G MTTS'!AH847</f>
        <v>5</v>
      </c>
      <c r="P853" s="55">
        <f>'G MTTS'!AI847</f>
        <v>5</v>
      </c>
      <c r="Q853" s="56">
        <f>'G MTTS'!AJ847</f>
        <v>12</v>
      </c>
      <c r="R853" s="46">
        <f t="shared" si="79"/>
        <v>0.177094907407407</v>
      </c>
      <c r="S853" s="47" t="str">
        <f t="shared" si="81"/>
        <v>MICRO</v>
      </c>
    </row>
    <row r="854" ht="29.25" customHeight="1" outlineLevel="1" spans="1:19">
      <c r="A854" s="60" t="s">
        <v>525</v>
      </c>
      <c r="B854" s="36">
        <f>'G MTTS'!B848</f>
        <v>0.173622685185185</v>
      </c>
      <c r="C854" s="37" t="str">
        <f>'G MTTS'!J848</f>
        <v>#AS 1.5K Plus</v>
      </c>
      <c r="D854" s="38" t="str">
        <f>'G MTTS'!M848</f>
        <v>Side Event</v>
      </c>
      <c r="E854" s="39" t="str">
        <f>'G MTTS'!N848</f>
        <v>NLH</v>
      </c>
      <c r="F854" s="40" t="str">
        <f>'G MTTS'!O848</f>
        <v>OFF</v>
      </c>
      <c r="G854" s="41">
        <f>IF('G MTTS'!Q848=0," ",'G MTTS'!Q848*$A$3)</f>
        <v>1500</v>
      </c>
      <c r="H854" s="42">
        <f>IF('G MTTS'!V848=0," ",'G MTTS'!V848*$A$3)</f>
        <v>10</v>
      </c>
      <c r="I854" s="42">
        <f>IF('G MTTS'!W848=0," ",'G MTTS'!W848*$A$3)</f>
        <v>10</v>
      </c>
      <c r="J854" s="42">
        <f>IF('G MTTS'!Z848=0," ",'G MTTS'!Z848*$A$3)</f>
        <v>10</v>
      </c>
      <c r="K854" s="43">
        <f>'G MTTS'!AF848</f>
        <v>30000</v>
      </c>
      <c r="L854" s="43">
        <f>'G MTTS'!X848</f>
        <v>0</v>
      </c>
      <c r="M854" s="43">
        <f>'G MTTS'!AA848</f>
        <v>75000</v>
      </c>
      <c r="N854" s="44">
        <f>'G MTTS'!AG848</f>
        <v>5</v>
      </c>
      <c r="O854" s="44">
        <f>'G MTTS'!AH848</f>
        <v>5</v>
      </c>
      <c r="P854" s="44">
        <f>'G MTTS'!AI848</f>
        <v>5</v>
      </c>
      <c r="Q854" s="45">
        <f>'G MTTS'!AJ848</f>
        <v>12</v>
      </c>
      <c r="R854" s="46">
        <f t="shared" si="79"/>
        <v>0.218761574074074</v>
      </c>
      <c r="S854" s="47" t="str">
        <f t="shared" si="81"/>
        <v>MICRO</v>
      </c>
    </row>
    <row r="855" ht="29.25" customHeight="1" outlineLevel="1" spans="1:19">
      <c r="B855" s="36">
        <f>'G MTTS'!B849</f>
        <v>0.208344907407407</v>
      </c>
      <c r="C855" s="48" t="str">
        <f>'G MTTS'!J849</f>
        <v>500 Bounty</v>
      </c>
      <c r="D855" s="49" t="str">
        <f>'G MTTS'!M849</f>
        <v>Side Event</v>
      </c>
      <c r="E855" s="50" t="str">
        <f>'G MTTS'!N849</f>
        <v>NLH</v>
      </c>
      <c r="F855" s="51" t="str">
        <f>'G MTTS'!O849</f>
        <v>Progressive KO 1/3</v>
      </c>
      <c r="G855" s="52">
        <f>IF('G MTTS'!Q849=0," ",'G MTTS'!Q849*$A$3)</f>
        <v>500</v>
      </c>
      <c r="H855" s="53">
        <f>IF('G MTTS'!V849=0," ",'G MTTS'!V849*$A$3)</f>
        <v>8</v>
      </c>
      <c r="I855" s="53">
        <f>IF('G MTTS'!W849=0," ",'G MTTS'!W849*$A$3)</f>
        <v>8</v>
      </c>
      <c r="J855" s="53" t="str">
        <f>IF('G MTTS'!Z849=0," ",'G MTTS'!Z849*$A$3)</f>
        <v> </v>
      </c>
      <c r="K855" s="54">
        <f>'G MTTS'!AF849</f>
        <v>30000</v>
      </c>
      <c r="L855" s="54">
        <f>'G MTTS'!X849</f>
        <v>0</v>
      </c>
      <c r="M855" s="54" t="str">
        <f>'G MTTS'!AA849</f>
        <v>REENTRY</v>
      </c>
      <c r="N855" s="55">
        <f>'G MTTS'!AG849</f>
        <v>8</v>
      </c>
      <c r="O855" s="55">
        <f>'G MTTS'!AH849</f>
        <v>7</v>
      </c>
      <c r="P855" s="55">
        <f>'G MTTS'!AI849</f>
        <v>6</v>
      </c>
      <c r="Q855" s="56">
        <f>'G MTTS'!AJ849</f>
        <v>13</v>
      </c>
      <c r="R855" s="46">
        <f t="shared" si="79"/>
        <v>0.284039351851852</v>
      </c>
      <c r="S855" s="47" t="str">
        <f t="shared" si="81"/>
        <v>MICRO</v>
      </c>
    </row>
    <row r="856" ht="29.25" customHeight="1" outlineLevel="1" spans="1:19">
      <c r="B856" s="36">
        <f>'G MTTS'!B850</f>
        <v>0.215289351851852</v>
      </c>
      <c r="C856" s="179" t="str">
        <f>'G MTTS'!J850</f>
        <v>#AS 1K Plus</v>
      </c>
      <c r="D856" s="38" t="str">
        <f>'G MTTS'!M850</f>
        <v>Side Event</v>
      </c>
      <c r="E856" s="39" t="str">
        <f>'G MTTS'!N850</f>
        <v>NLH</v>
      </c>
      <c r="F856" s="40" t="str">
        <f>'G MTTS'!O850</f>
        <v>OFF</v>
      </c>
      <c r="G856" s="41">
        <f>IF('G MTTS'!Q850=0," ",'G MTTS'!Q850*$A$3)</f>
        <v>1000</v>
      </c>
      <c r="H856" s="42">
        <f>IF('G MTTS'!V850=0," ",'G MTTS'!V850*$A$3)</f>
        <v>10</v>
      </c>
      <c r="I856" s="42">
        <f>IF('G MTTS'!W850=0," ",'G MTTS'!W850*$A$3)</f>
        <v>10</v>
      </c>
      <c r="J856" s="42">
        <f>IF('G MTTS'!Z850=0," ",'G MTTS'!Z850*$A$3)</f>
        <v>10</v>
      </c>
      <c r="K856" s="43">
        <f>'G MTTS'!AF850</f>
        <v>30000</v>
      </c>
      <c r="L856" s="43">
        <f>'G MTTS'!X850</f>
        <v>0</v>
      </c>
      <c r="M856" s="43">
        <f>'G MTTS'!AA850</f>
        <v>75000</v>
      </c>
      <c r="N856" s="44">
        <f>'G MTTS'!AG850</f>
        <v>5</v>
      </c>
      <c r="O856" s="44">
        <f>'G MTTS'!AH850</f>
        <v>5</v>
      </c>
      <c r="P856" s="44">
        <f>'G MTTS'!AI850</f>
        <v>5</v>
      </c>
      <c r="Q856" s="45">
        <f>'G MTTS'!AJ850</f>
        <v>12</v>
      </c>
      <c r="R856" s="46">
        <f t="shared" si="79"/>
        <v>0.260428240740741</v>
      </c>
      <c r="S856" s="47" t="str">
        <f t="shared" si="81"/>
        <v>MICRO</v>
      </c>
    </row>
    <row r="857" ht="29.25" customHeight="1" outlineLevel="1" spans="1:19">
      <c r="B857" s="36">
        <f>'G MTTS'!B851</f>
        <v>0.229178240740741</v>
      </c>
      <c r="C857" s="48" t="str">
        <f>'G MTTS'!J851</f>
        <v>300 Omax PKO</v>
      </c>
      <c r="D857" s="49" t="str">
        <f>'G MTTS'!M851</f>
        <v>Side Event</v>
      </c>
      <c r="E857" s="50" t="str">
        <f>'G MTTS'!N851</f>
        <v>PLO4</v>
      </c>
      <c r="F857" s="51" t="str">
        <f>'G MTTS'!O851</f>
        <v>Progressive KO 1/2</v>
      </c>
      <c r="G857" s="52">
        <f>IF('G MTTS'!Q851=0," ",'G MTTS'!Q851*$A$3)</f>
        <v>300</v>
      </c>
      <c r="H857" s="53">
        <f>IF('G MTTS'!V851=0," ",'G MTTS'!V851*$A$3)</f>
        <v>3</v>
      </c>
      <c r="I857" s="53">
        <f>IF('G MTTS'!W851=0," ",'G MTTS'!W851*$A$3)</f>
        <v>3</v>
      </c>
      <c r="J857" s="53" t="str">
        <f>IF('G MTTS'!Z851=0," ",'G MTTS'!Z851*$A$3)</f>
        <v> </v>
      </c>
      <c r="K857" s="54">
        <f>'G MTTS'!AF851</f>
        <v>50000</v>
      </c>
      <c r="L857" s="54">
        <f>'G MTTS'!X851</f>
        <v>0</v>
      </c>
      <c r="M857" s="54" t="str">
        <f>'G MTTS'!AA851</f>
        <v>REENTRY</v>
      </c>
      <c r="N857" s="55">
        <f>'G MTTS'!AG851</f>
        <v>6</v>
      </c>
      <c r="O857" s="55">
        <f>'G MTTS'!AH851</f>
        <v>5</v>
      </c>
      <c r="P857" s="55">
        <f>'G MTTS'!AI851</f>
        <v>5</v>
      </c>
      <c r="Q857" s="56">
        <f>'G MTTS'!AJ851</f>
        <v>15</v>
      </c>
      <c r="R857" s="46">
        <f t="shared" si="79"/>
        <v>0.295150462962963</v>
      </c>
      <c r="S857" s="47" t="str">
        <f t="shared" si="81"/>
        <v>MICRO</v>
      </c>
    </row>
    <row r="858" ht="29.25" customHeight="1" outlineLevel="1" spans="1:19">
      <c r="A858" s="60" t="s">
        <v>525</v>
      </c>
      <c r="B858" s="36">
        <f>'G MTTS'!B852</f>
        <v>0.256956018518519</v>
      </c>
      <c r="C858" s="37" t="str">
        <f>'G MTTS'!J852</f>
        <v>600 Plus</v>
      </c>
      <c r="D858" s="38" t="str">
        <f>'G MTTS'!M852</f>
        <v>Side Event</v>
      </c>
      <c r="E858" s="39" t="str">
        <f>'G MTTS'!N852</f>
        <v>NLH</v>
      </c>
      <c r="F858" s="40" t="str">
        <f>'G MTTS'!O852</f>
        <v>OFF</v>
      </c>
      <c r="G858" s="41">
        <f>IF('G MTTS'!Q852=0," ",'G MTTS'!Q852*$A$3)</f>
        <v>600</v>
      </c>
      <c r="H858" s="42">
        <f>IF('G MTTS'!V852=0," ",'G MTTS'!V852*$A$3)</f>
        <v>5</v>
      </c>
      <c r="I858" s="42">
        <f>IF('G MTTS'!W852=0," ",'G MTTS'!W852*$A$3)</f>
        <v>5</v>
      </c>
      <c r="J858" s="42">
        <f>IF('G MTTS'!Z852=0," ",'G MTTS'!Z852*$A$3)</f>
        <v>5</v>
      </c>
      <c r="K858" s="43">
        <f>'G MTTS'!AF852</f>
        <v>30000</v>
      </c>
      <c r="L858" s="43">
        <f>'G MTTS'!X852</f>
        <v>0</v>
      </c>
      <c r="M858" s="43">
        <f>'G MTTS'!AA852</f>
        <v>75000</v>
      </c>
      <c r="N858" s="44">
        <f>'G MTTS'!AG852</f>
        <v>5</v>
      </c>
      <c r="O858" s="44">
        <f>'G MTTS'!AH852</f>
        <v>5</v>
      </c>
      <c r="P858" s="44">
        <f>'G MTTS'!AI852</f>
        <v>5</v>
      </c>
      <c r="Q858" s="45">
        <f>'G MTTS'!AJ852</f>
        <v>12</v>
      </c>
      <c r="R858" s="46">
        <f t="shared" si="79"/>
        <v>0.302094907407407</v>
      </c>
      <c r="S858" s="47" t="str">
        <f t="shared" si="81"/>
        <v>MICRO</v>
      </c>
    </row>
    <row r="859" ht="29.25" customHeight="1" outlineLevel="1" spans="1:19">
      <c r="B859" s="36">
        <f>'G MTTS'!B853</f>
        <v>0.291678240740741</v>
      </c>
      <c r="C859" s="48" t="str">
        <f>'G MTTS'!J853</f>
        <v>#AS 5K Plus</v>
      </c>
      <c r="D859" s="49" t="str">
        <f>'G MTTS'!M853</f>
        <v>Side Event</v>
      </c>
      <c r="E859" s="50" t="str">
        <f>'G MTTS'!N853</f>
        <v>NLH</v>
      </c>
      <c r="F859" s="51" t="str">
        <f>'G MTTS'!O853</f>
        <v>OFF</v>
      </c>
      <c r="G859" s="52">
        <f>IF('G MTTS'!Q853=0," ",'G MTTS'!Q853*$A$3)</f>
        <v>5000</v>
      </c>
      <c r="H859" s="53">
        <f>IF('G MTTS'!V853=0," ",'G MTTS'!V853*$A$3)</f>
        <v>20</v>
      </c>
      <c r="I859" s="53">
        <f>IF('G MTTS'!W853=0," ",'G MTTS'!W853*$A$3)</f>
        <v>20</v>
      </c>
      <c r="J859" s="53">
        <f>IF('G MTTS'!Z853=0," ",'G MTTS'!Z853*$A$3)</f>
        <v>30</v>
      </c>
      <c r="K859" s="54">
        <f>'G MTTS'!AF853</f>
        <v>50000</v>
      </c>
      <c r="L859" s="54">
        <f>'G MTTS'!X853</f>
        <v>0</v>
      </c>
      <c r="M859" s="54">
        <f>'G MTTS'!AA853</f>
        <v>250000</v>
      </c>
      <c r="N859" s="55">
        <f>'G MTTS'!AG853</f>
        <v>10</v>
      </c>
      <c r="O859" s="55">
        <f>'G MTTS'!AH853</f>
        <v>8</v>
      </c>
      <c r="P859" s="55">
        <f>'G MTTS'!AI853</f>
        <v>8</v>
      </c>
      <c r="Q859" s="56">
        <f>'G MTTS'!AJ853</f>
        <v>15</v>
      </c>
      <c r="R859" s="46">
        <f t="shared" si="79"/>
        <v>0.402789351851852</v>
      </c>
      <c r="S859" s="47" t="str">
        <f t="shared" si="81"/>
        <v>MICRO</v>
      </c>
    </row>
    <row r="860" ht="29.25" customHeight="1" outlineLevel="1" spans="1:19">
      <c r="B860" s="36">
        <f>'G MTTS'!B854</f>
        <v>0.298622685185185</v>
      </c>
      <c r="C860" s="37" t="str">
        <f>'G MTTS'!J854</f>
        <v>500 Omax</v>
      </c>
      <c r="D860" s="38" t="str">
        <f>'G MTTS'!M854</f>
        <v>Side Event</v>
      </c>
      <c r="E860" s="39" t="str">
        <f>'G MTTS'!N854</f>
        <v>PLO5</v>
      </c>
      <c r="F860" s="40" t="str">
        <f>'G MTTS'!O854</f>
        <v>OFF</v>
      </c>
      <c r="G860" s="41">
        <f>IF('G MTTS'!Q854=0," ",'G MTTS'!Q854*$A$3)</f>
        <v>500</v>
      </c>
      <c r="H860" s="42">
        <f>IF('G MTTS'!V854=0," ",'G MTTS'!V854*$A$3)</f>
        <v>5</v>
      </c>
      <c r="I860" s="42">
        <f>IF('G MTTS'!W854=0," ",'G MTTS'!W854*$A$3)</f>
        <v>5</v>
      </c>
      <c r="J860" s="42">
        <f>IF('G MTTS'!Z854=0," ",'G MTTS'!Z854*$A$3)</f>
        <v>5</v>
      </c>
      <c r="K860" s="43">
        <f>'G MTTS'!AF854</f>
        <v>30000</v>
      </c>
      <c r="L860" s="43">
        <f>'G MTTS'!X854</f>
        <v>0</v>
      </c>
      <c r="M860" s="43">
        <f>'G MTTS'!AA854</f>
        <v>75000</v>
      </c>
      <c r="N860" s="44">
        <f>'G MTTS'!AG854</f>
        <v>5</v>
      </c>
      <c r="O860" s="44">
        <f>'G MTTS'!AH854</f>
        <v>5</v>
      </c>
      <c r="P860" s="44">
        <f>'G MTTS'!AI854</f>
        <v>5</v>
      </c>
      <c r="Q860" s="45">
        <f>'G MTTS'!AJ854</f>
        <v>12</v>
      </c>
      <c r="R860" s="46">
        <f t="shared" si="79"/>
        <v>0.343761574074074</v>
      </c>
      <c r="S860" s="47" t="str">
        <f t="shared" si="81"/>
        <v>MICRO</v>
      </c>
    </row>
    <row r="861" ht="29.25" customHeight="1" outlineLevel="1" spans="1:19">
      <c r="B861" s="36">
        <f>'G MTTS'!B855</f>
        <v>0.312511574074074</v>
      </c>
      <c r="C861" s="48" t="str">
        <f>'G MTTS'!J855</f>
        <v>500 Battle</v>
      </c>
      <c r="D861" s="49" t="str">
        <f>'G MTTS'!M855</f>
        <v>Side Event</v>
      </c>
      <c r="E861" s="50" t="str">
        <f>'G MTTS'!N855</f>
        <v>NLH</v>
      </c>
      <c r="F861" s="51" t="str">
        <f>'G MTTS'!O855</f>
        <v>Regular KO 1/3</v>
      </c>
      <c r="G861" s="52">
        <f>IF('G MTTS'!Q855=0," ",'G MTTS'!Q855*$A$3)</f>
        <v>500</v>
      </c>
      <c r="H861" s="53">
        <f>IF('G MTTS'!V855=0," ",'G MTTS'!V855*$A$3)</f>
        <v>5</v>
      </c>
      <c r="I861" s="53">
        <f>IF('G MTTS'!W855=0," ",'G MTTS'!W855*$A$3)</f>
        <v>5</v>
      </c>
      <c r="J861" s="53" t="str">
        <f>IF('G MTTS'!Z855=0," ",'G MTTS'!Z855*$A$3)</f>
        <v> </v>
      </c>
      <c r="K861" s="54">
        <f>'G MTTS'!AF855</f>
        <v>40000</v>
      </c>
      <c r="L861" s="54">
        <f>'G MTTS'!X855</f>
        <v>0</v>
      </c>
      <c r="M861" s="54" t="str">
        <f>'G MTTS'!AA855</f>
        <v>REENTRY</v>
      </c>
      <c r="N861" s="55">
        <f>'G MTTS'!AG855</f>
        <v>8</v>
      </c>
      <c r="O861" s="55">
        <f>'G MTTS'!AH855</f>
        <v>7</v>
      </c>
      <c r="P861" s="55">
        <f>'G MTTS'!AI855</f>
        <v>6</v>
      </c>
      <c r="Q861" s="56">
        <f>'G MTTS'!AJ855</f>
        <v>14</v>
      </c>
      <c r="R861" s="46">
        <f t="shared" si="79"/>
        <v>0.393761574074074</v>
      </c>
      <c r="S861" s="47" t="str">
        <f t="shared" si="81"/>
        <v>MICRO</v>
      </c>
    </row>
    <row r="862" ht="29.25" customHeight="1" outlineLevel="1" spans="1:19">
      <c r="A862" s="60" t="s">
        <v>525</v>
      </c>
      <c r="B862" s="36">
        <f>'G MTTS'!B856</f>
        <v>0.322928240740741</v>
      </c>
      <c r="C862" s="179" t="str">
        <f>'G MTTS'!J856</f>
        <v>#AS 1.5K Omax PKO</v>
      </c>
      <c r="D862" s="38" t="str">
        <f>'G MTTS'!M856</f>
        <v>Side Event</v>
      </c>
      <c r="E862" s="39" t="str">
        <f>'G MTTS'!N856</f>
        <v>PLO4</v>
      </c>
      <c r="F862" s="40" t="str">
        <f>'G MTTS'!O856</f>
        <v>Progressive KO 1/2</v>
      </c>
      <c r="G862" s="41">
        <f>IF('G MTTS'!Q856=0," ",'G MTTS'!Q856*$A$3)</f>
        <v>1500</v>
      </c>
      <c r="H862" s="42">
        <f>IF('G MTTS'!V856=0," ",'G MTTS'!V856*$A$3)</f>
        <v>15</v>
      </c>
      <c r="I862" s="42">
        <f>IF('G MTTS'!W856=0," ",'G MTTS'!W856*$A$3)</f>
        <v>15</v>
      </c>
      <c r="J862" s="42" t="str">
        <f>IF('G MTTS'!Z856=0," ",'G MTTS'!Z856*$A$3)</f>
        <v> </v>
      </c>
      <c r="K862" s="43">
        <f>'G MTTS'!AF856</f>
        <v>40000</v>
      </c>
      <c r="L862" s="43">
        <f>'G MTTS'!X856</f>
        <v>0</v>
      </c>
      <c r="M862" s="43" t="str">
        <f>'G MTTS'!AA856</f>
        <v>REENTRY</v>
      </c>
      <c r="N862" s="44">
        <f>'G MTTS'!AG856</f>
        <v>10</v>
      </c>
      <c r="O862" s="44">
        <f>'G MTTS'!AH856</f>
        <v>8</v>
      </c>
      <c r="P862" s="44">
        <f>'G MTTS'!AI856</f>
        <v>8</v>
      </c>
      <c r="Q862" s="45">
        <f>'G MTTS'!AJ856</f>
        <v>14</v>
      </c>
      <c r="R862" s="46">
        <f t="shared" si="79"/>
        <v>0.427094907407407</v>
      </c>
      <c r="S862" s="47" t="str">
        <f t="shared" si="81"/>
        <v>MICRO</v>
      </c>
    </row>
    <row r="863" ht="29.25" customHeight="1" outlineLevel="1" spans="1:19">
      <c r="B863" s="36">
        <f>'G MTTS'!B857</f>
        <v>0.333344907407407</v>
      </c>
      <c r="C863" s="178" t="str">
        <f>'G MTTS'!J857</f>
        <v>#AS 2.5K Plus</v>
      </c>
      <c r="D863" s="49" t="str">
        <f>'G MTTS'!M857</f>
        <v>Side Event</v>
      </c>
      <c r="E863" s="50" t="str">
        <f>'G MTTS'!N857</f>
        <v>NLH</v>
      </c>
      <c r="F863" s="51" t="str">
        <f>'G MTTS'!O857</f>
        <v>OFF</v>
      </c>
      <c r="G863" s="52">
        <f>IF('G MTTS'!Q857=0," ",'G MTTS'!Q857*$A$3)</f>
        <v>2500</v>
      </c>
      <c r="H863" s="53">
        <f>IF('G MTTS'!V857=0," ",'G MTTS'!V857*$A$3)</f>
        <v>5</v>
      </c>
      <c r="I863" s="53">
        <f>IF('G MTTS'!W857=0," ",'G MTTS'!W857*$A$3)</f>
        <v>5</v>
      </c>
      <c r="J863" s="53">
        <f>IF('G MTTS'!Z857=0," ",'G MTTS'!Z857*$A$3)</f>
        <v>5</v>
      </c>
      <c r="K863" s="54">
        <f>'G MTTS'!AF857</f>
        <v>40000</v>
      </c>
      <c r="L863" s="54">
        <f>'G MTTS'!X857</f>
        <v>0</v>
      </c>
      <c r="M863" s="54">
        <f>'G MTTS'!AA857</f>
        <v>100000</v>
      </c>
      <c r="N863" s="55">
        <f>'G MTTS'!AG857</f>
        <v>8</v>
      </c>
      <c r="O863" s="55">
        <f>'G MTTS'!AH857</f>
        <v>7</v>
      </c>
      <c r="P863" s="55">
        <f>'G MTTS'!AI857</f>
        <v>7</v>
      </c>
      <c r="Q863" s="56">
        <f>'G MTTS'!AJ857</f>
        <v>15</v>
      </c>
      <c r="R863" s="46">
        <f t="shared" si="79"/>
        <v>0.423622685185185</v>
      </c>
      <c r="S863" s="47" t="str">
        <f t="shared" si="81"/>
        <v>MICRO</v>
      </c>
    </row>
    <row r="864" ht="29.25" customHeight="1" outlineLevel="1" spans="1:19">
      <c r="A864" s="60" t="s">
        <v>525</v>
      </c>
      <c r="B864" s="36">
        <f>'G MTTS'!B858</f>
        <v>0.375011574074074</v>
      </c>
      <c r="C864" s="179" t="str">
        <f>'G MTTS'!J858</f>
        <v>800 Bounty</v>
      </c>
      <c r="D864" s="38" t="str">
        <f>'G MTTS'!M858</f>
        <v>Side Event</v>
      </c>
      <c r="E864" s="39" t="str">
        <f>'G MTTS'!N858</f>
        <v>NLH</v>
      </c>
      <c r="F864" s="40" t="str">
        <f>'G MTTS'!O858</f>
        <v>Progressive KO 1/3</v>
      </c>
      <c r="G864" s="41">
        <f>IF('G MTTS'!Q858=0," ",'G MTTS'!Q858*$A$3)</f>
        <v>800</v>
      </c>
      <c r="H864" s="42">
        <f>IF('G MTTS'!V858=0," ",'G MTTS'!V858*$A$3)</f>
        <v>7.5</v>
      </c>
      <c r="I864" s="42">
        <f>IF('G MTTS'!W858=0," ",'G MTTS'!W858*$A$3)</f>
        <v>7.5</v>
      </c>
      <c r="J864" s="42" t="str">
        <f>IF('G MTTS'!Z858=0," ",'G MTTS'!Z858*$A$3)</f>
        <v> </v>
      </c>
      <c r="K864" s="43">
        <f>'G MTTS'!AF858</f>
        <v>50000</v>
      </c>
      <c r="L864" s="43">
        <f>'G MTTS'!X858</f>
        <v>60000</v>
      </c>
      <c r="M864" s="43" t="str">
        <f>'G MTTS'!AA858</f>
        <v>REENTRY</v>
      </c>
      <c r="N864" s="44">
        <f>'G MTTS'!AG858</f>
        <v>8</v>
      </c>
      <c r="O864" s="44">
        <f>'G MTTS'!AH858</f>
        <v>7</v>
      </c>
      <c r="P864" s="44">
        <f>'G MTTS'!AI858</f>
        <v>7</v>
      </c>
      <c r="Q864" s="45">
        <f>'G MTTS'!AJ858</f>
        <v>15</v>
      </c>
      <c r="R864" s="46">
        <f t="shared" si="79"/>
        <v>0.465289351851852</v>
      </c>
      <c r="S864" s="47" t="str">
        <f t="shared" si="81"/>
        <v>MICRO</v>
      </c>
    </row>
    <row r="865" ht="29.25" customHeight="1" outlineLevel="1" spans="1:19">
      <c r="B865" s="36">
        <f>'G MTTS'!B859</f>
        <v>0.375011574074074</v>
      </c>
      <c r="C865" s="178" t="str">
        <f>'G MTTS'!J859</f>
        <v>500 Omax</v>
      </c>
      <c r="D865" s="49" t="str">
        <f>'G MTTS'!M859</f>
        <v>Side Event</v>
      </c>
      <c r="E865" s="50" t="str">
        <f>'G MTTS'!N859</f>
        <v>PLO4</v>
      </c>
      <c r="F865" s="51" t="str">
        <f>'G MTTS'!O859</f>
        <v>OFF</v>
      </c>
      <c r="G865" s="52">
        <f>IF('G MTTS'!Q859=0," ",'G MTTS'!Q859*$A$3)</f>
        <v>500</v>
      </c>
      <c r="H865" s="53">
        <f>IF('G MTTS'!V859=0," ",'G MTTS'!V859*$A$3)</f>
        <v>5</v>
      </c>
      <c r="I865" s="53">
        <f>IF('G MTTS'!W859=0," ",'G MTTS'!W859*$A$3)</f>
        <v>5</v>
      </c>
      <c r="J865" s="53">
        <f>IF('G MTTS'!Z859=0," ",'G MTTS'!Z859*$A$3)</f>
        <v>5</v>
      </c>
      <c r="K865" s="54">
        <f>'G MTTS'!AF859</f>
        <v>30000</v>
      </c>
      <c r="L865" s="54">
        <f>'G MTTS'!X859</f>
        <v>0</v>
      </c>
      <c r="M865" s="54">
        <f>'G MTTS'!AA859</f>
        <v>75000</v>
      </c>
      <c r="N865" s="55">
        <f>'G MTTS'!AG859</f>
        <v>6</v>
      </c>
      <c r="O865" s="55">
        <f>'G MTTS'!AH859</f>
        <v>5</v>
      </c>
      <c r="P865" s="55">
        <f>'G MTTS'!AI859</f>
        <v>5</v>
      </c>
      <c r="Q865" s="56">
        <f>'G MTTS'!AJ859</f>
        <v>12</v>
      </c>
      <c r="R865" s="46">
        <f t="shared" si="79"/>
        <v>0.428483796296296</v>
      </c>
      <c r="S865" s="47" t="str">
        <f t="shared" si="81"/>
        <v>MICRO</v>
      </c>
    </row>
    <row r="866" ht="29.25" customHeight="1" outlineLevel="1" spans="1:19">
      <c r="B866" s="36">
        <f>'G MTTS'!B860</f>
        <v>0.416678240740741</v>
      </c>
      <c r="C866" s="179" t="str">
        <f>'G MTTS'!J860</f>
        <v>#AS 5K Battle</v>
      </c>
      <c r="D866" s="38" t="str">
        <f>'G MTTS'!M860</f>
        <v>Side Event</v>
      </c>
      <c r="E866" s="39" t="str">
        <f>'G MTTS'!N860</f>
        <v>NLH</v>
      </c>
      <c r="F866" s="40" t="str">
        <f>'G MTTS'!O860</f>
        <v>Regular KO 1/2</v>
      </c>
      <c r="G866" s="41">
        <f>IF('G MTTS'!Q860=0," ",'G MTTS'!Q860*$A$3)</f>
        <v>5000</v>
      </c>
      <c r="H866" s="42">
        <f>IF('G MTTS'!V860=0," ",'G MTTS'!V860*$A$3)</f>
        <v>30</v>
      </c>
      <c r="I866" s="42">
        <f>IF('G MTTS'!W860=0," ",'G MTTS'!W860*$A$3)</f>
        <v>30</v>
      </c>
      <c r="J866" s="42" t="str">
        <f>IF('G MTTS'!Z860=0," ",'G MTTS'!Z860*$A$3)</f>
        <v> </v>
      </c>
      <c r="K866" s="43">
        <f>'G MTTS'!AF860</f>
        <v>40000</v>
      </c>
      <c r="L866" s="43">
        <f>'G MTTS'!X860</f>
        <v>0</v>
      </c>
      <c r="M866" s="43" t="str">
        <f>'G MTTS'!AA860</f>
        <v>REENTRY</v>
      </c>
      <c r="N866" s="44">
        <f>'G MTTS'!AG860</f>
        <v>10</v>
      </c>
      <c r="O866" s="44">
        <f>'G MTTS'!AH860</f>
        <v>8</v>
      </c>
      <c r="P866" s="44">
        <f>'G MTTS'!AI860</f>
        <v>8</v>
      </c>
      <c r="Q866" s="45">
        <f>'G MTTS'!AJ860</f>
        <v>14</v>
      </c>
      <c r="R866" s="46">
        <f t="shared" si="79"/>
        <v>0.520844907407407</v>
      </c>
      <c r="S866" s="47" t="str">
        <f t="shared" si="81"/>
        <v>LOW</v>
      </c>
    </row>
    <row r="867" ht="29.25" customHeight="1" outlineLevel="1" spans="1:19">
      <c r="A867" s="60" t="s">
        <v>525</v>
      </c>
      <c r="B867" s="36">
        <f>'G MTTS'!B861</f>
        <v>0.416678240740741</v>
      </c>
      <c r="C867" s="178" t="str">
        <f>'G MTTS'!J861</f>
        <v>1.5K Plus+SPS</v>
      </c>
      <c r="D867" s="49" t="str">
        <f>'G MTTS'!M861</f>
        <v>Side Event</v>
      </c>
      <c r="E867" s="50" t="str">
        <f>'G MTTS'!N861</f>
        <v>NLH</v>
      </c>
      <c r="F867" s="51" t="str">
        <f>'G MTTS'!O861</f>
        <v>OFF</v>
      </c>
      <c r="G867" s="52">
        <f>IF('G MTTS'!Q861=0," ",'G MTTS'!Q861*$A$3)</f>
        <v>1650</v>
      </c>
      <c r="H867" s="53">
        <f>IF('G MTTS'!V861=0," ",'G MTTS'!V861*$A$3)</f>
        <v>2</v>
      </c>
      <c r="I867" s="53">
        <f>IF('G MTTS'!W861=0," ",'G MTTS'!W861*$A$3)</f>
        <v>2</v>
      </c>
      <c r="J867" s="53">
        <f>IF('G MTTS'!Z861=0," ",'G MTTS'!Z861*$A$3)</f>
        <v>3</v>
      </c>
      <c r="K867" s="54">
        <f>'G MTTS'!AF861</f>
        <v>40000</v>
      </c>
      <c r="L867" s="54">
        <f>'G MTTS'!X861</f>
        <v>0</v>
      </c>
      <c r="M867" s="54">
        <f>'G MTTS'!AA861</f>
        <v>80000</v>
      </c>
      <c r="N867" s="55">
        <f>'G MTTS'!AG861</f>
        <v>7</v>
      </c>
      <c r="O867" s="55">
        <f>'G MTTS'!AH861</f>
        <v>6</v>
      </c>
      <c r="P867" s="55">
        <f>'G MTTS'!AI861</f>
        <v>6</v>
      </c>
      <c r="Q867" s="56">
        <f>'G MTTS'!AJ861</f>
        <v>15</v>
      </c>
      <c r="R867" s="46">
        <f t="shared" si="79"/>
        <v>0.49306712962963</v>
      </c>
      <c r="S867" s="47" t="str">
        <f t="shared" si="81"/>
        <v>MICRO</v>
      </c>
    </row>
    <row r="868" ht="29.25" customHeight="1" outlineLevel="1" spans="1:19">
      <c r="B868" s="36">
        <f>'G MTTS'!B862</f>
        <v>0.437511574074074</v>
      </c>
      <c r="C868" s="179" t="str">
        <f>'G MTTS'!J862</f>
        <v>#AS 2K Omax</v>
      </c>
      <c r="D868" s="38" t="str">
        <f>'G MTTS'!M862</f>
        <v>Side Event</v>
      </c>
      <c r="E868" s="39" t="str">
        <f>'G MTTS'!N862</f>
        <v>PLO5</v>
      </c>
      <c r="F868" s="40" t="str">
        <f>'G MTTS'!O862</f>
        <v>OFF</v>
      </c>
      <c r="G868" s="41">
        <f>IF('G MTTS'!Q862=0," ",'G MTTS'!Q862*$A$3)</f>
        <v>2000</v>
      </c>
      <c r="H868" s="42">
        <f>IF('G MTTS'!V862=0," ",'G MTTS'!V862*$A$3)</f>
        <v>15</v>
      </c>
      <c r="I868" s="42">
        <f>IF('G MTTS'!W862=0," ",'G MTTS'!W862*$A$3)</f>
        <v>15</v>
      </c>
      <c r="J868" s="42">
        <f>IF('G MTTS'!Z862=0," ",'G MTTS'!Z862*$A$3)</f>
        <v>15</v>
      </c>
      <c r="K868" s="43">
        <f>'G MTTS'!AF862</f>
        <v>40000</v>
      </c>
      <c r="L868" s="43">
        <f>'G MTTS'!X862</f>
        <v>0</v>
      </c>
      <c r="M868" s="43">
        <f>'G MTTS'!AA862</f>
        <v>100000</v>
      </c>
      <c r="N868" s="44">
        <f>'G MTTS'!AG862</f>
        <v>8</v>
      </c>
      <c r="O868" s="44">
        <f>'G MTTS'!AH862</f>
        <v>7</v>
      </c>
      <c r="P868" s="44">
        <f>'G MTTS'!AI862</f>
        <v>7</v>
      </c>
      <c r="Q868" s="45">
        <f>'G MTTS'!AJ862</f>
        <v>13</v>
      </c>
      <c r="R868" s="46">
        <f t="shared" si="79"/>
        <v>0.513206018518519</v>
      </c>
      <c r="S868" s="47" t="str">
        <f t="shared" si="81"/>
        <v>MICRO</v>
      </c>
    </row>
    <row r="869" ht="29.25" customHeight="1" outlineLevel="1" spans="1:19">
      <c r="B869" s="36">
        <f>'G MTTS'!B863</f>
        <v>0.437511574074074</v>
      </c>
      <c r="C869" s="178" t="str">
        <f>'G MTTS'!J863</f>
        <v>400 Battle</v>
      </c>
      <c r="D869" s="49" t="str">
        <f>'G MTTS'!M863</f>
        <v>Side Event</v>
      </c>
      <c r="E869" s="50" t="str">
        <f>'G MTTS'!N863</f>
        <v>NLH</v>
      </c>
      <c r="F869" s="51" t="str">
        <f>'G MTTS'!O863</f>
        <v>Regular KO 1/3</v>
      </c>
      <c r="G869" s="52">
        <f>IF('G MTTS'!Q863=0," ",'G MTTS'!Q863*$A$3)</f>
        <v>400</v>
      </c>
      <c r="H869" s="53">
        <f>IF('G MTTS'!V863=0," ",'G MTTS'!V863*$A$3)</f>
        <v>2</v>
      </c>
      <c r="I869" s="53">
        <f>IF('G MTTS'!W863=0," ",'G MTTS'!W863*$A$3)</f>
        <v>2</v>
      </c>
      <c r="J869" s="53" t="str">
        <f>IF('G MTTS'!Z863=0," ",'G MTTS'!Z863*$A$3)</f>
        <v> </v>
      </c>
      <c r="K869" s="54">
        <f>'G MTTS'!AF863</f>
        <v>40000</v>
      </c>
      <c r="L869" s="54">
        <f>'G MTTS'!X863</f>
        <v>0</v>
      </c>
      <c r="M869" s="54" t="str">
        <f>'G MTTS'!AA863</f>
        <v>REENTRY</v>
      </c>
      <c r="N869" s="55">
        <f>'G MTTS'!AG863</f>
        <v>7</v>
      </c>
      <c r="O869" s="55">
        <f>'G MTTS'!AH863</f>
        <v>6</v>
      </c>
      <c r="P869" s="55">
        <f>'G MTTS'!AI863</f>
        <v>6</v>
      </c>
      <c r="Q869" s="56">
        <f>'G MTTS'!AJ863</f>
        <v>12</v>
      </c>
      <c r="R869" s="46">
        <f t="shared" si="79"/>
        <v>0.49931712962963</v>
      </c>
      <c r="S869" s="47" t="str">
        <f t="shared" si="81"/>
        <v>MICRO</v>
      </c>
    </row>
    <row r="870" ht="29.25" customHeight="1" outlineLevel="1" spans="1:19">
      <c r="A870" s="60" t="s">
        <v>525</v>
      </c>
      <c r="B870" s="36">
        <f>'G MTTS'!B864</f>
        <v>0.458344907407407</v>
      </c>
      <c r="C870" s="179" t="str">
        <f>'G MTTS'!J864</f>
        <v>#AS 20K Plus+SPS</v>
      </c>
      <c r="D870" s="38" t="str">
        <f>'G MTTS'!M864</f>
        <v>Side Event</v>
      </c>
      <c r="E870" s="39" t="str">
        <f>'G MTTS'!N864</f>
        <v>NLH</v>
      </c>
      <c r="F870" s="40" t="str">
        <f>'G MTTS'!O864</f>
        <v>OFF</v>
      </c>
      <c r="G870" s="41">
        <f>IF('G MTTS'!Q864=0," ",'G MTTS'!Q864*$A$3)</f>
        <v>21000</v>
      </c>
      <c r="H870" s="42">
        <f>IF('G MTTS'!V864=0," ",'G MTTS'!V864*$A$3)</f>
        <v>15</v>
      </c>
      <c r="I870" s="42">
        <f>IF('G MTTS'!W864=0," ",'G MTTS'!W864*$A$3)</f>
        <v>15</v>
      </c>
      <c r="J870" s="42">
        <f>IF('G MTTS'!Z864=0," ",'G MTTS'!Z864*$A$3)</f>
        <v>20</v>
      </c>
      <c r="K870" s="43">
        <f>'G MTTS'!AF864</f>
        <v>40000</v>
      </c>
      <c r="L870" s="43">
        <f>'G MTTS'!X864</f>
        <v>0</v>
      </c>
      <c r="M870" s="43">
        <f>'G MTTS'!AA864</f>
        <v>120000</v>
      </c>
      <c r="N870" s="44">
        <f>'G MTTS'!AG864</f>
        <v>10</v>
      </c>
      <c r="O870" s="44">
        <f>'G MTTS'!AH864</f>
        <v>8</v>
      </c>
      <c r="P870" s="44">
        <f>'G MTTS'!AI864</f>
        <v>10</v>
      </c>
      <c r="Q870" s="45">
        <f>'G MTTS'!AJ864</f>
        <v>14</v>
      </c>
      <c r="R870" s="46">
        <f t="shared" si="79"/>
        <v>0.562511574074074</v>
      </c>
      <c r="S870" s="47" t="str">
        <f t="shared" si="81"/>
        <v>MICRO</v>
      </c>
    </row>
    <row r="871" ht="29.25" customHeight="1" outlineLevel="1" spans="1:19">
      <c r="B871" s="36">
        <f>'G MTTS'!B865</f>
        <v>0.458344907407407</v>
      </c>
      <c r="C871" s="178" t="str">
        <f>'G MTTS'!J865</f>
        <v>500 Omax</v>
      </c>
      <c r="D871" s="49" t="str">
        <f>'G MTTS'!M865</f>
        <v>Side Event</v>
      </c>
      <c r="E871" s="50" t="str">
        <f>'G MTTS'!N865</f>
        <v>PLO4</v>
      </c>
      <c r="F871" s="51" t="str">
        <f>'G MTTS'!O865</f>
        <v>OFF</v>
      </c>
      <c r="G871" s="52">
        <f>IF('G MTTS'!Q865=0," ",'G MTTS'!Q865*$A$3)</f>
        <v>500</v>
      </c>
      <c r="H871" s="53">
        <f>IF('G MTTS'!V865=0," ",'G MTTS'!V865*$A$3)</f>
        <v>4</v>
      </c>
      <c r="I871" s="53">
        <f>IF('G MTTS'!W865=0," ",'G MTTS'!W865*$A$3)</f>
        <v>4</v>
      </c>
      <c r="J871" s="53">
        <f>IF('G MTTS'!Z865=0," ",'G MTTS'!Z865*$A$3)</f>
        <v>4</v>
      </c>
      <c r="K871" s="54">
        <f>'G MTTS'!AF865</f>
        <v>40000</v>
      </c>
      <c r="L871" s="54">
        <f>'G MTTS'!X865</f>
        <v>0</v>
      </c>
      <c r="M871" s="54">
        <f>'G MTTS'!AA865</f>
        <v>80000</v>
      </c>
      <c r="N871" s="55">
        <f>'G MTTS'!AG865</f>
        <v>8</v>
      </c>
      <c r="O871" s="55">
        <f>'G MTTS'!AH865</f>
        <v>7</v>
      </c>
      <c r="P871" s="55">
        <f>'G MTTS'!AI865</f>
        <v>7</v>
      </c>
      <c r="Q871" s="56">
        <f>'G MTTS'!AJ865</f>
        <v>12</v>
      </c>
      <c r="R871" s="46">
        <f t="shared" si="79"/>
        <v>0.528483796296296</v>
      </c>
      <c r="S871" s="47" t="str">
        <f t="shared" si="81"/>
        <v>MICRO</v>
      </c>
    </row>
    <row r="872" ht="29.25" customHeight="1" outlineLevel="1" spans="1:19">
      <c r="B872" s="36">
        <f>'G MTTS'!B866</f>
        <v>0.458344907407407</v>
      </c>
      <c r="C872" s="179" t="str">
        <f>'G MTTS'!J866</f>
        <v>Sit&amp;go 200p max.</v>
      </c>
      <c r="D872" s="38" t="str">
        <f>'G MTTS'!M866</f>
        <v>Side Event</v>
      </c>
      <c r="E872" s="39" t="str">
        <f>'G MTTS'!N866</f>
        <v>NLH</v>
      </c>
      <c r="F872" s="40" t="str">
        <f>'G MTTS'!O866</f>
        <v>OFF</v>
      </c>
      <c r="G872" s="41">
        <f>IF('G MTTS'!Q866=0," ",'G MTTS'!Q866*$A$3)</f>
        <v>200</v>
      </c>
      <c r="H872" s="42">
        <f>IF('G MTTS'!V866=0," ",'G MTTS'!V866*$A$3)</f>
        <v>3</v>
      </c>
      <c r="I872" s="42">
        <f>IF('G MTTS'!W866=0," ",'G MTTS'!W866*$A$3)</f>
        <v>3</v>
      </c>
      <c r="J872" s="42">
        <f>IF('G MTTS'!Z866=0," ",'G MTTS'!Z866*$A$3)</f>
        <v>3</v>
      </c>
      <c r="K872" s="43">
        <f>'G MTTS'!AF866</f>
        <v>20000</v>
      </c>
      <c r="L872" s="43">
        <f>'G MTTS'!X866</f>
        <v>0</v>
      </c>
      <c r="M872" s="43">
        <f>'G MTTS'!AA866</f>
        <v>30000</v>
      </c>
      <c r="N872" s="44">
        <f>'G MTTS'!AG866</f>
        <v>5</v>
      </c>
      <c r="O872" s="44">
        <f>'G MTTS'!AH866</f>
        <v>5</v>
      </c>
      <c r="P872" s="44">
        <f>'G MTTS'!AI866</f>
        <v>5</v>
      </c>
      <c r="Q872" s="45">
        <f>'G MTTS'!AJ866</f>
        <v>15</v>
      </c>
      <c r="R872" s="46">
        <f t="shared" si="79"/>
        <v>0.513900462962963</v>
      </c>
      <c r="S872" s="47" t="str">
        <f t="shared" si="81"/>
        <v>MICRO</v>
      </c>
    </row>
    <row r="873" ht="29.25" customHeight="1" outlineLevel="1" spans="1:19">
      <c r="A873" s="60" t="s">
        <v>525</v>
      </c>
      <c r="B873" s="36">
        <f>'G MTTS'!B867</f>
        <v>0.500011574074074</v>
      </c>
      <c r="C873" s="178" t="str">
        <f>'G MTTS'!J867</f>
        <v>#AS 5K Big Mystery</v>
      </c>
      <c r="D873" s="49" t="str">
        <f>'G MTTS'!M867</f>
        <v>Side Event</v>
      </c>
      <c r="E873" s="50" t="str">
        <f>'G MTTS'!N867</f>
        <v>NLH</v>
      </c>
      <c r="F873" s="51" t="str">
        <f>'G MTTS'!O867</f>
        <v>Mystery Bounty 1/2</v>
      </c>
      <c r="G873" s="52">
        <f>IF('G MTTS'!Q867=0," ",'G MTTS'!Q867*$A$3)</f>
        <v>5000</v>
      </c>
      <c r="H873" s="53">
        <f>IF('G MTTS'!V867=0," ",'G MTTS'!V867*$A$3)</f>
        <v>10</v>
      </c>
      <c r="I873" s="53">
        <f>IF('G MTTS'!W867=0," ",'G MTTS'!W867*$A$3)</f>
        <v>10</v>
      </c>
      <c r="J873" s="53" t="str">
        <f>IF('G MTTS'!Z867=0," ",'G MTTS'!Z867*$A$3)</f>
        <v> </v>
      </c>
      <c r="K873" s="54">
        <f>'G MTTS'!AF867</f>
        <v>40000</v>
      </c>
      <c r="L873" s="54">
        <f>'G MTTS'!X867</f>
        <v>0</v>
      </c>
      <c r="M873" s="54" t="str">
        <f>'G MTTS'!AA867</f>
        <v>REENTRY</v>
      </c>
      <c r="N873" s="55">
        <f>'G MTTS'!AG867</f>
        <v>10</v>
      </c>
      <c r="O873" s="55">
        <f>'G MTTS'!AH867</f>
        <v>8</v>
      </c>
      <c r="P873" s="55">
        <f>'G MTTS'!AI867</f>
        <v>8</v>
      </c>
      <c r="Q873" s="56">
        <f>'G MTTS'!AJ867</f>
        <v>14</v>
      </c>
      <c r="R873" s="46">
        <f t="shared" si="79"/>
        <v>0.604178240740741</v>
      </c>
      <c r="S873" s="47" t="str">
        <f t="shared" si="81"/>
        <v>MICRO</v>
      </c>
    </row>
    <row r="874" ht="29.25" customHeight="1" outlineLevel="1" spans="1:19">
      <c r="B874" s="36">
        <f>'G MTTS'!B868</f>
        <v>0.500011574074074</v>
      </c>
      <c r="C874" s="179" t="str">
        <f>'G MTTS'!J868</f>
        <v>1K Plus</v>
      </c>
      <c r="D874" s="38" t="str">
        <f>'G MTTS'!M868</f>
        <v>Side Event</v>
      </c>
      <c r="E874" s="39" t="str">
        <f>'G MTTS'!N868</f>
        <v>NLH</v>
      </c>
      <c r="F874" s="40" t="str">
        <f>'G MTTS'!O868</f>
        <v>OFF</v>
      </c>
      <c r="G874" s="41">
        <f>IF('G MTTS'!Q868=0," ",'G MTTS'!Q868*$A$3)</f>
        <v>1000</v>
      </c>
      <c r="H874" s="42">
        <f>IF('G MTTS'!V868=0," ",'G MTTS'!V868*$A$3)</f>
        <v>3</v>
      </c>
      <c r="I874" s="42">
        <f>IF('G MTTS'!W868=0," ",'G MTTS'!W868*$A$3)</f>
        <v>3</v>
      </c>
      <c r="J874" s="42">
        <f>IF('G MTTS'!Z868=0," ",'G MTTS'!Z868*$A$3)</f>
        <v>3</v>
      </c>
      <c r="K874" s="43">
        <f>'G MTTS'!AF868</f>
        <v>40000</v>
      </c>
      <c r="L874" s="43">
        <f>'G MTTS'!X868</f>
        <v>0</v>
      </c>
      <c r="M874" s="43">
        <f>'G MTTS'!AA868</f>
        <v>70000</v>
      </c>
      <c r="N874" s="44">
        <f>'G MTTS'!AG868</f>
        <v>7</v>
      </c>
      <c r="O874" s="44">
        <f>'G MTTS'!AH868</f>
        <v>6</v>
      </c>
      <c r="P874" s="44">
        <f>'G MTTS'!AI868</f>
        <v>6</v>
      </c>
      <c r="Q874" s="45">
        <f>'G MTTS'!AJ868</f>
        <v>15</v>
      </c>
      <c r="R874" s="46">
        <f t="shared" si="79"/>
        <v>0.576400462962963</v>
      </c>
      <c r="S874" s="47" t="str">
        <f t="shared" si="81"/>
        <v>MICRO</v>
      </c>
    </row>
    <row r="875" ht="29.25" customHeight="1" outlineLevel="1" spans="1:19">
      <c r="B875" s="36">
        <f>'G MTTS'!B869</f>
        <v>0.500011574074074</v>
      </c>
      <c r="C875" s="178" t="str">
        <f>'G MTTS'!J869</f>
        <v>500 Omax PKO</v>
      </c>
      <c r="D875" s="49" t="str">
        <f>'G MTTS'!M869</f>
        <v>Side Event</v>
      </c>
      <c r="E875" s="50" t="str">
        <f>'G MTTS'!N869</f>
        <v>PLO5</v>
      </c>
      <c r="F875" s="51" t="str">
        <f>'G MTTS'!O869</f>
        <v>Progressive KO 1/2</v>
      </c>
      <c r="G875" s="52">
        <f>IF('G MTTS'!Q869=0," ",'G MTTS'!Q869*$A$3)</f>
        <v>500</v>
      </c>
      <c r="H875" s="53">
        <f>IF('G MTTS'!V869=0," ",'G MTTS'!V869*$A$3)</f>
        <v>3</v>
      </c>
      <c r="I875" s="53">
        <f>IF('G MTTS'!W869=0," ",'G MTTS'!W869*$A$3)</f>
        <v>3</v>
      </c>
      <c r="J875" s="53" t="str">
        <f>IF('G MTTS'!Z869=0," ",'G MTTS'!Z869*$A$3)</f>
        <v> </v>
      </c>
      <c r="K875" s="54">
        <f>'G MTTS'!AF869</f>
        <v>50000</v>
      </c>
      <c r="L875" s="54">
        <f>'G MTTS'!X869</f>
        <v>0</v>
      </c>
      <c r="M875" s="54" t="str">
        <f>'G MTTS'!AA869</f>
        <v>REENTRY</v>
      </c>
      <c r="N875" s="55">
        <f>'G MTTS'!AG869</f>
        <v>7</v>
      </c>
      <c r="O875" s="55">
        <f>'G MTTS'!AH869</f>
        <v>6</v>
      </c>
      <c r="P875" s="55">
        <f>'G MTTS'!AI869</f>
        <v>6</v>
      </c>
      <c r="Q875" s="56">
        <f>'G MTTS'!AJ869</f>
        <v>15</v>
      </c>
      <c r="R875" s="46">
        <f t="shared" si="79"/>
        <v>0.576400462962963</v>
      </c>
      <c r="S875" s="47" t="str">
        <f t="shared" si="81"/>
        <v>MICRO</v>
      </c>
    </row>
    <row r="876" ht="29.25" customHeight="1" outlineLevel="1" spans="1:19">
      <c r="A876" s="60"/>
      <c r="B876" s="36">
        <f>'G MTTS'!B870</f>
        <v>0.520844907407407</v>
      </c>
      <c r="C876" s="179" t="str">
        <f>'G MTTS'!J870</f>
        <v>#AS 10K Omax PKO</v>
      </c>
      <c r="D876" s="38" t="str">
        <f>'G MTTS'!M870</f>
        <v>Side Event</v>
      </c>
      <c r="E876" s="39" t="str">
        <f>'G MTTS'!N870</f>
        <v>PLO5</v>
      </c>
      <c r="F876" s="40" t="str">
        <f>'G MTTS'!O870</f>
        <v>Progressive KO 1/2</v>
      </c>
      <c r="G876" s="41">
        <f>IF('G MTTS'!Q870=0," ",'G MTTS'!Q870*$A$3)</f>
        <v>10000</v>
      </c>
      <c r="H876" s="42">
        <f>IF('G MTTS'!V870=0," ",'G MTTS'!V870*$A$3)</f>
        <v>60</v>
      </c>
      <c r="I876" s="42">
        <f>IF('G MTTS'!W870=0," ",'G MTTS'!W870*$A$3)</f>
        <v>60</v>
      </c>
      <c r="J876" s="42" t="str">
        <f>IF('G MTTS'!Z870=0," ",'G MTTS'!Z870*$A$3)</f>
        <v> </v>
      </c>
      <c r="K876" s="43">
        <f>'G MTTS'!AF870</f>
        <v>50000</v>
      </c>
      <c r="L876" s="43">
        <f>'G MTTS'!X870</f>
        <v>0</v>
      </c>
      <c r="M876" s="43" t="str">
        <f>'G MTTS'!AA870</f>
        <v>REENTRY</v>
      </c>
      <c r="N876" s="44">
        <f>'G MTTS'!AG870</f>
        <v>12</v>
      </c>
      <c r="O876" s="44">
        <f>'G MTTS'!AH870</f>
        <v>10</v>
      </c>
      <c r="P876" s="44">
        <f>'G MTTS'!AI870</f>
        <v>10</v>
      </c>
      <c r="Q876" s="45">
        <f>'G MTTS'!AJ870</f>
        <v>15</v>
      </c>
      <c r="R876" s="46">
        <f t="shared" si="79"/>
        <v>0.656261574074074</v>
      </c>
      <c r="S876" s="47" t="str">
        <f t="shared" si="81"/>
        <v>LOW</v>
      </c>
    </row>
    <row r="877" ht="29.25" customHeight="1" outlineLevel="1" spans="1:19">
      <c r="B877" s="36">
        <f>'G MTTS'!B871</f>
        <v>0.541678240740741</v>
      </c>
      <c r="C877" s="178" t="str">
        <f>'G MTTS'!J871</f>
        <v>#AS 20K Battle</v>
      </c>
      <c r="D877" s="49" t="str">
        <f>'G MTTS'!M871</f>
        <v>Side Event</v>
      </c>
      <c r="E877" s="50" t="str">
        <f>'G MTTS'!N871</f>
        <v>NLH</v>
      </c>
      <c r="F877" s="51" t="str">
        <f>'G MTTS'!O871</f>
        <v>Regular KO 1/2</v>
      </c>
      <c r="G877" s="52">
        <f>IF('G MTTS'!Q871=0," ",'G MTTS'!Q871*$A$3)</f>
        <v>20000</v>
      </c>
      <c r="H877" s="53">
        <f>IF('G MTTS'!V871=0," ",'G MTTS'!V871*$A$3)</f>
        <v>25</v>
      </c>
      <c r="I877" s="53">
        <f>IF('G MTTS'!W871=0," ",'G MTTS'!W871*$A$3)</f>
        <v>25</v>
      </c>
      <c r="J877" s="53" t="str">
        <f>IF('G MTTS'!Z871=0," ",'G MTTS'!Z871*$A$3)</f>
        <v> </v>
      </c>
      <c r="K877" s="54">
        <f>'G MTTS'!AF871</f>
        <v>80000</v>
      </c>
      <c r="L877" s="54">
        <f>'G MTTS'!X871</f>
        <v>0</v>
      </c>
      <c r="M877" s="54" t="str">
        <f>'G MTTS'!AA871</f>
        <v>REENTRY</v>
      </c>
      <c r="N877" s="55">
        <f>'G MTTS'!AG871</f>
        <v>12</v>
      </c>
      <c r="O877" s="55">
        <f>'G MTTS'!AH871</f>
        <v>10</v>
      </c>
      <c r="P877" s="55">
        <f>'G MTTS'!AI871</f>
        <v>10</v>
      </c>
      <c r="Q877" s="56">
        <f>'G MTTS'!AJ871</f>
        <v>15</v>
      </c>
      <c r="R877" s="46">
        <f t="shared" si="79"/>
        <v>0.677094907407407</v>
      </c>
      <c r="S877" s="47" t="str">
        <f t="shared" si="81"/>
        <v>MICRO</v>
      </c>
    </row>
    <row r="878" ht="29.25" customHeight="1" outlineLevel="1" spans="1:19">
      <c r="A878" s="60" t="s">
        <v>525</v>
      </c>
      <c r="B878" s="36">
        <f>'G MTTS'!B872</f>
        <v>0.552094907407407</v>
      </c>
      <c r="C878" s="179" t="str">
        <f>'G MTTS'!J872</f>
        <v>#AS 5K Freeze</v>
      </c>
      <c r="D878" s="38" t="str">
        <f>'G MTTS'!M872</f>
        <v>Side Event</v>
      </c>
      <c r="E878" s="39" t="str">
        <f>'G MTTS'!N872</f>
        <v>NLH</v>
      </c>
      <c r="F878" s="40" t="str">
        <f>'G MTTS'!O872</f>
        <v>OFF</v>
      </c>
      <c r="G878" s="41">
        <f>IF('G MTTS'!Q872=0," ",'G MTTS'!Q872*$A$3)</f>
        <v>5000</v>
      </c>
      <c r="H878" s="42">
        <f>IF('G MTTS'!V872=0," ",'G MTTS'!V872*$A$3)</f>
        <v>40</v>
      </c>
      <c r="I878" s="42" t="str">
        <f>IF('G MTTS'!W872=0," ",'G MTTS'!W872*$A$3)</f>
        <v> </v>
      </c>
      <c r="J878" s="42" t="str">
        <f>IF('G MTTS'!Z872=0," ",'G MTTS'!Z872*$A$3)</f>
        <v> </v>
      </c>
      <c r="K878" s="43">
        <f>'G MTTS'!AF872</f>
        <v>50000</v>
      </c>
      <c r="L878" s="43">
        <f>'G MTTS'!X872</f>
        <v>0</v>
      </c>
      <c r="M878" s="43" t="str">
        <f>'G MTTS'!AA872</f>
        <v>FREEZE</v>
      </c>
      <c r="N878" s="44">
        <f>'G MTTS'!AG872</f>
        <v>12</v>
      </c>
      <c r="O878" s="44">
        <f>'G MTTS'!AH872</f>
        <v>10</v>
      </c>
      <c r="P878" s="44">
        <f>'G MTTS'!AI872</f>
        <v>10</v>
      </c>
      <c r="Q878" s="45">
        <f>'G MTTS'!AJ872</f>
        <v>14</v>
      </c>
      <c r="R878" s="46">
        <f t="shared" si="79"/>
        <v>0.675706018518519</v>
      </c>
      <c r="S878" s="47" t="str">
        <f t="shared" si="81"/>
        <v>LOW</v>
      </c>
    </row>
    <row r="879" ht="29.25" customHeight="1" outlineLevel="1" spans="1:19">
      <c r="B879" s="36">
        <f>'G MTTS'!B873</f>
        <v>0.55556712962963</v>
      </c>
      <c r="C879" s="178" t="str">
        <f>'G MTTS'!J873</f>
        <v>suspenso</v>
      </c>
      <c r="D879" s="49">
        <f>'G MTTS'!M873</f>
        <v>0</v>
      </c>
      <c r="E879" s="50" t="str">
        <f>'G MTTS'!N873</f>
        <v>NLH</v>
      </c>
      <c r="F879" s="51" t="str">
        <f>'G MTTS'!O873</f>
        <v>OFF</v>
      </c>
      <c r="G879" s="52" t="str">
        <f>IF('G MTTS'!Q873=0," ",'G MTTS'!Q873*$A$3)</f>
        <v> </v>
      </c>
      <c r="H879" s="53">
        <f>IF('G MTTS'!V873=0," ",'G MTTS'!V873*$A$3)</f>
        <v>1</v>
      </c>
      <c r="I879" s="53">
        <f>IF('G MTTS'!W873=0," ",'G MTTS'!W873*$A$3)</f>
        <v>2</v>
      </c>
      <c r="J879" s="53">
        <f>IF('G MTTS'!Z873=0," ",'G MTTS'!Z873*$A$3)</f>
        <v>4</v>
      </c>
      <c r="K879" s="54">
        <f>'G MTTS'!AF873</f>
        <v>40000</v>
      </c>
      <c r="L879" s="54">
        <f>'G MTTS'!X873</f>
        <v>0</v>
      </c>
      <c r="M879" s="54">
        <f>'G MTTS'!AA873</f>
        <v>100000</v>
      </c>
      <c r="N879" s="55">
        <f>'G MTTS'!AG873</f>
        <v>7</v>
      </c>
      <c r="O879" s="55">
        <f>'G MTTS'!AH873</f>
        <v>6</v>
      </c>
      <c r="P879" s="55">
        <f>'G MTTS'!AI873</f>
        <v>5</v>
      </c>
      <c r="Q879" s="56">
        <f>'G MTTS'!AJ873</f>
        <v>15</v>
      </c>
      <c r="R879" s="46">
        <f t="shared" si="79"/>
        <v>0.631956018518518</v>
      </c>
      <c r="S879" s="47" t="str">
        <f t="shared" si="81"/>
        <v>MICRO</v>
      </c>
    </row>
    <row r="880" ht="29.25" customHeight="1" outlineLevel="1" spans="1:19">
      <c r="B880" s="36">
        <f>'G MTTS'!B874</f>
        <v>0.583344907407407</v>
      </c>
      <c r="C880" s="179" t="str">
        <f>'G MTTS'!J874</f>
        <v>1K Omax</v>
      </c>
      <c r="D880" s="38" t="str">
        <f>'G MTTS'!M874</f>
        <v>Side Event</v>
      </c>
      <c r="E880" s="39" t="str">
        <f>'G MTTS'!N874</f>
        <v>PLO6</v>
      </c>
      <c r="F880" s="40" t="str">
        <f>'G MTTS'!O874</f>
        <v>OFF</v>
      </c>
      <c r="G880" s="41">
        <f>IF('G MTTS'!Q874=0," ",'G MTTS'!Q874*$A$3)</f>
        <v>1000</v>
      </c>
      <c r="H880" s="42">
        <f>IF('G MTTS'!V874=0," ",'G MTTS'!V874*$A$3)</f>
        <v>10</v>
      </c>
      <c r="I880" s="42">
        <f>IF('G MTTS'!W874=0," ",'G MTTS'!W874*$A$3)</f>
        <v>10</v>
      </c>
      <c r="J880" s="42">
        <f>IF('G MTTS'!Z874=0," ",'G MTTS'!Z874*$A$3)</f>
        <v>10</v>
      </c>
      <c r="K880" s="43">
        <f>'G MTTS'!AF874</f>
        <v>30000</v>
      </c>
      <c r="L880" s="43">
        <f>'G MTTS'!X874</f>
        <v>0</v>
      </c>
      <c r="M880" s="43">
        <f>'G MTTS'!AA874</f>
        <v>60000</v>
      </c>
      <c r="N880" s="44">
        <f>'G MTTS'!AG874</f>
        <v>8</v>
      </c>
      <c r="O880" s="44">
        <f>'G MTTS'!AH874</f>
        <v>7</v>
      </c>
      <c r="P880" s="44">
        <f>'G MTTS'!AI874</f>
        <v>7</v>
      </c>
      <c r="Q880" s="45">
        <f>'G MTTS'!AJ874</f>
        <v>11</v>
      </c>
      <c r="R880" s="46">
        <f t="shared" si="79"/>
        <v>0.647928240740741</v>
      </c>
      <c r="S880" s="47" t="str">
        <f t="shared" si="81"/>
        <v>MICRO</v>
      </c>
    </row>
    <row r="881" ht="29.25" customHeight="1" outlineLevel="1" spans="1:19">
      <c r="A881" s="60" t="s">
        <v>525</v>
      </c>
      <c r="B881" s="36">
        <f>'G MTTS'!B875</f>
        <v>0.583344907407407</v>
      </c>
      <c r="C881" s="48" t="str">
        <f>'G MTTS'!J875</f>
        <v>suspenso</v>
      </c>
      <c r="D881" s="49">
        <f>'G MTTS'!M875</f>
        <v>0</v>
      </c>
      <c r="E881" s="50" t="str">
        <f>'G MTTS'!N875</f>
        <v>NLH</v>
      </c>
      <c r="F881" s="51" t="str">
        <f>'G MTTS'!O875</f>
        <v>OFF</v>
      </c>
      <c r="G881" s="52" t="str">
        <f>IF('G MTTS'!Q875=0," ",'G MTTS'!Q875*$A$3)</f>
        <v> </v>
      </c>
      <c r="H881" s="53">
        <f>IF('G MTTS'!V875=0," ",'G MTTS'!V875*$A$3)</f>
        <v>3</v>
      </c>
      <c r="I881" s="53">
        <f>IF('G MTTS'!W875=0," ",'G MTTS'!W875*$A$3)</f>
        <v>3</v>
      </c>
      <c r="J881" s="53">
        <f>IF('G MTTS'!Z875=0," ",'G MTTS'!Z875*$A$3)</f>
        <v>3</v>
      </c>
      <c r="K881" s="54">
        <f>'G MTTS'!AF875</f>
        <v>20000</v>
      </c>
      <c r="L881" s="54">
        <f>'G MTTS'!X875</f>
        <v>0</v>
      </c>
      <c r="M881" s="54">
        <f>'G MTTS'!AA875</f>
        <v>30000</v>
      </c>
      <c r="N881" s="55">
        <f>'G MTTS'!AG875</f>
        <v>5</v>
      </c>
      <c r="O881" s="55">
        <f>'G MTTS'!AH875</f>
        <v>5</v>
      </c>
      <c r="P881" s="55">
        <f>'G MTTS'!AI875</f>
        <v>5</v>
      </c>
      <c r="Q881" s="56">
        <f>'G MTTS'!AJ875</f>
        <v>15</v>
      </c>
      <c r="R881" s="46">
        <f t="shared" si="79"/>
        <v>0.638900462962963</v>
      </c>
      <c r="S881" s="47" t="str">
        <f t="shared" si="81"/>
        <v>MICRO</v>
      </c>
    </row>
    <row r="882" ht="29.25" customHeight="1" outlineLevel="1" spans="1:19">
      <c r="B882" s="36">
        <f>'G MTTS'!B876</f>
        <v>0.583344907407407</v>
      </c>
      <c r="C882" s="37" t="str">
        <f>'G MTTS'!J876</f>
        <v>#AS 100K Special Plus</v>
      </c>
      <c r="D882" s="38" t="str">
        <f>'G MTTS'!M876</f>
        <v>Side Event</v>
      </c>
      <c r="E882" s="39" t="str">
        <f>'G MTTS'!N876</f>
        <v>NLH</v>
      </c>
      <c r="F882" s="40" t="str">
        <f>'G MTTS'!O876</f>
        <v>OFF</v>
      </c>
      <c r="G882" s="41">
        <f>IF('G MTTS'!Q876=0," ",'G MTTS'!Q876*$A$3)</f>
        <v>108500</v>
      </c>
      <c r="H882" s="42">
        <f>IF('G MTTS'!V876=0," ",'G MTTS'!V876*$A$3)</f>
        <v>5</v>
      </c>
      <c r="I882" s="42">
        <f>IF('G MTTS'!W876=0," ",'G MTTS'!W876*$A$3)</f>
        <v>5</v>
      </c>
      <c r="J882" s="42">
        <f>IF('G MTTS'!Z876=0," ",'G MTTS'!Z876*$A$3)</f>
        <v>15</v>
      </c>
      <c r="K882" s="43">
        <f>'G MTTS'!AF876</f>
        <v>30000</v>
      </c>
      <c r="L882" s="43">
        <f>'G MTTS'!X876</f>
        <v>40000</v>
      </c>
      <c r="M882" s="43">
        <f>'G MTTS'!AA876</f>
        <v>120000</v>
      </c>
      <c r="N882" s="44">
        <f>'G MTTS'!AG876</f>
        <v>10</v>
      </c>
      <c r="O882" s="44">
        <f>'G MTTS'!AH876</f>
        <v>8</v>
      </c>
      <c r="P882" s="44">
        <f>'G MTTS'!AI876</f>
        <v>10</v>
      </c>
      <c r="Q882" s="45">
        <f>'G MTTS'!AJ876</f>
        <v>14</v>
      </c>
      <c r="R882" s="46">
        <f t="shared" si="79"/>
        <v>0.687511574074074</v>
      </c>
      <c r="S882" s="47" t="str">
        <f t="shared" si="81"/>
        <v>MICRO</v>
      </c>
    </row>
    <row r="883" ht="29.25" customHeight="1" outlineLevel="1" spans="1:19">
      <c r="B883" s="36">
        <f>'G MTTS'!B877</f>
        <v>0.625011574074074</v>
      </c>
      <c r="C883" s="48" t="str">
        <f>'G MTTS'!J877</f>
        <v>#AS 30K Plus+SPS</v>
      </c>
      <c r="D883" s="49" t="str">
        <f>'G MTTS'!M877</f>
        <v>Side Event</v>
      </c>
      <c r="E883" s="50" t="str">
        <f>'G MTTS'!N877</f>
        <v>NLH</v>
      </c>
      <c r="F883" s="51" t="str">
        <f>'G MTTS'!O877</f>
        <v>OFF</v>
      </c>
      <c r="G883" s="52">
        <f>IF('G MTTS'!Q877=0," ",'G MTTS'!Q877*$A$3)</f>
        <v>31000</v>
      </c>
      <c r="H883" s="53">
        <f>IF('G MTTS'!V877=0," ",'G MTTS'!V877*$A$3)</f>
        <v>15</v>
      </c>
      <c r="I883" s="53">
        <f>IF('G MTTS'!W877=0," ",'G MTTS'!W877*$A$3)</f>
        <v>15</v>
      </c>
      <c r="J883" s="53">
        <f>IF('G MTTS'!Z877=0," ",'G MTTS'!Z877*$A$3)</f>
        <v>20</v>
      </c>
      <c r="K883" s="54">
        <f>'G MTTS'!AF877</f>
        <v>50000</v>
      </c>
      <c r="L883" s="54">
        <f>'G MTTS'!X877</f>
        <v>0</v>
      </c>
      <c r="M883" s="54">
        <f>'G MTTS'!AA877</f>
        <v>250000</v>
      </c>
      <c r="N883" s="55">
        <f>'G MTTS'!AG877</f>
        <v>10</v>
      </c>
      <c r="O883" s="55">
        <f>'G MTTS'!AH877</f>
        <v>8</v>
      </c>
      <c r="P883" s="55">
        <f>'G MTTS'!AI877</f>
        <v>10</v>
      </c>
      <c r="Q883" s="56">
        <f>'G MTTS'!AJ877</f>
        <v>15</v>
      </c>
      <c r="R883" s="46">
        <f t="shared" si="79"/>
        <v>0.736122685185185</v>
      </c>
      <c r="S883" s="47" t="str">
        <f t="shared" si="81"/>
        <v>MICRO</v>
      </c>
    </row>
    <row r="884" ht="29.25" customHeight="1" outlineLevel="1" spans="1:19">
      <c r="A884" s="60" t="s">
        <v>525</v>
      </c>
      <c r="B884" s="36">
        <f>'G MTTS'!B878</f>
        <v>0.625011574074074</v>
      </c>
      <c r="C884" s="37" t="str">
        <f>'G MTTS'!J878</f>
        <v>#AS 1.5K Omax PKO</v>
      </c>
      <c r="D884" s="38" t="str">
        <f>'G MTTS'!M878</f>
        <v>Side Event</v>
      </c>
      <c r="E884" s="39" t="str">
        <f>'G MTTS'!N878</f>
        <v>PLO5</v>
      </c>
      <c r="F884" s="40" t="str">
        <f>'G MTTS'!O878</f>
        <v>Progressive KO 1/2</v>
      </c>
      <c r="G884" s="41">
        <f>IF('G MTTS'!Q878=0," ",'G MTTS'!Q878*$A$3)</f>
        <v>1500</v>
      </c>
      <c r="H884" s="42">
        <f>IF('G MTTS'!V878=0," ",'G MTTS'!V878*$A$3)</f>
        <v>10</v>
      </c>
      <c r="I884" s="42">
        <f>IF('G MTTS'!W878=0," ",'G MTTS'!W878*$A$3)</f>
        <v>10</v>
      </c>
      <c r="J884" s="42" t="str">
        <f>IF('G MTTS'!Z878=0," ",'G MTTS'!Z878*$A$3)</f>
        <v> </v>
      </c>
      <c r="K884" s="43">
        <f>'G MTTS'!AF878</f>
        <v>50000</v>
      </c>
      <c r="L884" s="43">
        <f>'G MTTS'!X878</f>
        <v>0</v>
      </c>
      <c r="M884" s="43" t="str">
        <f>'G MTTS'!AA878</f>
        <v>REENTRY</v>
      </c>
      <c r="N884" s="44">
        <f>'G MTTS'!AG878</f>
        <v>8</v>
      </c>
      <c r="O884" s="44">
        <f>'G MTTS'!AH878</f>
        <v>7</v>
      </c>
      <c r="P884" s="44">
        <f>'G MTTS'!AI878</f>
        <v>7</v>
      </c>
      <c r="Q884" s="45">
        <f>'G MTTS'!AJ878</f>
        <v>15</v>
      </c>
      <c r="R884" s="46">
        <f t="shared" si="79"/>
        <v>0.715289351851852</v>
      </c>
      <c r="S884" s="47" t="str">
        <f t="shared" si="81"/>
        <v>MICRO</v>
      </c>
    </row>
    <row r="885" ht="29.25" customHeight="1" outlineLevel="1" spans="1:19">
      <c r="B885" s="36">
        <f>'G MTTS'!B879</f>
        <v>0.645844907407407</v>
      </c>
      <c r="C885" s="48" t="str">
        <f>'G MTTS'!J879</f>
        <v>#AS 1.5K Battle PKO</v>
      </c>
      <c r="D885" s="49" t="str">
        <f>'G MTTS'!M879</f>
        <v>Side Event</v>
      </c>
      <c r="E885" s="50" t="str">
        <f>'G MTTS'!N879</f>
        <v>NLH</v>
      </c>
      <c r="F885" s="51" t="str">
        <f>'G MTTS'!O879</f>
        <v>Progressive KO 1/2</v>
      </c>
      <c r="G885" s="52">
        <f>IF('G MTTS'!Q879=0," ",'G MTTS'!Q879*$A$3)</f>
        <v>1500</v>
      </c>
      <c r="H885" s="53">
        <f>IF('G MTTS'!V879=0," ",'G MTTS'!V879*$A$3)</f>
        <v>10</v>
      </c>
      <c r="I885" s="53">
        <f>IF('G MTTS'!W879=0," ",'G MTTS'!W879*$A$3)</f>
        <v>10</v>
      </c>
      <c r="J885" s="53" t="str">
        <f>IF('G MTTS'!Z879=0," ",'G MTTS'!Z879*$A$3)</f>
        <v> </v>
      </c>
      <c r="K885" s="54">
        <f>'G MTTS'!AF879</f>
        <v>50000</v>
      </c>
      <c r="L885" s="54">
        <f>'G MTTS'!X879</f>
        <v>60000</v>
      </c>
      <c r="M885" s="54" t="str">
        <f>'G MTTS'!AA879</f>
        <v>REENTRY</v>
      </c>
      <c r="N885" s="55">
        <f>'G MTTS'!AG879</f>
        <v>8</v>
      </c>
      <c r="O885" s="55">
        <f>'G MTTS'!AH879</f>
        <v>7</v>
      </c>
      <c r="P885" s="55">
        <f>'G MTTS'!AI879</f>
        <v>7</v>
      </c>
      <c r="Q885" s="56">
        <f>'G MTTS'!AJ879</f>
        <v>15</v>
      </c>
      <c r="R885" s="46">
        <f t="shared" si="79"/>
        <v>0.736122685185185</v>
      </c>
      <c r="S885" s="47" t="str">
        <f t="shared" si="81"/>
        <v>MICRO</v>
      </c>
    </row>
    <row r="886" ht="29.25" customHeight="1" outlineLevel="1" spans="1:19">
      <c r="A886" s="60" t="s">
        <v>525</v>
      </c>
      <c r="B886" s="36">
        <f>'G MTTS'!B880</f>
        <v>0.666678240740741</v>
      </c>
      <c r="C886" s="37" t="str">
        <f>'G MTTS'!J880</f>
        <v>500 Omax</v>
      </c>
      <c r="D886" s="38" t="str">
        <f>'G MTTS'!M880</f>
        <v>Side Event</v>
      </c>
      <c r="E886" s="39" t="str">
        <f>'G MTTS'!N880</f>
        <v>PLO4</v>
      </c>
      <c r="F886" s="40" t="str">
        <f>'G MTTS'!O880</f>
        <v>OFF</v>
      </c>
      <c r="G886" s="41">
        <f>IF('G MTTS'!Q880=0," ",'G MTTS'!Q880*$A$3)</f>
        <v>500</v>
      </c>
      <c r="H886" s="42">
        <f>IF('G MTTS'!V880=0," ",'G MTTS'!V880*$A$3)</f>
        <v>4</v>
      </c>
      <c r="I886" s="42">
        <f>IF('G MTTS'!W880=0," ",'G MTTS'!W880*$A$3)</f>
        <v>4</v>
      </c>
      <c r="J886" s="42">
        <f>IF('G MTTS'!Z880=0," ",'G MTTS'!Z880*$A$3)</f>
        <v>4</v>
      </c>
      <c r="K886" s="43">
        <f>'G MTTS'!AF880</f>
        <v>40000</v>
      </c>
      <c r="L886" s="43">
        <f>'G MTTS'!X880</f>
        <v>0</v>
      </c>
      <c r="M886" s="43">
        <f>'G MTTS'!AA880</f>
        <v>80000</v>
      </c>
      <c r="N886" s="44">
        <f>'G MTTS'!AG880</f>
        <v>8</v>
      </c>
      <c r="O886" s="44">
        <f>'G MTTS'!AH880</f>
        <v>7</v>
      </c>
      <c r="P886" s="44">
        <f>'G MTTS'!AI880</f>
        <v>7</v>
      </c>
      <c r="Q886" s="45">
        <f>'G MTTS'!AJ880</f>
        <v>12</v>
      </c>
      <c r="R886" s="46">
        <f t="shared" si="79"/>
        <v>0.73681712962963</v>
      </c>
      <c r="S886" s="47" t="str">
        <f t="shared" si="81"/>
        <v>MICRO</v>
      </c>
    </row>
    <row r="887" ht="29.25" customHeight="1" outlineLevel="1" spans="1:19">
      <c r="B887" s="36">
        <f>'G MTTS'!B881</f>
        <v>0.666678240740741</v>
      </c>
      <c r="C887" s="178" t="str">
        <f>'G MTTS'!J881</f>
        <v>suspenso</v>
      </c>
      <c r="D887" s="49">
        <f>'G MTTS'!M881</f>
        <v>0</v>
      </c>
      <c r="E887" s="50" t="str">
        <f>'G MTTS'!N881</f>
        <v>NLH</v>
      </c>
      <c r="F887" s="51" t="str">
        <f>'G MTTS'!O881</f>
        <v>OFF</v>
      </c>
      <c r="G887" s="52" t="str">
        <f>IF('G MTTS'!Q881=0," ",'G MTTS'!Q881*$A$3)</f>
        <v> </v>
      </c>
      <c r="H887" s="53">
        <f>IF('G MTTS'!V881=0," ",'G MTTS'!V881*$A$3)</f>
        <v>2</v>
      </c>
      <c r="I887" s="53">
        <f>IF('G MTTS'!W881=0," ",'G MTTS'!W881*$A$3)</f>
        <v>2</v>
      </c>
      <c r="J887" s="53">
        <f>IF('G MTTS'!Z881=0," ",'G MTTS'!Z881*$A$3)</f>
        <v>3</v>
      </c>
      <c r="K887" s="54">
        <f>'G MTTS'!AF881</f>
        <v>20000</v>
      </c>
      <c r="L887" s="54">
        <f>'G MTTS'!X881</f>
        <v>0</v>
      </c>
      <c r="M887" s="54">
        <f>'G MTTS'!AA881</f>
        <v>40000</v>
      </c>
      <c r="N887" s="55">
        <f>'G MTTS'!AG881</f>
        <v>8</v>
      </c>
      <c r="O887" s="55">
        <f>'G MTTS'!AH881</f>
        <v>7</v>
      </c>
      <c r="P887" s="55">
        <f>'G MTTS'!AI881</f>
        <v>6</v>
      </c>
      <c r="Q887" s="56">
        <f>'G MTTS'!AJ881</f>
        <v>12</v>
      </c>
      <c r="R887" s="46">
        <f t="shared" si="79"/>
        <v>0.73681712962963</v>
      </c>
      <c r="S887" s="47" t="str">
        <f t="shared" si="81"/>
        <v>MICRO</v>
      </c>
    </row>
    <row r="888" ht="29.25" customHeight="1" outlineLevel="1" spans="1:19">
      <c r="B888" s="36">
        <f>'G MTTS'!B882</f>
        <v>0.666678240740741</v>
      </c>
      <c r="C888" s="179" t="str">
        <f>'G MTTS'!J882</f>
        <v>#AS 7.5K Mystery PLO5</v>
      </c>
      <c r="D888" s="38" t="str">
        <f>'G MTTS'!M882</f>
        <v>Side Event</v>
      </c>
      <c r="E888" s="39" t="str">
        <f>'G MTTS'!N882</f>
        <v>PLO5</v>
      </c>
      <c r="F888" s="40" t="str">
        <f>'G MTTS'!O882</f>
        <v>Mystery Bounty 1/2</v>
      </c>
      <c r="G888" s="41">
        <f>IF('G MTTS'!Q882=0," ",'G MTTS'!Q882*$A$3)</f>
        <v>7500</v>
      </c>
      <c r="H888" s="42">
        <f>IF('G MTTS'!V882=0," ",'G MTTS'!V882*$A$3)</f>
        <v>55</v>
      </c>
      <c r="I888" s="42">
        <f>IF('G MTTS'!W882=0," ",'G MTTS'!W882*$A$3)</f>
        <v>55</v>
      </c>
      <c r="J888" s="42" t="str">
        <f>IF('G MTTS'!Z882=0," ",'G MTTS'!Z882*$A$3)</f>
        <v> </v>
      </c>
      <c r="K888" s="43">
        <f>'G MTTS'!AF882</f>
        <v>60000</v>
      </c>
      <c r="L888" s="43">
        <f>'G MTTS'!X882</f>
        <v>0</v>
      </c>
      <c r="M888" s="43" t="str">
        <f>'G MTTS'!AA882</f>
        <v>REENTRY</v>
      </c>
      <c r="N888" s="44">
        <f>'G MTTS'!AG882</f>
        <v>10</v>
      </c>
      <c r="O888" s="44">
        <f>'G MTTS'!AH882</f>
        <v>8</v>
      </c>
      <c r="P888" s="44">
        <f>'G MTTS'!AI882</f>
        <v>8</v>
      </c>
      <c r="Q888" s="45">
        <f>'G MTTS'!AJ882</f>
        <v>15</v>
      </c>
      <c r="R888" s="46">
        <f t="shared" si="79"/>
        <v>0.777789351851852</v>
      </c>
      <c r="S888" s="47" t="str">
        <f t="shared" si="81"/>
        <v>LOW</v>
      </c>
    </row>
    <row r="889" ht="29.25" customHeight="1" outlineLevel="1" spans="1:19">
      <c r="A889" s="60" t="s">
        <v>525</v>
      </c>
      <c r="B889" s="36">
        <f>'G MTTS'!B883</f>
        <v>0.687511574074074</v>
      </c>
      <c r="C889" s="178" t="str">
        <f>'G MTTS'!J883</f>
        <v>#AS 6K Freeze</v>
      </c>
      <c r="D889" s="49" t="str">
        <f>'G MTTS'!M883</f>
        <v>Side Event</v>
      </c>
      <c r="E889" s="50" t="str">
        <f>'G MTTS'!N883</f>
        <v>NLH</v>
      </c>
      <c r="F889" s="51" t="str">
        <f>'G MTTS'!O883</f>
        <v>OFF</v>
      </c>
      <c r="G889" s="52">
        <f>IF('G MTTS'!Q883=0," ",'G MTTS'!Q883*$A$3)</f>
        <v>6000</v>
      </c>
      <c r="H889" s="53">
        <f>IF('G MTTS'!V883=0," ",'G MTTS'!V883*$A$3)</f>
        <v>35</v>
      </c>
      <c r="I889" s="53" t="str">
        <f>IF('G MTTS'!W883=0," ",'G MTTS'!W883*$A$3)</f>
        <v> </v>
      </c>
      <c r="J889" s="53" t="str">
        <f>IF('G MTTS'!Z883=0," ",'G MTTS'!Z883*$A$3)</f>
        <v> </v>
      </c>
      <c r="K889" s="54">
        <f>'G MTTS'!AF883</f>
        <v>40000</v>
      </c>
      <c r="L889" s="54">
        <f>'G MTTS'!X883</f>
        <v>0</v>
      </c>
      <c r="M889" s="54" t="str">
        <f>'G MTTS'!AA883</f>
        <v>FREEZE</v>
      </c>
      <c r="N889" s="55">
        <f>'G MTTS'!AG883</f>
        <v>12</v>
      </c>
      <c r="O889" s="55">
        <f>'G MTTS'!AH883</f>
        <v>10</v>
      </c>
      <c r="P889" s="55">
        <f>'G MTTS'!AI883</f>
        <v>10</v>
      </c>
      <c r="Q889" s="56">
        <f>'G MTTS'!AJ883</f>
        <v>13</v>
      </c>
      <c r="R889" s="46">
        <f t="shared" si="79"/>
        <v>0.802789351851852</v>
      </c>
      <c r="S889" s="47" t="str">
        <f t="shared" si="81"/>
        <v>LOW</v>
      </c>
    </row>
    <row r="890" ht="29.25" customHeight="1" outlineLevel="1" spans="1:19">
      <c r="B890" s="36">
        <f>'G MTTS'!B884</f>
        <v>0.708344907407407</v>
      </c>
      <c r="C890" s="179" t="str">
        <f>'G MTTS'!J884</f>
        <v>750 Omax PKO</v>
      </c>
      <c r="D890" s="38" t="str">
        <f>'G MTTS'!M884</f>
        <v>Side Event</v>
      </c>
      <c r="E890" s="39" t="str">
        <f>'G MTTS'!N884</f>
        <v>PLO5</v>
      </c>
      <c r="F890" s="40" t="str">
        <f>'G MTTS'!O884</f>
        <v>Progressive KO 1/2</v>
      </c>
      <c r="G890" s="41">
        <f>IF('G MTTS'!Q884=0," ",'G MTTS'!Q884*$A$3)</f>
        <v>750</v>
      </c>
      <c r="H890" s="42">
        <f>IF('G MTTS'!V884=0," ",'G MTTS'!V884*$A$3)</f>
        <v>3</v>
      </c>
      <c r="I890" s="42">
        <f>IF('G MTTS'!W884=0," ",'G MTTS'!W884*$A$3)</f>
        <v>3</v>
      </c>
      <c r="J890" s="42" t="str">
        <f>IF('G MTTS'!Z884=0," ",'G MTTS'!Z884*$A$3)</f>
        <v> </v>
      </c>
      <c r="K890" s="43">
        <f>'G MTTS'!AF884</f>
        <v>50000</v>
      </c>
      <c r="L890" s="43">
        <f>'G MTTS'!X884</f>
        <v>0</v>
      </c>
      <c r="M890" s="43" t="str">
        <f>'G MTTS'!AA884</f>
        <v>REENTRY</v>
      </c>
      <c r="N890" s="44">
        <f>'G MTTS'!AG884</f>
        <v>8</v>
      </c>
      <c r="O890" s="44">
        <f>'G MTTS'!AH884</f>
        <v>7</v>
      </c>
      <c r="P890" s="44">
        <f>'G MTTS'!AI884</f>
        <v>6</v>
      </c>
      <c r="Q890" s="45">
        <f>'G MTTS'!AJ884</f>
        <v>15</v>
      </c>
      <c r="R890" s="46">
        <f t="shared" si="79"/>
        <v>0.798622685185185</v>
      </c>
      <c r="S890" s="47" t="str">
        <f t="shared" si="81"/>
        <v>MICRO</v>
      </c>
    </row>
    <row r="891" ht="29.25" customHeight="1" outlineLevel="1" spans="1:19">
      <c r="B891" s="36">
        <f>'G MTTS'!B885</f>
        <v>0.708344907407407</v>
      </c>
      <c r="C891" s="178" t="str">
        <f>'G MTTS'!J885</f>
        <v>Sit&amp;go 200p max.</v>
      </c>
      <c r="D891" s="49" t="str">
        <f>'G MTTS'!M885</f>
        <v>Side Event</v>
      </c>
      <c r="E891" s="50" t="str">
        <f>'G MTTS'!N885</f>
        <v>NLH</v>
      </c>
      <c r="F891" s="51" t="str">
        <f>'G MTTS'!O885</f>
        <v>OFF</v>
      </c>
      <c r="G891" s="52">
        <f>IF('G MTTS'!Q885=0," ",'G MTTS'!Q885*$A$3)</f>
        <v>250</v>
      </c>
      <c r="H891" s="53">
        <f>IF('G MTTS'!V885=0," ",'G MTTS'!V885*$A$3)</f>
        <v>3</v>
      </c>
      <c r="I891" s="53">
        <f>IF('G MTTS'!W885=0," ",'G MTTS'!W885*$A$3)</f>
        <v>3</v>
      </c>
      <c r="J891" s="53">
        <f>IF('G MTTS'!Z885=0," ",'G MTTS'!Z885*$A$3)</f>
        <v>3</v>
      </c>
      <c r="K891" s="54">
        <f>'G MTTS'!AF885</f>
        <v>20000</v>
      </c>
      <c r="L891" s="54">
        <f>'G MTTS'!X885</f>
        <v>0</v>
      </c>
      <c r="M891" s="54">
        <f>'G MTTS'!AA885</f>
        <v>30000</v>
      </c>
      <c r="N891" s="55">
        <f>'G MTTS'!AG885</f>
        <v>5</v>
      </c>
      <c r="O891" s="55">
        <f>'G MTTS'!AH885</f>
        <v>5</v>
      </c>
      <c r="P891" s="55">
        <f>'G MTTS'!AI885</f>
        <v>5</v>
      </c>
      <c r="Q891" s="56">
        <f>'G MTTS'!AJ885</f>
        <v>15</v>
      </c>
      <c r="R891" s="46">
        <f t="shared" si="79"/>
        <v>0.763900462962963</v>
      </c>
      <c r="S891" s="47" t="str">
        <f t="shared" si="81"/>
        <v>MICRO</v>
      </c>
    </row>
    <row r="892" ht="29.25" customHeight="1" outlineLevel="1" spans="1:19">
      <c r="A892" s="60" t="s">
        <v>525</v>
      </c>
      <c r="B892" s="36">
        <f>'G MTTS'!B886</f>
        <v>0.729178240740741</v>
      </c>
      <c r="C892" s="179" t="str">
        <f>'G MTTS'!J886</f>
        <v>#AS 12.5K Battle PKO</v>
      </c>
      <c r="D892" s="38" t="str">
        <f>'G MTTS'!M886</f>
        <v>Side Event</v>
      </c>
      <c r="E892" s="39" t="str">
        <f>'G MTTS'!N886</f>
        <v>NLH</v>
      </c>
      <c r="F892" s="40" t="str">
        <f>'G MTTS'!O886</f>
        <v>Progressive KO 1/2</v>
      </c>
      <c r="G892" s="41">
        <f>IF('G MTTS'!Q886=0," ",'G MTTS'!Q886*$A$3)</f>
        <v>12500</v>
      </c>
      <c r="H892" s="42">
        <f>IF('G MTTS'!V886=0," ",'G MTTS'!V886*$A$3)</f>
        <v>25</v>
      </c>
      <c r="I892" s="42">
        <f>IF('G MTTS'!W886=0," ",'G MTTS'!W886*$A$3)</f>
        <v>25</v>
      </c>
      <c r="J892" s="42" t="str">
        <f>IF('G MTTS'!Z886=0," ",'G MTTS'!Z886*$A$3)</f>
        <v> </v>
      </c>
      <c r="K892" s="43">
        <f>'G MTTS'!AF886</f>
        <v>80000</v>
      </c>
      <c r="L892" s="43">
        <f>'G MTTS'!X886</f>
        <v>0</v>
      </c>
      <c r="M892" s="43" t="str">
        <f>'G MTTS'!AA886</f>
        <v>REENTRY</v>
      </c>
      <c r="N892" s="44">
        <f>'G MTTS'!AG886</f>
        <v>12</v>
      </c>
      <c r="O892" s="44">
        <f>'G MTTS'!AH886</f>
        <v>10</v>
      </c>
      <c r="P892" s="44">
        <f>'G MTTS'!AI886</f>
        <v>10</v>
      </c>
      <c r="Q892" s="45">
        <f>'G MTTS'!AJ886</f>
        <v>15</v>
      </c>
      <c r="R892" s="46">
        <f t="shared" si="79"/>
        <v>0.864594907407407</v>
      </c>
      <c r="S892" s="47" t="str">
        <f t="shared" si="81"/>
        <v>MICRO</v>
      </c>
    </row>
    <row r="893" ht="29.25" customHeight="1" outlineLevel="1" spans="1:19">
      <c r="B893" s="36">
        <f>'G MTTS'!B887</f>
        <v>0.750011574074074</v>
      </c>
      <c r="C893" s="178" t="str">
        <f>'G MTTS'!J887</f>
        <v>1K Omax</v>
      </c>
      <c r="D893" s="49" t="str">
        <f>'G MTTS'!M887</f>
        <v>Side Event</v>
      </c>
      <c r="E893" s="50" t="str">
        <f>'G MTTS'!N887</f>
        <v>PLO4</v>
      </c>
      <c r="F893" s="51" t="str">
        <f>'G MTTS'!O887</f>
        <v>OFF</v>
      </c>
      <c r="G893" s="52">
        <f>IF('G MTTS'!Q887=0," ",'G MTTS'!Q887*$A$3)</f>
        <v>1000</v>
      </c>
      <c r="H893" s="53">
        <f>IF('G MTTS'!V887=0," ",'G MTTS'!V887*$A$3)</f>
        <v>10</v>
      </c>
      <c r="I893" s="53">
        <f>IF('G MTTS'!W887=0," ",'G MTTS'!W887*$A$3)</f>
        <v>10</v>
      </c>
      <c r="J893" s="53">
        <f>IF('G MTTS'!Z887=0," ",'G MTTS'!Z887*$A$3)</f>
        <v>10</v>
      </c>
      <c r="K893" s="54">
        <f>'G MTTS'!AF887</f>
        <v>50000</v>
      </c>
      <c r="L893" s="54">
        <f>'G MTTS'!X887</f>
        <v>0</v>
      </c>
      <c r="M893" s="54">
        <f>'G MTTS'!AA887</f>
        <v>100000</v>
      </c>
      <c r="N893" s="55">
        <f>'G MTTS'!AG887</f>
        <v>8</v>
      </c>
      <c r="O893" s="55">
        <f>'G MTTS'!AH887</f>
        <v>7</v>
      </c>
      <c r="P893" s="55">
        <f>'G MTTS'!AI887</f>
        <v>7</v>
      </c>
      <c r="Q893" s="56">
        <f>'G MTTS'!AJ887</f>
        <v>15</v>
      </c>
      <c r="R893" s="46">
        <f t="shared" si="79"/>
        <v>0.840289351851852</v>
      </c>
      <c r="S893" s="47" t="str">
        <f t="shared" si="81"/>
        <v>MICRO</v>
      </c>
    </row>
    <row r="894" ht="29.25" customHeight="1" outlineLevel="1" spans="1:19">
      <c r="B894" s="36">
        <f>'G MTTS'!B888</f>
        <v>0.750011574074074</v>
      </c>
      <c r="C894" s="179" t="str">
        <f>'G MTTS'!J888</f>
        <v>#AS 50K Mini Plus+SPS</v>
      </c>
      <c r="D894" s="38" t="str">
        <f>'G MTTS'!M888</f>
        <v>Side Event</v>
      </c>
      <c r="E894" s="39" t="str">
        <f>'G MTTS'!N888</f>
        <v>NLH</v>
      </c>
      <c r="F894" s="40" t="str">
        <f>'G MTTS'!O888</f>
        <v>OFF</v>
      </c>
      <c r="G894" s="41">
        <f>IF('G MTTS'!Q888=0," ",'G MTTS'!Q888*$A$3)</f>
        <v>51000</v>
      </c>
      <c r="H894" s="42">
        <f>IF('G MTTS'!V888=0," ",'G MTTS'!V888*$A$3)</f>
        <v>10</v>
      </c>
      <c r="I894" s="42">
        <f>IF('G MTTS'!W888=0," ",'G MTTS'!W888*$A$3)</f>
        <v>10</v>
      </c>
      <c r="J894" s="42">
        <f>IF('G MTTS'!Z888=0," ",'G MTTS'!Z888*$A$3)</f>
        <v>15</v>
      </c>
      <c r="K894" s="43">
        <f>'G MTTS'!AF888</f>
        <v>50000</v>
      </c>
      <c r="L894" s="43">
        <f>'G MTTS'!X888</f>
        <v>0</v>
      </c>
      <c r="M894" s="43">
        <f>'G MTTS'!AA888</f>
        <v>250000</v>
      </c>
      <c r="N894" s="44">
        <f>'G MTTS'!AG888</f>
        <v>10</v>
      </c>
      <c r="O894" s="44">
        <f>'G MTTS'!AH888</f>
        <v>8</v>
      </c>
      <c r="P894" s="44">
        <f>'G MTTS'!AI888</f>
        <v>10</v>
      </c>
      <c r="Q894" s="45">
        <f>'G MTTS'!AJ888</f>
        <v>15</v>
      </c>
      <c r="R894" s="46">
        <f t="shared" si="79"/>
        <v>0.861122685185185</v>
      </c>
      <c r="S894" s="47" t="str">
        <f t="shared" si="81"/>
        <v>MICRO</v>
      </c>
    </row>
    <row r="895" ht="29.25" customHeight="1" outlineLevel="1" spans="1:19">
      <c r="A895" s="60" t="s">
        <v>525</v>
      </c>
      <c r="B895" s="36">
        <f>'G MTTS'!B889</f>
        <v>0.791678240740741</v>
      </c>
      <c r="C895" s="178" t="str">
        <f>'G MTTS'!J889</f>
        <v>#AS 30K OmaX PKO</v>
      </c>
      <c r="D895" s="49" t="str">
        <f>'G MTTS'!M889</f>
        <v>Side Event</v>
      </c>
      <c r="E895" s="50" t="str">
        <f>'G MTTS'!N889</f>
        <v>PLO5</v>
      </c>
      <c r="F895" s="51" t="str">
        <f>'G MTTS'!O889</f>
        <v>Progressive KO 1/2</v>
      </c>
      <c r="G895" s="52">
        <f>IF('G MTTS'!Q889=0," ",'G MTTS'!Q889*$A$3)</f>
        <v>30000</v>
      </c>
      <c r="H895" s="53">
        <f>IF('G MTTS'!V889=0," ",'G MTTS'!V889*$A$3)</f>
        <v>75</v>
      </c>
      <c r="I895" s="53">
        <f>IF('G MTTS'!W889=0," ",'G MTTS'!W889*$A$3)</f>
        <v>75</v>
      </c>
      <c r="J895" s="53" t="str">
        <f>IF('G MTTS'!Z889=0," ",'G MTTS'!Z889*$A$3)</f>
        <v> </v>
      </c>
      <c r="K895" s="54">
        <f>'G MTTS'!AF889</f>
        <v>50000</v>
      </c>
      <c r="L895" s="54">
        <f>'G MTTS'!X889</f>
        <v>0</v>
      </c>
      <c r="M895" s="54" t="str">
        <f>'G MTTS'!AA889</f>
        <v>REENTRY</v>
      </c>
      <c r="N895" s="55">
        <f>'G MTTS'!AG889</f>
        <v>12</v>
      </c>
      <c r="O895" s="55">
        <f>'G MTTS'!AH889</f>
        <v>10</v>
      </c>
      <c r="P895" s="55">
        <f>'G MTTS'!AI889</f>
        <v>10</v>
      </c>
      <c r="Q895" s="56">
        <f>'G MTTS'!AJ889</f>
        <v>15</v>
      </c>
      <c r="R895" s="46">
        <f t="shared" si="79"/>
        <v>0.927094907407407</v>
      </c>
      <c r="S895" s="47" t="str">
        <f t="shared" si="81"/>
        <v>LOW</v>
      </c>
    </row>
    <row r="896" ht="29.25" customHeight="1" outlineLevel="1" spans="1:19">
      <c r="B896" s="36">
        <f>'G MTTS'!B890</f>
        <v>0.791678240740741</v>
      </c>
      <c r="C896" s="179" t="str">
        <f>'G MTTS'!J890</f>
        <v>#AS 2.5K Omax K.O</v>
      </c>
      <c r="D896" s="38" t="str">
        <f>'G MTTS'!M890</f>
        <v>Side Event</v>
      </c>
      <c r="E896" s="39" t="str">
        <f>'G MTTS'!N890</f>
        <v>PLO5</v>
      </c>
      <c r="F896" s="40" t="str">
        <f>'G MTTS'!O890</f>
        <v>Regular KO 1/3</v>
      </c>
      <c r="G896" s="41">
        <f>IF('G MTTS'!Q890=0," ",'G MTTS'!Q890*$A$3)</f>
        <v>2500</v>
      </c>
      <c r="H896" s="42">
        <f>IF('G MTTS'!V890=0," ",'G MTTS'!V890*$A$3)</f>
        <v>10</v>
      </c>
      <c r="I896" s="42">
        <f>IF('G MTTS'!W890=0," ",'G MTTS'!W890*$A$3)</f>
        <v>10</v>
      </c>
      <c r="J896" s="42" t="str">
        <f>IF('G MTTS'!Z890=0," ",'G MTTS'!Z890*$A$3)</f>
        <v> </v>
      </c>
      <c r="K896" s="43">
        <f>'G MTTS'!AF890</f>
        <v>50000</v>
      </c>
      <c r="L896" s="43">
        <f>'G MTTS'!X890</f>
        <v>0</v>
      </c>
      <c r="M896" s="43" t="str">
        <f>'G MTTS'!AA890</f>
        <v>REENTRY</v>
      </c>
      <c r="N896" s="44">
        <f>'G MTTS'!AG890</f>
        <v>10</v>
      </c>
      <c r="O896" s="44">
        <f>'G MTTS'!AH890</f>
        <v>8</v>
      </c>
      <c r="P896" s="44">
        <f>'G MTTS'!AI890</f>
        <v>8</v>
      </c>
      <c r="Q896" s="45">
        <f>'G MTTS'!AJ890</f>
        <v>15</v>
      </c>
      <c r="R896" s="46">
        <f t="shared" si="79"/>
        <v>0.902789351851852</v>
      </c>
      <c r="S896" s="47" t="str">
        <f t="shared" si="81"/>
        <v>MICRO</v>
      </c>
    </row>
    <row r="897" ht="29.25" customHeight="1" outlineLevel="1" spans="1:19">
      <c r="B897" s="36">
        <f>'G MTTS'!B891</f>
        <v>0.791678240740741</v>
      </c>
      <c r="C897" s="178" t="str">
        <f>'G MTTS'!J891</f>
        <v>#AS 5K Big Mystery</v>
      </c>
      <c r="D897" s="49" t="str">
        <f>'G MTTS'!M891</f>
        <v>Side Event</v>
      </c>
      <c r="E897" s="50" t="str">
        <f>'G MTTS'!N891</f>
        <v>NLH</v>
      </c>
      <c r="F897" s="51" t="str">
        <f>'G MTTS'!O891</f>
        <v>Mystery Bounty 1/2</v>
      </c>
      <c r="G897" s="52">
        <f>IF('G MTTS'!Q891=0," ",'G MTTS'!Q891*$A$3)</f>
        <v>5000</v>
      </c>
      <c r="H897" s="53">
        <f>IF('G MTTS'!V891=0," ",'G MTTS'!V891*$A$3)</f>
        <v>10</v>
      </c>
      <c r="I897" s="53">
        <f>IF('G MTTS'!W891=0," ",'G MTTS'!W891*$A$3)</f>
        <v>10</v>
      </c>
      <c r="J897" s="53" t="str">
        <f>IF('G MTTS'!Z891=0," ",'G MTTS'!Z891*$A$3)</f>
        <v> </v>
      </c>
      <c r="K897" s="54">
        <f>'G MTTS'!AF891</f>
        <v>40000</v>
      </c>
      <c r="L897" s="54">
        <f>'G MTTS'!X891</f>
        <v>0</v>
      </c>
      <c r="M897" s="54" t="str">
        <f>'G MTTS'!AA891</f>
        <v>REENTRY</v>
      </c>
      <c r="N897" s="55">
        <f>'G MTTS'!AG891</f>
        <v>10</v>
      </c>
      <c r="O897" s="55">
        <f>'G MTTS'!AH891</f>
        <v>8</v>
      </c>
      <c r="P897" s="55">
        <f>'G MTTS'!AI891</f>
        <v>8</v>
      </c>
      <c r="Q897" s="56">
        <f>'G MTTS'!AJ891</f>
        <v>14</v>
      </c>
      <c r="R897" s="46">
        <f t="shared" si="79"/>
        <v>0.895844907407407</v>
      </c>
      <c r="S897" s="47" t="str">
        <f t="shared" si="81"/>
        <v>MICRO</v>
      </c>
    </row>
    <row r="898" ht="29.25" customHeight="1" outlineLevel="1" spans="1:19">
      <c r="A898" s="60" t="s">
        <v>525</v>
      </c>
      <c r="B898" s="36">
        <f>'G MTTS'!B892</f>
        <v>0.791678240740741</v>
      </c>
      <c r="C898" s="179" t="str">
        <f>'G MTTS'!J892</f>
        <v>Start Free+SPS</v>
      </c>
      <c r="D898" s="38" t="str">
        <f>'G MTTS'!M892</f>
        <v>Side Event</v>
      </c>
      <c r="E898" s="39" t="str">
        <f>'G MTTS'!N892</f>
        <v>NLH</v>
      </c>
      <c r="F898" s="40" t="str">
        <f>'G MTTS'!O892</f>
        <v>OFF</v>
      </c>
      <c r="G898" s="41">
        <f>IF('G MTTS'!Q892=0," ",'G MTTS'!Q892*$A$3)</f>
        <v>750</v>
      </c>
      <c r="H898" s="42" t="str">
        <f>IF('G MTTS'!V892=0," ",'G MTTS'!V892*$A$3)</f>
        <v> </v>
      </c>
      <c r="I898" s="42">
        <f>IF('G MTTS'!W892=0," ",'G MTTS'!W892*$A$3)</f>
        <v>3</v>
      </c>
      <c r="J898" s="42">
        <f>IF('G MTTS'!Z892=0," ",'G MTTS'!Z892*$A$3)</f>
        <v>5</v>
      </c>
      <c r="K898" s="43">
        <f>'G MTTS'!AF892</f>
        <v>15000</v>
      </c>
      <c r="L898" s="43">
        <f>'G MTTS'!X892</f>
        <v>30000</v>
      </c>
      <c r="M898" s="43">
        <f>'G MTTS'!AA892</f>
        <v>60000</v>
      </c>
      <c r="N898" s="44">
        <f>'G MTTS'!AG892</f>
        <v>6</v>
      </c>
      <c r="O898" s="44">
        <f>'G MTTS'!AH892</f>
        <v>5</v>
      </c>
      <c r="P898" s="44">
        <f>'G MTTS'!AI892</f>
        <v>4</v>
      </c>
      <c r="Q898" s="45">
        <f>'G MTTS'!AJ892</f>
        <v>15</v>
      </c>
      <c r="R898" s="46">
        <f t="shared" si="79"/>
        <v>0.857650462962963</v>
      </c>
      <c r="S898" s="47" t="str">
        <f t="shared" si="81"/>
        <v>SUPER HIGH</v>
      </c>
    </row>
    <row r="899" ht="29.25" customHeight="1" outlineLevel="1" spans="1:19">
      <c r="B899" s="36">
        <f>'G MTTS'!B893</f>
        <v>0.802094907407407</v>
      </c>
      <c r="C899" s="178" t="str">
        <f>'G MTTS'!J893</f>
        <v>Sit&amp;go 200p max.</v>
      </c>
      <c r="D899" s="49" t="str">
        <f>'G MTTS'!M893</f>
        <v>Side Event</v>
      </c>
      <c r="E899" s="50" t="str">
        <f>'G MTTS'!N893</f>
        <v>NLH</v>
      </c>
      <c r="F899" s="51" t="str">
        <f>'G MTTS'!O893</f>
        <v>OFF</v>
      </c>
      <c r="G899" s="52">
        <f>IF('G MTTS'!Q893=0," ",'G MTTS'!Q893*$A$3)</f>
        <v>250</v>
      </c>
      <c r="H899" s="53">
        <f>IF('G MTTS'!V893=0," ",'G MTTS'!V893*$A$3)</f>
        <v>3</v>
      </c>
      <c r="I899" s="53">
        <f>IF('G MTTS'!W893=0," ",'G MTTS'!W893*$A$3)</f>
        <v>3</v>
      </c>
      <c r="J899" s="53">
        <f>IF('G MTTS'!Z893=0," ",'G MTTS'!Z893*$A$3)</f>
        <v>3</v>
      </c>
      <c r="K899" s="54">
        <f>'G MTTS'!AF893</f>
        <v>20000</v>
      </c>
      <c r="L899" s="54">
        <f>'G MTTS'!X893</f>
        <v>0</v>
      </c>
      <c r="M899" s="54">
        <f>'G MTTS'!AA893</f>
        <v>30000</v>
      </c>
      <c r="N899" s="55">
        <f>'G MTTS'!AG893</f>
        <v>5</v>
      </c>
      <c r="O899" s="55">
        <f>'G MTTS'!AH893</f>
        <v>5</v>
      </c>
      <c r="P899" s="55">
        <f>'G MTTS'!AI893</f>
        <v>5</v>
      </c>
      <c r="Q899" s="56">
        <f>'G MTTS'!AJ893</f>
        <v>15</v>
      </c>
      <c r="R899" s="46">
        <f t="shared" si="79"/>
        <v>0.857650462962963</v>
      </c>
      <c r="S899" s="47" t="str">
        <f t="shared" si="81"/>
        <v>MICRO</v>
      </c>
    </row>
    <row r="900" ht="29.25" customHeight="1" outlineLevel="1" spans="1:19">
      <c r="B900" s="36">
        <f>'G MTTS'!B894</f>
        <v>0.812511574074074</v>
      </c>
      <c r="C900" s="179" t="str">
        <f>'G MTTS'!J894</f>
        <v>#AS 12.5K OmaX</v>
      </c>
      <c r="D900" s="38" t="str">
        <f>'G MTTS'!M894</f>
        <v>Side Event</v>
      </c>
      <c r="E900" s="39" t="str">
        <f>'G MTTS'!N894</f>
        <v>PLO6</v>
      </c>
      <c r="F900" s="40" t="str">
        <f>'G MTTS'!O894</f>
        <v>Progressive KO 1/2</v>
      </c>
      <c r="G900" s="41">
        <f>IF('G MTTS'!Q894=0," ",'G MTTS'!Q894*$A$3)</f>
        <v>12500</v>
      </c>
      <c r="H900" s="42">
        <f>IF('G MTTS'!V894=0," ",'G MTTS'!V894*$A$3)</f>
        <v>150</v>
      </c>
      <c r="I900" s="42">
        <f>IF('G MTTS'!W894=0," ",'G MTTS'!W894*$A$3)</f>
        <v>150</v>
      </c>
      <c r="J900" s="42" t="str">
        <f>IF('G MTTS'!Z894=0," ",'G MTTS'!Z894*$A$3)</f>
        <v> </v>
      </c>
      <c r="K900" s="43">
        <f>'G MTTS'!AF894</f>
        <v>80000</v>
      </c>
      <c r="L900" s="43">
        <f>'G MTTS'!X894</f>
        <v>0</v>
      </c>
      <c r="M900" s="43" t="str">
        <f>'G MTTS'!AA894</f>
        <v>REENTRY</v>
      </c>
      <c r="N900" s="44">
        <f>'G MTTS'!AG894</f>
        <v>10</v>
      </c>
      <c r="O900" s="44">
        <f>'G MTTS'!AH894</f>
        <v>10</v>
      </c>
      <c r="P900" s="44">
        <f>'G MTTS'!AI894</f>
        <v>8</v>
      </c>
      <c r="Q900" s="45">
        <f>'G MTTS'!AJ894</f>
        <v>15</v>
      </c>
      <c r="R900" s="46">
        <f t="shared" si="79"/>
        <v>0.923622685185185</v>
      </c>
      <c r="S900" s="47" t="str">
        <f t="shared" si="81"/>
        <v>MEDIUM</v>
      </c>
    </row>
    <row r="901" ht="29.25" customHeight="1" outlineLevel="1" spans="1:19">
      <c r="A901" s="60" t="s">
        <v>525</v>
      </c>
      <c r="B901" s="36">
        <f>'G MTTS'!B895</f>
        <v>0.833344907407407</v>
      </c>
      <c r="C901" s="178" t="str">
        <f>'G MTTS'!J895</f>
        <v>#AS 30K Plus+SPS</v>
      </c>
      <c r="D901" s="49" t="str">
        <f>'G MTTS'!M895</f>
        <v>Side Event</v>
      </c>
      <c r="E901" s="50" t="str">
        <f>'G MTTS'!N895</f>
        <v>NLH</v>
      </c>
      <c r="F901" s="51" t="str">
        <f>'G MTTS'!O895</f>
        <v>OFF</v>
      </c>
      <c r="G901" s="52">
        <f>IF('G MTTS'!Q895=0," ",'G MTTS'!Q895*$A$3)</f>
        <v>31000</v>
      </c>
      <c r="H901" s="53">
        <f>IF('G MTTS'!V895=0," ",'G MTTS'!V895*$A$3)</f>
        <v>20</v>
      </c>
      <c r="I901" s="53">
        <f>IF('G MTTS'!W895=0," ",'G MTTS'!W895*$A$3)</f>
        <v>20</v>
      </c>
      <c r="J901" s="53">
        <f>IF('G MTTS'!Z895=0," ",'G MTTS'!Z895*$A$3)</f>
        <v>20</v>
      </c>
      <c r="K901" s="54">
        <f>'G MTTS'!AF895</f>
        <v>50000</v>
      </c>
      <c r="L901" s="54">
        <f>'G MTTS'!X895</f>
        <v>0</v>
      </c>
      <c r="M901" s="54">
        <f>'G MTTS'!AA895</f>
        <v>200000</v>
      </c>
      <c r="N901" s="55">
        <f>'G MTTS'!AG895</f>
        <v>10</v>
      </c>
      <c r="O901" s="55">
        <f>'G MTTS'!AH895</f>
        <v>8</v>
      </c>
      <c r="P901" s="55">
        <f>'G MTTS'!AI895</f>
        <v>8</v>
      </c>
      <c r="Q901" s="56">
        <f>'G MTTS'!AJ895</f>
        <v>14</v>
      </c>
      <c r="R901" s="46">
        <f t="shared" si="79"/>
        <v>0.937511574074074</v>
      </c>
      <c r="S901" s="47" t="str">
        <f t="shared" si="81"/>
        <v>MICRO</v>
      </c>
    </row>
    <row r="902" ht="29.25" customHeight="1" outlineLevel="1" spans="1:19">
      <c r="B902" s="36">
        <f>'G MTTS'!B896</f>
        <v>0.833344907407407</v>
      </c>
      <c r="C902" s="179" t="str">
        <f>'G MTTS'!J896</f>
        <v>600 Bounty</v>
      </c>
      <c r="D902" s="38" t="str">
        <f>'G MTTS'!M896</f>
        <v>Side Event</v>
      </c>
      <c r="E902" s="39" t="str">
        <f>'G MTTS'!N896</f>
        <v>NLH</v>
      </c>
      <c r="F902" s="40" t="str">
        <f>'G MTTS'!O896</f>
        <v>Progressive KO 1/3</v>
      </c>
      <c r="G902" s="41">
        <f>IF('G MTTS'!Q896=0," ",'G MTTS'!Q896*$A$3)</f>
        <v>600</v>
      </c>
      <c r="H902" s="42">
        <f>IF('G MTTS'!V896=0," ",'G MTTS'!V896*$A$3)</f>
        <v>8</v>
      </c>
      <c r="I902" s="42">
        <f>IF('G MTTS'!W896=0," ",'G MTTS'!W896*$A$3)</f>
        <v>8</v>
      </c>
      <c r="J902" s="42" t="str">
        <f>IF('G MTTS'!Z896=0," ",'G MTTS'!Z896*$A$3)</f>
        <v> </v>
      </c>
      <c r="K902" s="43">
        <f>'G MTTS'!AF896</f>
        <v>30000</v>
      </c>
      <c r="L902" s="43">
        <f>'G MTTS'!X896</f>
        <v>0</v>
      </c>
      <c r="M902" s="43" t="str">
        <f>'G MTTS'!AA896</f>
        <v>REENTRY</v>
      </c>
      <c r="N902" s="44">
        <f>'G MTTS'!AG896</f>
        <v>10</v>
      </c>
      <c r="O902" s="44">
        <f>'G MTTS'!AH896</f>
        <v>8</v>
      </c>
      <c r="P902" s="44">
        <f>'G MTTS'!AI896</f>
        <v>8</v>
      </c>
      <c r="Q902" s="45">
        <f>'G MTTS'!AJ896</f>
        <v>12</v>
      </c>
      <c r="R902" s="46">
        <f t="shared" si="79"/>
        <v>0.923622685185185</v>
      </c>
      <c r="S902" s="47" t="str">
        <f t="shared" si="81"/>
        <v>MICRO</v>
      </c>
    </row>
    <row r="903" ht="29.25" customHeight="1" outlineLevel="1" spans="1:19">
      <c r="B903" s="36">
        <f>'G MTTS'!B897</f>
        <v>0.875011574074074</v>
      </c>
      <c r="C903" s="178" t="str">
        <f>'G MTTS'!J897</f>
        <v>#AS 15K Freeze</v>
      </c>
      <c r="D903" s="49" t="str">
        <f>'G MTTS'!M897</f>
        <v>Side Event</v>
      </c>
      <c r="E903" s="50" t="str">
        <f>'G MTTS'!N897</f>
        <v>NLH</v>
      </c>
      <c r="F903" s="51" t="str">
        <f>'G MTTS'!O897</f>
        <v>OFF</v>
      </c>
      <c r="G903" s="52">
        <f>IF('G MTTS'!Q897=0," ",'G MTTS'!Q897*$A$3)</f>
        <v>15000</v>
      </c>
      <c r="H903" s="53">
        <f>IF('G MTTS'!V897=0," ",'G MTTS'!V897*$A$3)</f>
        <v>75</v>
      </c>
      <c r="I903" s="53" t="str">
        <f>IF('G MTTS'!W897=0," ",'G MTTS'!W897*$A$3)</f>
        <v> </v>
      </c>
      <c r="J903" s="53" t="str">
        <f>IF('G MTTS'!Z897=0," ",'G MTTS'!Z897*$A$3)</f>
        <v> </v>
      </c>
      <c r="K903" s="54">
        <f>'G MTTS'!AF897</f>
        <v>40000</v>
      </c>
      <c r="L903" s="54">
        <f>'G MTTS'!X897</f>
        <v>0</v>
      </c>
      <c r="M903" s="54" t="str">
        <f>'G MTTS'!AA897</f>
        <v>FREEZE</v>
      </c>
      <c r="N903" s="55">
        <f>'G MTTS'!AG897</f>
        <v>10</v>
      </c>
      <c r="O903" s="55">
        <f>'G MTTS'!AH897</f>
        <v>10</v>
      </c>
      <c r="P903" s="55">
        <f>'G MTTS'!AI897</f>
        <v>10</v>
      </c>
      <c r="Q903" s="56">
        <f>'G MTTS'!AJ897</f>
        <v>14</v>
      </c>
      <c r="R903" s="46">
        <f t="shared" si="79"/>
        <v>0.979178240740741</v>
      </c>
      <c r="S903" s="47" t="str">
        <f t="shared" si="81"/>
        <v>LOW</v>
      </c>
    </row>
    <row r="904" ht="29.25" customHeight="1" outlineLevel="1" spans="1:19">
      <c r="A904" s="60" t="s">
        <v>525</v>
      </c>
      <c r="B904" s="36">
        <f>'G MTTS'!B898</f>
        <v>0.875011574074074</v>
      </c>
      <c r="C904" s="179" t="str">
        <f>'G MTTS'!J898</f>
        <v>#AS 1.5K Omax</v>
      </c>
      <c r="D904" s="38" t="str">
        <f>'G MTTS'!M898</f>
        <v>Side Event</v>
      </c>
      <c r="E904" s="39" t="str">
        <f>'G MTTS'!N898</f>
        <v>PLO5</v>
      </c>
      <c r="F904" s="40" t="str">
        <f>'G MTTS'!O898</f>
        <v>OFF</v>
      </c>
      <c r="G904" s="41">
        <f>IF('G MTTS'!Q898=0," ",'G MTTS'!Q898*$A$3)</f>
        <v>1500</v>
      </c>
      <c r="H904" s="42">
        <f>IF('G MTTS'!V898=0," ",'G MTTS'!V898*$A$3)</f>
        <v>5</v>
      </c>
      <c r="I904" s="42">
        <f>IF('G MTTS'!W898=0," ",'G MTTS'!W898*$A$3)</f>
        <v>5</v>
      </c>
      <c r="J904" s="42">
        <f>IF('G MTTS'!Z898=0," ",'G MTTS'!Z898*$A$3)</f>
        <v>5</v>
      </c>
      <c r="K904" s="43">
        <f>'G MTTS'!AF898</f>
        <v>40000</v>
      </c>
      <c r="L904" s="43">
        <f>'G MTTS'!X898</f>
        <v>0</v>
      </c>
      <c r="M904" s="43">
        <f>'G MTTS'!AA898</f>
        <v>100000</v>
      </c>
      <c r="N904" s="44">
        <f>'G MTTS'!AG898</f>
        <v>8</v>
      </c>
      <c r="O904" s="44">
        <f>'G MTTS'!AH898</f>
        <v>7</v>
      </c>
      <c r="P904" s="44">
        <f>'G MTTS'!AI898</f>
        <v>7</v>
      </c>
      <c r="Q904" s="45">
        <f>'G MTTS'!AJ898</f>
        <v>12</v>
      </c>
      <c r="R904" s="46">
        <f t="shared" si="79"/>
        <v>0.945150462962963</v>
      </c>
      <c r="S904" s="47" t="str">
        <f t="shared" si="81"/>
        <v>MICRO</v>
      </c>
    </row>
    <row r="905" ht="29.25" customHeight="1" outlineLevel="1" spans="1:19">
      <c r="B905" s="36">
        <f>'G MTTS'!B899</f>
        <v>0.875011574074074</v>
      </c>
      <c r="C905" s="178" t="str">
        <f>'G MTTS'!J899</f>
        <v>800 Omax PKO</v>
      </c>
      <c r="D905" s="49" t="str">
        <f>'G MTTS'!M899</f>
        <v>Side Event</v>
      </c>
      <c r="E905" s="50" t="str">
        <f>'G MTTS'!N899</f>
        <v>PLO4</v>
      </c>
      <c r="F905" s="51" t="str">
        <f>'G MTTS'!O899</f>
        <v>Progressive KO 1/2</v>
      </c>
      <c r="G905" s="52">
        <f>IF('G MTTS'!Q899=0," ",'G MTTS'!Q899*$A$3)</f>
        <v>800</v>
      </c>
      <c r="H905" s="53">
        <f>IF('G MTTS'!V899=0," ",'G MTTS'!V899*$A$3)</f>
        <v>3</v>
      </c>
      <c r="I905" s="53">
        <f>IF('G MTTS'!W899=0," ",'G MTTS'!W899*$A$3)</f>
        <v>3</v>
      </c>
      <c r="J905" s="53" t="str">
        <f>IF('G MTTS'!Z899=0," ",'G MTTS'!Z899*$A$3)</f>
        <v> </v>
      </c>
      <c r="K905" s="54">
        <f>'G MTTS'!AF899</f>
        <v>50000</v>
      </c>
      <c r="L905" s="54">
        <f>'G MTTS'!X899</f>
        <v>0</v>
      </c>
      <c r="M905" s="54" t="str">
        <f>'G MTTS'!AA899</f>
        <v>REENTRY</v>
      </c>
      <c r="N905" s="55">
        <f>'G MTTS'!AG899</f>
        <v>8</v>
      </c>
      <c r="O905" s="55">
        <f>'G MTTS'!AH899</f>
        <v>7</v>
      </c>
      <c r="P905" s="55">
        <f>'G MTTS'!AI899</f>
        <v>6</v>
      </c>
      <c r="Q905" s="56">
        <f>'G MTTS'!AJ899</f>
        <v>15</v>
      </c>
      <c r="R905" s="46">
        <f t="shared" si="79"/>
        <v>0.965289351851852</v>
      </c>
      <c r="S905" s="47" t="str">
        <f t="shared" si="81"/>
        <v>MICRO</v>
      </c>
    </row>
    <row r="906" ht="29.25" customHeight="1" outlineLevel="1" spans="1:19">
      <c r="B906" s="36">
        <f>'G MTTS'!B900</f>
        <v>0.875011574074074</v>
      </c>
      <c r="C906" s="179" t="str">
        <f>'G MTTS'!J900</f>
        <v>#AS 7.5K Plus</v>
      </c>
      <c r="D906" s="38" t="str">
        <f>'G MTTS'!M900</f>
        <v>Side Event</v>
      </c>
      <c r="E906" s="39" t="str">
        <f>'G MTTS'!N900</f>
        <v>NLH</v>
      </c>
      <c r="F906" s="40" t="str">
        <f>'G MTTS'!O900</f>
        <v>OFF</v>
      </c>
      <c r="G906" s="41">
        <f>IF('G MTTS'!Q900=0," ",'G MTTS'!Q900*$A$3)</f>
        <v>7500</v>
      </c>
      <c r="H906" s="42">
        <f>IF('G MTTS'!V900=0," ",'G MTTS'!V900*$A$3)</f>
        <v>5</v>
      </c>
      <c r="I906" s="42">
        <f>IF('G MTTS'!W900=0," ",'G MTTS'!W900*$A$3)</f>
        <v>5</v>
      </c>
      <c r="J906" s="42">
        <f>IF('G MTTS'!Z900=0," ",'G MTTS'!Z900*$A$3)</f>
        <v>5</v>
      </c>
      <c r="K906" s="43">
        <f>'G MTTS'!AF900</f>
        <v>30000</v>
      </c>
      <c r="L906" s="43">
        <f>'G MTTS'!X900</f>
        <v>0</v>
      </c>
      <c r="M906" s="43">
        <f>'G MTTS'!AA900</f>
        <v>120000</v>
      </c>
      <c r="N906" s="44">
        <f>'G MTTS'!AG900</f>
        <v>7</v>
      </c>
      <c r="O906" s="44">
        <f>'G MTTS'!AH900</f>
        <v>6</v>
      </c>
      <c r="P906" s="44">
        <f>'G MTTS'!AI900</f>
        <v>6</v>
      </c>
      <c r="Q906" s="45">
        <f>'G MTTS'!AJ900</f>
        <v>13</v>
      </c>
      <c r="R906" s="46">
        <f t="shared" si="79"/>
        <v>0.941678240740741</v>
      </c>
      <c r="S906" s="47" t="str">
        <f t="shared" si="81"/>
        <v>MICRO</v>
      </c>
    </row>
    <row r="907" ht="29.25" customHeight="1" outlineLevel="1" spans="1:19">
      <c r="A907" s="60" t="s">
        <v>525</v>
      </c>
      <c r="B907" s="36">
        <f>'G MTTS'!B901</f>
        <v>0.888900462962963</v>
      </c>
      <c r="C907" s="178" t="str">
        <f>'G MTTS'!J901</f>
        <v>1K Plus</v>
      </c>
      <c r="D907" s="49" t="str">
        <f>'G MTTS'!M901</f>
        <v>Side Event</v>
      </c>
      <c r="E907" s="50" t="str">
        <f>'G MTTS'!N901</f>
        <v>NLH</v>
      </c>
      <c r="F907" s="51" t="str">
        <f>'G MTTS'!O901</f>
        <v>OFF</v>
      </c>
      <c r="G907" s="52">
        <f>IF('G MTTS'!Q901=0," ",'G MTTS'!Q901*$A$3)</f>
        <v>1000</v>
      </c>
      <c r="H907" s="53">
        <f>IF('G MTTS'!V901=0," ",'G MTTS'!V901*$A$3)</f>
        <v>1</v>
      </c>
      <c r="I907" s="53">
        <f>IF('G MTTS'!W901=0," ",'G MTTS'!W901*$A$3)</f>
        <v>2</v>
      </c>
      <c r="J907" s="53">
        <f>IF('G MTTS'!Z901=0," ",'G MTTS'!Z901*$A$3)</f>
        <v>4</v>
      </c>
      <c r="K907" s="54">
        <f>'G MTTS'!AF901</f>
        <v>40000</v>
      </c>
      <c r="L907" s="54">
        <f>'G MTTS'!X901</f>
        <v>0</v>
      </c>
      <c r="M907" s="54">
        <f>'G MTTS'!AA901</f>
        <v>100000</v>
      </c>
      <c r="N907" s="55">
        <f>'G MTTS'!AG901</f>
        <v>7</v>
      </c>
      <c r="O907" s="55">
        <f>'G MTTS'!AH901</f>
        <v>6</v>
      </c>
      <c r="P907" s="55">
        <f>'G MTTS'!AI901</f>
        <v>5</v>
      </c>
      <c r="Q907" s="56">
        <f>'G MTTS'!AJ901</f>
        <v>15</v>
      </c>
      <c r="R907" s="46">
        <f t="shared" si="79"/>
        <v>0.965289351851852</v>
      </c>
      <c r="S907" s="47" t="str">
        <f t="shared" si="81"/>
        <v>MICRO</v>
      </c>
    </row>
    <row r="908" ht="29.25" customHeight="1" outlineLevel="1" spans="1:19">
      <c r="B908" s="36">
        <f>'G MTTS'!B902</f>
        <v>0.916678240740741</v>
      </c>
      <c r="C908" s="179" t="str">
        <f>'G MTTS'!J902</f>
        <v>#AS 12K Battle PKO</v>
      </c>
      <c r="D908" s="38" t="str">
        <f>'G MTTS'!M902</f>
        <v>Side Event</v>
      </c>
      <c r="E908" s="39" t="str">
        <f>'G MTTS'!N902</f>
        <v>NLH</v>
      </c>
      <c r="F908" s="40" t="str">
        <f>'G MTTS'!O902</f>
        <v>Progressive KO 1/2</v>
      </c>
      <c r="G908" s="41">
        <f>IF('G MTTS'!Q902=0," ",'G MTTS'!Q902*$A$3)</f>
        <v>12000</v>
      </c>
      <c r="H908" s="42">
        <f>IF('G MTTS'!V902=0," ",'G MTTS'!V902*$A$3)</f>
        <v>110</v>
      </c>
      <c r="I908" s="42">
        <f>IF('G MTTS'!W902=0," ",'G MTTS'!W902*$A$3)</f>
        <v>110</v>
      </c>
      <c r="J908" s="42" t="str">
        <f>IF('G MTTS'!Z902=0," ",'G MTTS'!Z902*$A$3)</f>
        <v> </v>
      </c>
      <c r="K908" s="43">
        <f>'G MTTS'!AF902</f>
        <v>50000</v>
      </c>
      <c r="L908" s="43">
        <f>'G MTTS'!X902</f>
        <v>0</v>
      </c>
      <c r="M908" s="43" t="str">
        <f>'G MTTS'!AA902</f>
        <v>REENTRY</v>
      </c>
      <c r="N908" s="44">
        <f>'G MTTS'!AG902</f>
        <v>8</v>
      </c>
      <c r="O908" s="44">
        <f>'G MTTS'!AH902</f>
        <v>8</v>
      </c>
      <c r="P908" s="44">
        <f>'G MTTS'!AI902</f>
        <v>8</v>
      </c>
      <c r="Q908" s="45">
        <f>'G MTTS'!AJ902</f>
        <v>15</v>
      </c>
      <c r="R908" s="46">
        <f t="shared" si="79"/>
        <v>1.00695601851852</v>
      </c>
      <c r="S908" s="47" t="str">
        <f t="shared" si="81"/>
        <v>MEDIUM</v>
      </c>
    </row>
    <row r="909" ht="29.25" customHeight="1" outlineLevel="1" spans="1:19">
      <c r="B909" s="36">
        <f>'G MTTS'!B903</f>
        <v>0.916678240740741</v>
      </c>
      <c r="C909" s="178" t="str">
        <f>'G MTTS'!J903</f>
        <v>#AS 20K Plus+SPS</v>
      </c>
      <c r="D909" s="49" t="str">
        <f>'G MTTS'!M903</f>
        <v>Side Event</v>
      </c>
      <c r="E909" s="50" t="str">
        <f>'G MTTS'!N903</f>
        <v>NLH</v>
      </c>
      <c r="F909" s="51" t="str">
        <f>'G MTTS'!O903</f>
        <v>OFF</v>
      </c>
      <c r="G909" s="52">
        <f>IF('G MTTS'!Q903=0," ",'G MTTS'!Q903*$A$3)</f>
        <v>21000</v>
      </c>
      <c r="H909" s="53">
        <f>IF('G MTTS'!V903=0," ",'G MTTS'!V903*$A$3)</f>
        <v>15</v>
      </c>
      <c r="I909" s="53">
        <f>IF('G MTTS'!W903=0," ",'G MTTS'!W903*$A$3)</f>
        <v>15</v>
      </c>
      <c r="J909" s="53">
        <f>IF('G MTTS'!Z903=0," ",'G MTTS'!Z903*$A$3)</f>
        <v>15</v>
      </c>
      <c r="K909" s="54">
        <f>'G MTTS'!AF903</f>
        <v>40000</v>
      </c>
      <c r="L909" s="54">
        <f>'G MTTS'!X903</f>
        <v>0</v>
      </c>
      <c r="M909" s="54">
        <f>'G MTTS'!AA903</f>
        <v>160000</v>
      </c>
      <c r="N909" s="55">
        <f>'G MTTS'!AG903</f>
        <v>8</v>
      </c>
      <c r="O909" s="55">
        <f>'G MTTS'!AH903</f>
        <v>7</v>
      </c>
      <c r="P909" s="55">
        <f>'G MTTS'!AI903</f>
        <v>7</v>
      </c>
      <c r="Q909" s="56">
        <f>'G MTTS'!AJ903</f>
        <v>13</v>
      </c>
      <c r="R909" s="46">
        <f t="shared" si="79"/>
        <v>0.992372685185185</v>
      </c>
      <c r="S909" s="47" t="str">
        <f t="shared" si="81"/>
        <v>MICRO</v>
      </c>
    </row>
    <row r="910" ht="29.25" customHeight="1" outlineLevel="1" spans="1:19">
      <c r="A910" s="60" t="s">
        <v>525</v>
      </c>
      <c r="B910" s="36">
        <f>'G MTTS'!B904</f>
        <v>0.916678240740741</v>
      </c>
      <c r="C910" s="179" t="str">
        <f>'G MTTS'!J904</f>
        <v>#AS 12K OmaX Turbo</v>
      </c>
      <c r="D910" s="38" t="str">
        <f>'G MTTS'!M904</f>
        <v>Side Event</v>
      </c>
      <c r="E910" s="39" t="str">
        <f>'G MTTS'!N904</f>
        <v>PLO5</v>
      </c>
      <c r="F910" s="40" t="str">
        <f>'G MTTS'!O904</f>
        <v>Progressive KO 1/2</v>
      </c>
      <c r="G910" s="41">
        <f>IF('G MTTS'!Q904=0," ",'G MTTS'!Q904*$A$3)</f>
        <v>12000</v>
      </c>
      <c r="H910" s="42">
        <f>IF('G MTTS'!V904=0," ",'G MTTS'!V904*$A$3)</f>
        <v>55</v>
      </c>
      <c r="I910" s="42">
        <f>IF('G MTTS'!W904=0," ",'G MTTS'!W904*$A$3)</f>
        <v>55</v>
      </c>
      <c r="J910" s="42" t="str">
        <f>IF('G MTTS'!Z904=0," ",'G MTTS'!Z904*$A$3)</f>
        <v> </v>
      </c>
      <c r="K910" s="43">
        <f>'G MTTS'!AF904</f>
        <v>50000</v>
      </c>
      <c r="L910" s="43">
        <f>'G MTTS'!X904</f>
        <v>0</v>
      </c>
      <c r="M910" s="43" t="str">
        <f>'G MTTS'!AA904</f>
        <v>REENTRY</v>
      </c>
      <c r="N910" s="44">
        <f>'G MTTS'!AG904</f>
        <v>7</v>
      </c>
      <c r="O910" s="44">
        <f>'G MTTS'!AH904</f>
        <v>6</v>
      </c>
      <c r="P910" s="44">
        <f>'G MTTS'!AI904</f>
        <v>7</v>
      </c>
      <c r="Q910" s="45">
        <f>'G MTTS'!AJ904</f>
        <v>13</v>
      </c>
      <c r="R910" s="46">
        <f t="shared" si="79"/>
        <v>0.983344907407407</v>
      </c>
      <c r="S910" s="47" t="str">
        <f t="shared" si="81"/>
        <v>LOW</v>
      </c>
    </row>
    <row r="911" ht="29.25" customHeight="1" outlineLevel="1" spans="1:19">
      <c r="B911" s="36">
        <f>'G MTTS'!B905</f>
        <v>0.927094907407407</v>
      </c>
      <c r="C911" s="178" t="str">
        <f>'G MTTS'!J905</f>
        <v>Sit&amp;go 200p max.</v>
      </c>
      <c r="D911" s="49" t="str">
        <f>'G MTTS'!M905</f>
        <v>Side Event</v>
      </c>
      <c r="E911" s="50" t="str">
        <f>'G MTTS'!N905</f>
        <v>NLH</v>
      </c>
      <c r="F911" s="51" t="str">
        <f>'G MTTS'!O905</f>
        <v>OFF</v>
      </c>
      <c r="G911" s="52">
        <f>IF('G MTTS'!Q905=0," ",'G MTTS'!Q905*$A$3)</f>
        <v>250</v>
      </c>
      <c r="H911" s="53">
        <f>IF('G MTTS'!V905=0," ",'G MTTS'!V905*$A$3)</f>
        <v>3</v>
      </c>
      <c r="I911" s="53">
        <f>IF('G MTTS'!W905=0," ",'G MTTS'!W905*$A$3)</f>
        <v>3</v>
      </c>
      <c r="J911" s="53">
        <f>IF('G MTTS'!Z905=0," ",'G MTTS'!Z905*$A$3)</f>
        <v>3</v>
      </c>
      <c r="K911" s="54">
        <f>'G MTTS'!AF905</f>
        <v>20000</v>
      </c>
      <c r="L911" s="54">
        <f>'G MTTS'!X905</f>
        <v>0</v>
      </c>
      <c r="M911" s="54">
        <f>'G MTTS'!AA905</f>
        <v>30000</v>
      </c>
      <c r="N911" s="55">
        <f>'G MTTS'!AG905</f>
        <v>5</v>
      </c>
      <c r="O911" s="55">
        <f>'G MTTS'!AH905</f>
        <v>5</v>
      </c>
      <c r="P911" s="55">
        <f>'G MTTS'!AI905</f>
        <v>5</v>
      </c>
      <c r="Q911" s="56">
        <f>'G MTTS'!AJ905</f>
        <v>15</v>
      </c>
      <c r="R911" s="46">
        <f t="shared" si="79"/>
        <v>0.982650462962963</v>
      </c>
      <c r="S911" s="47" t="str">
        <f t="shared" si="81"/>
        <v>MICRO</v>
      </c>
    </row>
    <row r="912" ht="29.25" customHeight="1" outlineLevel="1" spans="1:19">
      <c r="B912" s="36">
        <f>'G MTTS'!B906</f>
        <v>0.937511574074074</v>
      </c>
      <c r="C912" s="179" t="str">
        <f>'G MTTS'!J906</f>
        <v>#AS 1.2K Battle</v>
      </c>
      <c r="D912" s="38" t="str">
        <f>'G MTTS'!M906</f>
        <v>Side Event</v>
      </c>
      <c r="E912" s="39" t="str">
        <f>'G MTTS'!N906</f>
        <v>NLH</v>
      </c>
      <c r="F912" s="40" t="str">
        <f>'G MTTS'!O906</f>
        <v>Regular KO 1/2</v>
      </c>
      <c r="G912" s="41">
        <f>IF('G MTTS'!Q906=0," ",'G MTTS'!Q906*$A$3)</f>
        <v>1200</v>
      </c>
      <c r="H912" s="42">
        <f>IF('G MTTS'!V906=0," ",'G MTTS'!V906*$A$3)</f>
        <v>20</v>
      </c>
      <c r="I912" s="42">
        <f>IF('G MTTS'!W906=0," ",'G MTTS'!W906*$A$3)</f>
        <v>20</v>
      </c>
      <c r="J912" s="42" t="str">
        <f>IF('G MTTS'!Z906=0," ",'G MTTS'!Z906*$A$3)</f>
        <v> </v>
      </c>
      <c r="K912" s="43">
        <f>'G MTTS'!AF906</f>
        <v>30000</v>
      </c>
      <c r="L912" s="43">
        <f>'G MTTS'!X906</f>
        <v>0</v>
      </c>
      <c r="M912" s="43" t="str">
        <f>'G MTTS'!AA906</f>
        <v>REENTRY</v>
      </c>
      <c r="N912" s="44">
        <f>'G MTTS'!AG906</f>
        <v>8</v>
      </c>
      <c r="O912" s="44">
        <f>'G MTTS'!AH906</f>
        <v>7</v>
      </c>
      <c r="P912" s="44">
        <f>'G MTTS'!AI906</f>
        <v>7</v>
      </c>
      <c r="Q912" s="45">
        <f>'G MTTS'!AJ906</f>
        <v>13</v>
      </c>
      <c r="R912" s="46">
        <f t="shared" si="79"/>
        <v>1.01320601851852</v>
      </c>
      <c r="S912" s="47" t="str">
        <f t="shared" si="81"/>
        <v>MICRO</v>
      </c>
    </row>
    <row r="913" ht="29.25" customHeight="1" outlineLevel="1" spans="1:19">
      <c r="A913" s="60" t="s">
        <v>525</v>
      </c>
      <c r="B913" s="61">
        <f>'G MTTS'!B907</f>
        <v>0.958344907407407</v>
      </c>
      <c r="C913" s="48" t="str">
        <f>'G MTTS'!J907</f>
        <v>#AS 4K Plus+SPS</v>
      </c>
      <c r="D913" s="49" t="str">
        <f>'G MTTS'!M907</f>
        <v>Side Event</v>
      </c>
      <c r="E913" s="50" t="str">
        <f>'G MTTS'!N907</f>
        <v>NLH</v>
      </c>
      <c r="F913" s="51" t="str">
        <f>'G MTTS'!O907</f>
        <v>OFF</v>
      </c>
      <c r="G913" s="52">
        <f>IF('G MTTS'!Q907=0," ",'G MTTS'!Q907*$A$3)</f>
        <v>4150</v>
      </c>
      <c r="H913" s="53">
        <f>IF('G MTTS'!V907=0," ",'G MTTS'!V907*$A$3)</f>
        <v>4</v>
      </c>
      <c r="I913" s="53">
        <f>IF('G MTTS'!W907=0," ",'G MTTS'!W907*$A$3)</f>
        <v>4</v>
      </c>
      <c r="J913" s="53">
        <f>IF('G MTTS'!Z907=0," ",'G MTTS'!Z907*$A$3)</f>
        <v>4</v>
      </c>
      <c r="K913" s="54">
        <f>'G MTTS'!AF907</f>
        <v>20000</v>
      </c>
      <c r="L913" s="54">
        <f>'G MTTS'!X907</f>
        <v>0</v>
      </c>
      <c r="M913" s="54">
        <f>'G MTTS'!AA907</f>
        <v>60000</v>
      </c>
      <c r="N913" s="55">
        <f>'G MTTS'!AG907</f>
        <v>6</v>
      </c>
      <c r="O913" s="55">
        <f>'G MTTS'!AH907</f>
        <v>5</v>
      </c>
      <c r="P913" s="55">
        <f>'G MTTS'!AI907</f>
        <v>6</v>
      </c>
      <c r="Q913" s="56">
        <f>'G MTTS'!AJ907</f>
        <v>12</v>
      </c>
      <c r="R913" s="46">
        <f t="shared" si="79"/>
        <v>1.01181712962963</v>
      </c>
      <c r="S913" s="47" t="str">
        <f t="shared" si="81"/>
        <v>MICRO</v>
      </c>
    </row>
    <row r="914" ht="29.25" customHeight="1" outlineLevel="1" spans="1:19">
      <c r="B914" s="36">
        <f>'G MTTS'!B908</f>
        <v>0.958344907407407</v>
      </c>
      <c r="C914" s="37" t="str">
        <f>'G MTTS'!J908</f>
        <v>400 Plus</v>
      </c>
      <c r="D914" s="38" t="str">
        <f>'G MTTS'!M908</f>
        <v>Side Event</v>
      </c>
      <c r="E914" s="39" t="str">
        <f>'G MTTS'!N908</f>
        <v>NLH</v>
      </c>
      <c r="F914" s="40" t="str">
        <f>'G MTTS'!O908</f>
        <v>OFF</v>
      </c>
      <c r="G914" s="41">
        <f>IF('G MTTS'!Q908=0," ",'G MTTS'!Q908*$A$3)</f>
        <v>400</v>
      </c>
      <c r="H914" s="42">
        <f>IF('G MTTS'!V908=0," ",'G MTTS'!V908*$A$3)</f>
        <v>1</v>
      </c>
      <c r="I914" s="42">
        <f>IF('G MTTS'!W908=0," ",'G MTTS'!W908*$A$3)</f>
        <v>1</v>
      </c>
      <c r="J914" s="42">
        <f>IF('G MTTS'!Z908=0," ",'G MTTS'!Z908*$A$3)</f>
        <v>1</v>
      </c>
      <c r="K914" s="43">
        <f>'G MTTS'!AF908</f>
        <v>20000</v>
      </c>
      <c r="L914" s="43">
        <f>'G MTTS'!X908</f>
        <v>0</v>
      </c>
      <c r="M914" s="43">
        <f>'G MTTS'!AA908</f>
        <v>50000</v>
      </c>
      <c r="N914" s="44">
        <f>'G MTTS'!AG908</f>
        <v>5</v>
      </c>
      <c r="O914" s="44">
        <f>'G MTTS'!AH908</f>
        <v>5</v>
      </c>
      <c r="P914" s="44">
        <f>'G MTTS'!AI908</f>
        <v>5</v>
      </c>
      <c r="Q914" s="45">
        <f>'G MTTS'!AJ908</f>
        <v>12</v>
      </c>
      <c r="R914" s="46">
        <f t="shared" si="79"/>
        <v>1.0034837962963</v>
      </c>
      <c r="S914" s="47" t="str">
        <f t="shared" si="81"/>
        <v>MICRO</v>
      </c>
    </row>
    <row r="915" ht="29.25" customHeight="1" outlineLevel="1" spans="1:19">
      <c r="B915" s="61">
        <f>'G MTTS'!B909</f>
        <v>0.958344907407407</v>
      </c>
      <c r="C915" s="178" t="str">
        <f>'G MTTS'!J909</f>
        <v>#AS 8K Bounty Night</v>
      </c>
      <c r="D915" s="49" t="str">
        <f>'G MTTS'!M909</f>
        <v>Side Event</v>
      </c>
      <c r="E915" s="50" t="str">
        <f>'G MTTS'!N909</f>
        <v>NLH</v>
      </c>
      <c r="F915" s="51" t="str">
        <f>'G MTTS'!O909</f>
        <v>Progressive KO 1/2</v>
      </c>
      <c r="G915" s="52">
        <f>IF('G MTTS'!Q909=0," ",'G MTTS'!Q909*$A$3)</f>
        <v>8000</v>
      </c>
      <c r="H915" s="53">
        <f>IF('G MTTS'!V909=0," ",'G MTTS'!V909*$A$3)</f>
        <v>55</v>
      </c>
      <c r="I915" s="53">
        <f>IF('G MTTS'!W909=0," ",'G MTTS'!W909*$A$3)</f>
        <v>55</v>
      </c>
      <c r="J915" s="53" t="str">
        <f>IF('G MTTS'!Z909=0," ",'G MTTS'!Z909*$A$3)</f>
        <v> </v>
      </c>
      <c r="K915" s="54">
        <f>'G MTTS'!AF909</f>
        <v>50000</v>
      </c>
      <c r="L915" s="54">
        <f>'G MTTS'!X909</f>
        <v>0</v>
      </c>
      <c r="M915" s="54" t="str">
        <f>'G MTTS'!AA909</f>
        <v>REENTRY</v>
      </c>
      <c r="N915" s="55">
        <f>'G MTTS'!AG909</f>
        <v>6</v>
      </c>
      <c r="O915" s="55">
        <f>'G MTTS'!AH909</f>
        <v>6</v>
      </c>
      <c r="P915" s="55">
        <f>'G MTTS'!AI909</f>
        <v>6</v>
      </c>
      <c r="Q915" s="56">
        <f>'G MTTS'!AJ909</f>
        <v>13</v>
      </c>
      <c r="R915" s="46">
        <f t="shared" si="79"/>
        <v>1.0159837962963</v>
      </c>
      <c r="S915" s="47" t="str">
        <f t="shared" si="81"/>
        <v>LOW</v>
      </c>
    </row>
    <row r="916" ht="29.25" customHeight="1" outlineLevel="1" spans="1:19">
      <c r="A916" s="60" t="s">
        <v>525</v>
      </c>
      <c r="B916" s="36">
        <f>'G MTTS'!B910</f>
        <v>0.965289351851852</v>
      </c>
      <c r="C916" s="179" t="str">
        <f>'G MTTS'!J910</f>
        <v>400 Omax</v>
      </c>
      <c r="D916" s="38" t="str">
        <f>'G MTTS'!M910</f>
        <v>Side Event</v>
      </c>
      <c r="E916" s="39" t="str">
        <f>'G MTTS'!N910</f>
        <v>PLO4</v>
      </c>
      <c r="F916" s="40" t="str">
        <f>'G MTTS'!O910</f>
        <v>OFF</v>
      </c>
      <c r="G916" s="41">
        <f>IF('G MTTS'!Q910=0," ",'G MTTS'!Q910*$A$3)</f>
        <v>400</v>
      </c>
      <c r="H916" s="42">
        <f>IF('G MTTS'!V910=0," ",'G MTTS'!V910*$A$3)</f>
        <v>3</v>
      </c>
      <c r="I916" s="42">
        <f>IF('G MTTS'!W910=0," ",'G MTTS'!W910*$A$3)</f>
        <v>3</v>
      </c>
      <c r="J916" s="42">
        <f>IF('G MTTS'!Z910=0," ",'G MTTS'!Z910*$A$3)</f>
        <v>3</v>
      </c>
      <c r="K916" s="43">
        <f>'G MTTS'!AF910</f>
        <v>40000</v>
      </c>
      <c r="L916" s="43">
        <f>'G MTTS'!X910</f>
        <v>0</v>
      </c>
      <c r="M916" s="43">
        <f>'G MTTS'!AA910</f>
        <v>80000</v>
      </c>
      <c r="N916" s="44">
        <f>'G MTTS'!AG910</f>
        <v>6</v>
      </c>
      <c r="O916" s="44">
        <f>'G MTTS'!AH910</f>
        <v>5</v>
      </c>
      <c r="P916" s="44">
        <f>'G MTTS'!AI910</f>
        <v>5</v>
      </c>
      <c r="Q916" s="45">
        <f>'G MTTS'!AJ910</f>
        <v>12</v>
      </c>
      <c r="R916" s="46">
        <f t="shared" si="79"/>
        <v>1.01876157407407</v>
      </c>
      <c r="S916" s="47" t="str">
        <f t="shared" si="81"/>
        <v>MICRO</v>
      </c>
    </row>
    <row r="917" ht="29.25" customHeight="1" outlineLevel="1" spans="1:19">
      <c r="B917" s="36">
        <f>'G MTTS'!B911</f>
        <v>0.979178240740741</v>
      </c>
      <c r="C917" s="178" t="str">
        <f>'G MTTS'!J911</f>
        <v>#AS 1.2K Mystery</v>
      </c>
      <c r="D917" s="49" t="str">
        <f>'G MTTS'!M911</f>
        <v>Side Event</v>
      </c>
      <c r="E917" s="50" t="str">
        <f>'G MTTS'!N911</f>
        <v>NLH</v>
      </c>
      <c r="F917" s="51" t="str">
        <f>'G MTTS'!O911</f>
        <v>Mystery Bounty 1/3</v>
      </c>
      <c r="G917" s="52">
        <f>IF('G MTTS'!Q911=0," ",'G MTTS'!Q911*$A$3)</f>
        <v>1200</v>
      </c>
      <c r="H917" s="53">
        <f>IF('G MTTS'!V911=0," ",'G MTTS'!V911*$A$3)</f>
        <v>10</v>
      </c>
      <c r="I917" s="53">
        <f>IF('G MTTS'!W911=0," ",'G MTTS'!W911*$A$3)</f>
        <v>10</v>
      </c>
      <c r="J917" s="53" t="str">
        <f>IF('G MTTS'!Z911=0," ",'G MTTS'!Z911*$A$3)</f>
        <v> </v>
      </c>
      <c r="K917" s="54">
        <f>'G MTTS'!AF911</f>
        <v>30000</v>
      </c>
      <c r="L917" s="54">
        <f>'G MTTS'!X911</f>
        <v>0</v>
      </c>
      <c r="M917" s="54" t="str">
        <f>'G MTTS'!AA911</f>
        <v>REENTRY</v>
      </c>
      <c r="N917" s="55">
        <f>'G MTTS'!AG911</f>
        <v>5</v>
      </c>
      <c r="O917" s="55">
        <f>'G MTTS'!AH911</f>
        <v>5</v>
      </c>
      <c r="P917" s="55">
        <f>'G MTTS'!AI911</f>
        <v>5</v>
      </c>
      <c r="Q917" s="56">
        <f>'G MTTS'!AJ911</f>
        <v>13</v>
      </c>
      <c r="R917" s="46">
        <f t="shared" si="79"/>
        <v>1.02778935185185</v>
      </c>
      <c r="S917" s="47" t="str">
        <f t="shared" si="81"/>
        <v>MICRO</v>
      </c>
    </row>
    <row r="918" ht="29.25" customHeight="1" outlineLevel="1" spans="1:19">
      <c r="B918" s="36">
        <f>'G MTTS'!B912</f>
        <v>0.979178240740741</v>
      </c>
      <c r="C918" s="179" t="str">
        <f>'G MTTS'!J912</f>
        <v>#AS 15K Sonic</v>
      </c>
      <c r="D918" s="38" t="str">
        <f>'G MTTS'!M912</f>
        <v>Side Event</v>
      </c>
      <c r="E918" s="39" t="str">
        <f>'G MTTS'!N912</f>
        <v>NLH</v>
      </c>
      <c r="F918" s="40" t="str">
        <f>'G MTTS'!O912</f>
        <v>OFF</v>
      </c>
      <c r="G918" s="41">
        <f>IF('G MTTS'!Q912=0," ",'G MTTS'!Q912*$A$3)</f>
        <v>15000</v>
      </c>
      <c r="H918" s="42">
        <f>IF('G MTTS'!V912=0," ",'G MTTS'!V912*$A$3)</f>
        <v>150</v>
      </c>
      <c r="I918" s="42">
        <f>IF('G MTTS'!W912=0," ",'G MTTS'!W912*$A$3)</f>
        <v>150</v>
      </c>
      <c r="J918" s="42" t="str">
        <f>IF('G MTTS'!Z912=0," ",'G MTTS'!Z912*$A$3)</f>
        <v> </v>
      </c>
      <c r="K918" s="43">
        <f>'G MTTS'!AF912</f>
        <v>50000</v>
      </c>
      <c r="L918" s="43">
        <f>'G MTTS'!X912</f>
        <v>0</v>
      </c>
      <c r="M918" s="43" t="str">
        <f>'G MTTS'!AA912</f>
        <v>REENTRY</v>
      </c>
      <c r="N918" s="44">
        <f>'G MTTS'!AG912</f>
        <v>6</v>
      </c>
      <c r="O918" s="44">
        <f>'G MTTS'!AH912</f>
        <v>5</v>
      </c>
      <c r="P918" s="44">
        <f>'G MTTS'!AI912</f>
        <v>6</v>
      </c>
      <c r="Q918" s="45">
        <f>'G MTTS'!AJ912</f>
        <v>13</v>
      </c>
      <c r="R918" s="46">
        <f t="shared" si="79"/>
        <v>1.03681712962963</v>
      </c>
      <c r="S918" s="47" t="str">
        <f t="shared" si="81"/>
        <v>MEDIUM</v>
      </c>
    </row>
    <row r="919" ht="29.25" customHeight="1" outlineLevel="1" spans="1:19">
      <c r="A919" s="60"/>
      <c r="B919" s="153"/>
      <c r="C919" s="154"/>
      <c r="D919" s="155"/>
      <c r="E919" s="156"/>
      <c r="F919" s="157"/>
      <c r="G919" s="158"/>
      <c r="H919" s="159"/>
      <c r="I919" s="159"/>
      <c r="J919" s="159"/>
      <c r="K919" s="160"/>
      <c r="L919" s="160"/>
      <c r="M919" s="160"/>
      <c r="N919" s="161"/>
      <c r="O919" s="161"/>
      <c r="P919" s="161"/>
      <c r="Q919" s="162"/>
      <c r="R919" s="46"/>
      <c r="S919" s="47" t="str">
        <f t="shared" si="81"/>
        <v> </v>
      </c>
    </row>
    <row r="920" ht="29.25" customHeight="1" outlineLevel="1" spans="1:19">
      <c r="A920" s="198" t="s">
        <v>193</v>
      </c>
      <c r="B920" s="199"/>
      <c r="C920" s="96" t="s">
        <v>514</v>
      </c>
      <c r="Q920" s="22"/>
      <c r="R920" s="46" t="str">
        <f t="shared" ref="R920:R927" si="82">IF(B920=0," ",TIME(,ROUNDDOWN(N920*Q920/60,0)*5+(N920*Q920),)+B920)</f>
        <v> </v>
      </c>
      <c r="S920" s="47" t="str">
        <f t="shared" si="81"/>
        <v> </v>
      </c>
    </row>
    <row r="921" ht="29.25" customHeight="1" outlineLevel="1" spans="1:19">
      <c r="A921" s="121" t="str">
        <f>'G MTTS'!J914</f>
        <v>#AS Supremo</v>
      </c>
      <c r="B921" s="122">
        <f>'G MTTS'!B914</f>
        <v>0.333344907407407</v>
      </c>
      <c r="C921" s="123" t="str">
        <f>'G MTTS'!L914</f>
        <v>8 Seats Supremo</v>
      </c>
      <c r="D921" s="120" t="str">
        <f>'G MTTS'!M914</f>
        <v>SAT</v>
      </c>
      <c r="E921" s="101" t="str">
        <f>'G MTTS'!N914</f>
        <v>NLH</v>
      </c>
      <c r="F921" s="102" t="str">
        <f>'G MTTS'!O914</f>
        <v>OFF</v>
      </c>
      <c r="G921" s="103">
        <f>IF('G MTTS'!Q914=0," ",'G MTTS'!Q914*$A$3)</f>
        <v>4400</v>
      </c>
      <c r="H921" s="104">
        <f>IF('G MTTS'!V914=0," ",'G MTTS'!V914*$A$3)</f>
        <v>25</v>
      </c>
      <c r="I921" s="104">
        <f>IF('G MTTS'!W914=0," ",'G MTTS'!W914*$A$3)</f>
        <v>25</v>
      </c>
      <c r="J921" s="104">
        <f>IF('G MTTS'!Z914=0," ",'G MTTS'!Z914*$A$3)</f>
        <v>30</v>
      </c>
      <c r="K921" s="105">
        <f>'G MTTS'!AF914</f>
        <v>20000</v>
      </c>
      <c r="L921" s="105">
        <f>'G MTTS'!X914</f>
        <v>0</v>
      </c>
      <c r="M921" s="105">
        <f>'G MTTS'!AA914</f>
        <v>50000</v>
      </c>
      <c r="N921" s="106">
        <f>'G MTTS'!AG914</f>
        <v>8</v>
      </c>
      <c r="O921" s="106">
        <f>'G MTTS'!AH914</f>
        <v>6</v>
      </c>
      <c r="P921" s="106">
        <f>'G MTTS'!AI914</f>
        <v>6</v>
      </c>
      <c r="Q921" s="107">
        <f>'G MTTS'!AJ914</f>
        <v>12</v>
      </c>
      <c r="R921" s="46">
        <f t="shared" si="82"/>
        <v>0.403483796296296</v>
      </c>
      <c r="S921" s="47" t="str">
        <f t="shared" si="81"/>
        <v>MICRO</v>
      </c>
    </row>
    <row r="922" ht="29.25" customHeight="1" outlineLevel="1" spans="1:19">
      <c r="A922" s="29"/>
      <c r="B922" s="128">
        <f>'G MTTS'!B915</f>
        <v>0.416678240740741</v>
      </c>
      <c r="C922" s="129" t="str">
        <f>'G MTTS'!L915</f>
        <v>10 Seats Supremo</v>
      </c>
      <c r="D922" s="120" t="str">
        <f>'G MTTS'!M915</f>
        <v>SAT</v>
      </c>
      <c r="E922" s="101" t="str">
        <f>'G MTTS'!N915</f>
        <v>NLH</v>
      </c>
      <c r="F922" s="102" t="str">
        <f>'G MTTS'!O915</f>
        <v>OFF</v>
      </c>
      <c r="G922" s="103">
        <f>IF('G MTTS'!Q915=0," ",'G MTTS'!Q915*$A$3)</f>
        <v>5500</v>
      </c>
      <c r="H922" s="104">
        <f>IF('G MTTS'!V915=0," ",'G MTTS'!V915*$A$3)</f>
        <v>60</v>
      </c>
      <c r="I922" s="104">
        <f>IF('G MTTS'!W915=0," ",'G MTTS'!W915*$A$3)</f>
        <v>60</v>
      </c>
      <c r="J922" s="104" t="str">
        <f>IF('G MTTS'!Z915=0," ",'G MTTS'!Z915*$A$3)</f>
        <v> </v>
      </c>
      <c r="K922" s="105">
        <f>'G MTTS'!AF915</f>
        <v>30000</v>
      </c>
      <c r="L922" s="105">
        <f>'G MTTS'!X915</f>
        <v>0</v>
      </c>
      <c r="M922" s="105" t="str">
        <f>'G MTTS'!AA915</f>
        <v>REENTRY</v>
      </c>
      <c r="N922" s="106">
        <f>'G MTTS'!AG915</f>
        <v>5</v>
      </c>
      <c r="O922" s="106">
        <f>'G MTTS'!AH915</f>
        <v>5</v>
      </c>
      <c r="P922" s="106">
        <f>'G MTTS'!AI915</f>
        <v>5</v>
      </c>
      <c r="Q922" s="107">
        <f>'G MTTS'!AJ915</f>
        <v>13</v>
      </c>
      <c r="R922" s="46">
        <f t="shared" si="82"/>
        <v>0.465289351851852</v>
      </c>
      <c r="S922" s="47" t="str">
        <f t="shared" si="81"/>
        <v>LOW</v>
      </c>
    </row>
    <row r="923" ht="29.25" customHeight="1" outlineLevel="1" spans="1:19">
      <c r="A923" s="29"/>
      <c r="B923" s="128">
        <f>'G MTTS'!B916</f>
        <v>0.479178240740741</v>
      </c>
      <c r="C923" s="129" t="str">
        <f>'G MTTS'!L916</f>
        <v>40 Seats Supremo</v>
      </c>
      <c r="D923" s="120" t="str">
        <f>'G MTTS'!M916</f>
        <v>SAT</v>
      </c>
      <c r="E923" s="101" t="str">
        <f>'G MTTS'!N916</f>
        <v>NLH</v>
      </c>
      <c r="F923" s="102" t="str">
        <f>'G MTTS'!O916</f>
        <v>OFF</v>
      </c>
      <c r="G923" s="103">
        <f>IF('G MTTS'!Q916=0," ",'G MTTS'!Q916*$A$3)</f>
        <v>22000</v>
      </c>
      <c r="H923" s="104">
        <f>IF('G MTTS'!V916=0," ",'G MTTS'!V916*$A$3)</f>
        <v>30</v>
      </c>
      <c r="I923" s="104">
        <f>IF('G MTTS'!W916=0," ",'G MTTS'!W916*$A$3)</f>
        <v>30</v>
      </c>
      <c r="J923" s="104">
        <f>IF('G MTTS'!Z916=0," ",'G MTTS'!Z916*$A$3)</f>
        <v>30</v>
      </c>
      <c r="K923" s="105">
        <f>'G MTTS'!AF916</f>
        <v>10000</v>
      </c>
      <c r="L923" s="105">
        <f>'G MTTS'!X916</f>
        <v>0</v>
      </c>
      <c r="M923" s="105">
        <f>'G MTTS'!AA916</f>
        <v>20000</v>
      </c>
      <c r="N923" s="106">
        <f>'G MTTS'!AG916</f>
        <v>5</v>
      </c>
      <c r="O923" s="106">
        <f>'G MTTS'!AH916</f>
        <v>5</v>
      </c>
      <c r="P923" s="106">
        <f>'G MTTS'!AI916</f>
        <v>5</v>
      </c>
      <c r="Q923" s="107">
        <f>'G MTTS'!AJ916</f>
        <v>11</v>
      </c>
      <c r="R923" s="46">
        <f t="shared" si="82"/>
        <v>0.517372685185185</v>
      </c>
      <c r="S923" s="47" t="str">
        <f t="shared" si="81"/>
        <v>LOW</v>
      </c>
    </row>
    <row r="924" ht="29.25" customHeight="1" outlineLevel="1" spans="1:19">
      <c r="A924" s="29"/>
      <c r="B924" s="128">
        <f>'G MTTS'!B917</f>
        <v>0.520844907407407</v>
      </c>
      <c r="C924" s="129" t="str">
        <f>'G MTTS'!L917</f>
        <v>15 Seats Supremo</v>
      </c>
      <c r="D924" s="120" t="str">
        <f>'G MTTS'!M917</f>
        <v>SAT</v>
      </c>
      <c r="E924" s="101" t="str">
        <f>'G MTTS'!N917</f>
        <v>NLH</v>
      </c>
      <c r="F924" s="102" t="str">
        <f>'G MTTS'!O917</f>
        <v>OFF</v>
      </c>
      <c r="G924" s="103">
        <f>IF('G MTTS'!Q917=0," ",'G MTTS'!Q917*$A$3)</f>
        <v>8250</v>
      </c>
      <c r="H924" s="104">
        <f>IF('G MTTS'!V917=0," ",'G MTTS'!V917*$A$3)</f>
        <v>75</v>
      </c>
      <c r="I924" s="104">
        <f>IF('G MTTS'!W917=0," ",'G MTTS'!W917*$A$3)</f>
        <v>75</v>
      </c>
      <c r="J924" s="104" t="str">
        <f>IF('G MTTS'!Z917=0," ",'G MTTS'!Z917*$A$3)</f>
        <v> </v>
      </c>
      <c r="K924" s="105">
        <f>'G MTTS'!AF917</f>
        <v>30000</v>
      </c>
      <c r="L924" s="105">
        <f>'G MTTS'!X917</f>
        <v>0</v>
      </c>
      <c r="M924" s="105" t="str">
        <f>'G MTTS'!AA917</f>
        <v>REENTRY</v>
      </c>
      <c r="N924" s="106">
        <f>'G MTTS'!AG917</f>
        <v>5</v>
      </c>
      <c r="O924" s="106">
        <f>'G MTTS'!AH917</f>
        <v>5</v>
      </c>
      <c r="P924" s="106">
        <f>'G MTTS'!AI917</f>
        <v>5</v>
      </c>
      <c r="Q924" s="107">
        <f>'G MTTS'!AJ917</f>
        <v>12</v>
      </c>
      <c r="R924" s="46">
        <f t="shared" si="82"/>
        <v>0.565983796296296</v>
      </c>
      <c r="S924" s="47" t="str">
        <f t="shared" si="81"/>
        <v>LOW</v>
      </c>
    </row>
    <row r="925" ht="29.25" customHeight="1" outlineLevel="1" spans="1:19">
      <c r="A925" s="29"/>
      <c r="B925" s="128">
        <f>'G MTTS'!B918</f>
        <v>0.541678240740741</v>
      </c>
      <c r="C925" s="129" t="str">
        <f>'G MTTS'!L918</f>
        <v>30 Seats Supremo</v>
      </c>
      <c r="D925" s="120" t="str">
        <f>'G MTTS'!M918</f>
        <v>SAT</v>
      </c>
      <c r="E925" s="101" t="str">
        <f>'G MTTS'!N918</f>
        <v>NLH</v>
      </c>
      <c r="F925" s="102" t="str">
        <f>'G MTTS'!O918</f>
        <v>OFF</v>
      </c>
      <c r="G925" s="103">
        <f>IF('G MTTS'!Q918=0," ",'G MTTS'!Q918*$A$3)</f>
        <v>16500</v>
      </c>
      <c r="H925" s="104">
        <f>IF('G MTTS'!V918=0," ",'G MTTS'!V918*$A$3)</f>
        <v>30</v>
      </c>
      <c r="I925" s="104">
        <f>IF('G MTTS'!W918=0," ",'G MTTS'!W918*$A$3)</f>
        <v>30</v>
      </c>
      <c r="J925" s="104">
        <f>IF('G MTTS'!Z918=0," ",'G MTTS'!Z918*$A$3)</f>
        <v>35</v>
      </c>
      <c r="K925" s="105">
        <f>'G MTTS'!AF918</f>
        <v>10000</v>
      </c>
      <c r="L925" s="105">
        <f>'G MTTS'!X918</f>
        <v>0</v>
      </c>
      <c r="M925" s="105">
        <f>'G MTTS'!AA918</f>
        <v>20000</v>
      </c>
      <c r="N925" s="106">
        <f>'G MTTS'!AG918</f>
        <v>4</v>
      </c>
      <c r="O925" s="106">
        <f>'G MTTS'!AH918</f>
        <v>4</v>
      </c>
      <c r="P925" s="106">
        <f>'G MTTS'!AI918</f>
        <v>4</v>
      </c>
      <c r="Q925" s="107">
        <f>'G MTTS'!AJ918</f>
        <v>11</v>
      </c>
      <c r="R925" s="46">
        <f t="shared" si="82"/>
        <v>0.572233796296296</v>
      </c>
      <c r="S925" s="47" t="str">
        <f t="shared" si="81"/>
        <v>LOW</v>
      </c>
    </row>
    <row r="926" ht="29.25" customHeight="1" outlineLevel="1" spans="1:19">
      <c r="A926" s="29"/>
      <c r="B926" s="128">
        <f>'G MTTS'!B919</f>
        <v>0.583344907407407</v>
      </c>
      <c r="C926" s="129" t="str">
        <f>'G MTTS'!L919</f>
        <v>20 Seats Supremo</v>
      </c>
      <c r="D926" s="120" t="str">
        <f>'G MTTS'!M919</f>
        <v>SAT</v>
      </c>
      <c r="E926" s="101" t="str">
        <f>'G MTTS'!N919</f>
        <v>NLH</v>
      </c>
      <c r="F926" s="102" t="str">
        <f>'G MTTS'!O919</f>
        <v>OFF</v>
      </c>
      <c r="G926" s="103">
        <f>IF('G MTTS'!Q919=0," ",'G MTTS'!Q919*$A$3)</f>
        <v>11000</v>
      </c>
      <c r="H926" s="104">
        <f>IF('G MTTS'!V919=0," ",'G MTTS'!V919*$A$3)</f>
        <v>30</v>
      </c>
      <c r="I926" s="104">
        <f>IF('G MTTS'!W919=0," ",'G MTTS'!W919*$A$3)</f>
        <v>30</v>
      </c>
      <c r="J926" s="104">
        <f>IF('G MTTS'!Z919=0," ",'G MTTS'!Z919*$A$3)</f>
        <v>35</v>
      </c>
      <c r="K926" s="105">
        <f>'G MTTS'!AF919</f>
        <v>10000</v>
      </c>
      <c r="L926" s="105">
        <f>'G MTTS'!X919</f>
        <v>0</v>
      </c>
      <c r="M926" s="105">
        <f>'G MTTS'!AA919</f>
        <v>20000</v>
      </c>
      <c r="N926" s="106">
        <f>'G MTTS'!AG919</f>
        <v>4</v>
      </c>
      <c r="O926" s="106">
        <f>'G MTTS'!AH919</f>
        <v>3</v>
      </c>
      <c r="P926" s="106">
        <f>'G MTTS'!AI919</f>
        <v>3</v>
      </c>
      <c r="Q926" s="107">
        <f>'G MTTS'!AJ919</f>
        <v>11</v>
      </c>
      <c r="R926" s="46">
        <f t="shared" si="82"/>
        <v>0.613900462962963</v>
      </c>
      <c r="S926" s="47" t="str">
        <f t="shared" si="81"/>
        <v>LOW</v>
      </c>
    </row>
    <row r="927" ht="29.25" customHeight="1" outlineLevel="1" spans="1:19">
      <c r="A927" s="124"/>
      <c r="B927" s="125">
        <f>'G MTTS'!B920</f>
        <v>0.621539351851852</v>
      </c>
      <c r="C927" s="126" t="str">
        <f>'G MTTS'!L920</f>
        <v>FreeBuy Supremo</v>
      </c>
      <c r="D927" s="120" t="str">
        <f>'G MTTS'!M920</f>
        <v>SAT</v>
      </c>
      <c r="E927" s="101" t="str">
        <f>'G MTTS'!N920</f>
        <v>NLH</v>
      </c>
      <c r="F927" s="102" t="str">
        <f>'G MTTS'!O920</f>
        <v>OFF</v>
      </c>
      <c r="G927" s="103">
        <f>IF('G MTTS'!Q920=0," ",'G MTTS'!Q920*$A$3)</f>
        <v>1100</v>
      </c>
      <c r="H927" s="104" t="str">
        <f>IF('G MTTS'!V920=0," ",'G MTTS'!V920*$A$3)</f>
        <v> </v>
      </c>
      <c r="I927" s="104">
        <f>IF('G MTTS'!W920=0," ",'G MTTS'!W920*$A$3)</f>
        <v>5</v>
      </c>
      <c r="J927" s="104">
        <f>IF('G MTTS'!Z920=0," ",'G MTTS'!Z920*$A$3)</f>
        <v>10</v>
      </c>
      <c r="K927" s="105">
        <f>'G MTTS'!AF920</f>
        <v>10000</v>
      </c>
      <c r="L927" s="105">
        <f>'G MTTS'!X920</f>
        <v>0</v>
      </c>
      <c r="M927" s="105">
        <f>'G MTTS'!AA920</f>
        <v>20000</v>
      </c>
      <c r="N927" s="106">
        <f>'G MTTS'!AG920</f>
        <v>3</v>
      </c>
      <c r="O927" s="106">
        <f>'G MTTS'!AH920</f>
        <v>3</v>
      </c>
      <c r="P927" s="106">
        <f>'G MTTS'!AI920</f>
        <v>3</v>
      </c>
      <c r="Q927" s="107">
        <f>'G MTTS'!AJ920</f>
        <v>9</v>
      </c>
      <c r="R927" s="46">
        <f t="shared" si="82"/>
        <v>0.640289351851852</v>
      </c>
      <c r="S927" s="47" t="str">
        <f t="shared" si="81"/>
        <v>SUPER HIGH</v>
      </c>
    </row>
    <row r="928" ht="29.25" customHeight="1" outlineLevel="1" spans="1:19">
      <c r="A928" s="135"/>
      <c r="B928" s="109"/>
      <c r="C928" s="110"/>
      <c r="D928" s="111"/>
      <c r="E928" s="112"/>
      <c r="F928" s="113"/>
      <c r="G928" s="114"/>
      <c r="H928" s="115"/>
      <c r="I928" s="115"/>
      <c r="J928" s="115"/>
      <c r="K928" s="116"/>
      <c r="L928" s="116"/>
      <c r="M928" s="116"/>
      <c r="N928" s="117"/>
      <c r="O928" s="117"/>
      <c r="P928" s="117"/>
      <c r="Q928" s="118"/>
      <c r="R928" s="46"/>
      <c r="S928" s="47"/>
    </row>
    <row r="929" ht="29.25" customHeight="1" outlineLevel="1" spans="1:19">
      <c r="A929" s="121" t="str">
        <f>'G MTTS'!J922</f>
        <v>#AS Sunday MB+SPS</v>
      </c>
      <c r="B929" s="122">
        <f>'G MTTS'!B922</f>
        <v>0.395844907407407</v>
      </c>
      <c r="C929" s="123">
        <f>'G MTTS'!L922</f>
        <v>0</v>
      </c>
      <c r="D929" s="120">
        <f>'G MTTS'!M922</f>
        <v>0</v>
      </c>
      <c r="E929" s="101" t="str">
        <f>'G MTTS'!N922</f>
        <v>NLH</v>
      </c>
      <c r="F929" s="102" t="str">
        <f>'G MTTS'!O922</f>
        <v>OFF</v>
      </c>
      <c r="G929" s="103" t="str">
        <f>IF('G MTTS'!Q922=0," ",'G MTTS'!Q922*$A$3)</f>
        <v> </v>
      </c>
      <c r="H929" s="104">
        <f>IF('G MTTS'!V922=0," ",'G MTTS'!V922*$A$3)</f>
        <v>5</v>
      </c>
      <c r="I929" s="104">
        <f>IF('G MTTS'!W922=0," ",'G MTTS'!W922*$A$3)</f>
        <v>5</v>
      </c>
      <c r="J929" s="104">
        <f>IF('G MTTS'!Z922=0," ",'G MTTS'!Z922*$A$3)</f>
        <v>5</v>
      </c>
      <c r="K929" s="105">
        <f>'G MTTS'!AF922</f>
        <v>10000</v>
      </c>
      <c r="L929" s="105">
        <f>'G MTTS'!X922</f>
        <v>0</v>
      </c>
      <c r="M929" s="105">
        <f>'G MTTS'!AA922</f>
        <v>20000</v>
      </c>
      <c r="N929" s="106">
        <f>'G MTTS'!AG922</f>
        <v>5</v>
      </c>
      <c r="O929" s="106">
        <f>'G MTTS'!AH922</f>
        <v>4</v>
      </c>
      <c r="P929" s="106">
        <f>'G MTTS'!AI922</f>
        <v>4</v>
      </c>
      <c r="Q929" s="107">
        <f>'G MTTS'!AJ922</f>
        <v>9</v>
      </c>
      <c r="R929" s="46">
        <f t="shared" ref="R929:R931" si="83">IF(B929=0," ",TIME(,ROUNDDOWN(N929*Q929/60,0)*5+(N929*Q929),)+B929)</f>
        <v>0.427094907407407</v>
      </c>
      <c r="S929" s="47" t="str">
        <f t="shared" ref="S929:S931" si="84">IFERROR(IF(H929=0," ",IF(H929&lt;=25,"MICRO",IF(H929&lt;=99,"LOW",IF(H929&lt;=499,"MEDIUM",IF(H929&lt;=2500,"HIGH",IF(H929&gt;2500,"SUPER HIGH",)))))),"")</f>
        <v>MICRO</v>
      </c>
    </row>
    <row r="930" ht="29.25" customHeight="1" outlineLevel="1" spans="1:19">
      <c r="A930" s="29"/>
      <c r="B930" s="128">
        <f>'G MTTS'!B923</f>
        <v>0.458344907407407</v>
      </c>
      <c r="C930" s="129" t="str">
        <f>'G MTTS'!L923</f>
        <v>6 Seats Sun. MB</v>
      </c>
      <c r="D930" s="120" t="str">
        <f>'G MTTS'!M923</f>
        <v>SAT</v>
      </c>
      <c r="E930" s="101" t="str">
        <f>'G MTTS'!N923</f>
        <v>NLH</v>
      </c>
      <c r="F930" s="102" t="str">
        <f>'G MTTS'!O923</f>
        <v>OFF</v>
      </c>
      <c r="G930" s="103">
        <f>IF('G MTTS'!Q923=0," ",'G MTTS'!Q923*$A$3)</f>
        <v>450</v>
      </c>
      <c r="H930" s="104">
        <f>IF('G MTTS'!V923=0," ",'G MTTS'!V923*$A$3)</f>
        <v>5</v>
      </c>
      <c r="I930" s="104">
        <f>IF('G MTTS'!W923=0," ",'G MTTS'!W923*$A$3)</f>
        <v>5</v>
      </c>
      <c r="J930" s="104">
        <f>IF('G MTTS'!Z923=0," ",'G MTTS'!Z923*$A$3)</f>
        <v>5</v>
      </c>
      <c r="K930" s="105">
        <f>'G MTTS'!AF923</f>
        <v>10000</v>
      </c>
      <c r="L930" s="105">
        <f>'G MTTS'!X923</f>
        <v>0</v>
      </c>
      <c r="M930" s="105">
        <f>'G MTTS'!AA923</f>
        <v>20000</v>
      </c>
      <c r="N930" s="106">
        <f>'G MTTS'!AG923</f>
        <v>4</v>
      </c>
      <c r="O930" s="106">
        <f>'G MTTS'!AH923</f>
        <v>4</v>
      </c>
      <c r="P930" s="106">
        <f>'G MTTS'!AI923</f>
        <v>4</v>
      </c>
      <c r="Q930" s="107">
        <f>'G MTTS'!AJ923</f>
        <v>9</v>
      </c>
      <c r="R930" s="46">
        <f t="shared" si="83"/>
        <v>0.483344907407407</v>
      </c>
      <c r="S930" s="47" t="str">
        <f t="shared" si="84"/>
        <v>MICRO</v>
      </c>
    </row>
    <row r="931" ht="29.25" customHeight="1" outlineLevel="1" spans="1:19">
      <c r="A931" s="124"/>
      <c r="B931" s="125">
        <f>'G MTTS'!B924</f>
        <v>0.500011574074074</v>
      </c>
      <c r="C931" s="126" t="str">
        <f>'G MTTS'!L924</f>
        <v>6 Seats Sun. MB</v>
      </c>
      <c r="D931" s="120" t="str">
        <f>'G MTTS'!M924</f>
        <v>SAT</v>
      </c>
      <c r="E931" s="101" t="str">
        <f>'G MTTS'!N924</f>
        <v>NLH</v>
      </c>
      <c r="F931" s="102" t="str">
        <f>'G MTTS'!O924</f>
        <v>OFF</v>
      </c>
      <c r="G931" s="103">
        <f>IF('G MTTS'!Q924=0," ",'G MTTS'!Q924*$A$3)</f>
        <v>450</v>
      </c>
      <c r="H931" s="104">
        <f>IF('G MTTS'!V924=0," ",'G MTTS'!V924*$A$3)</f>
        <v>5</v>
      </c>
      <c r="I931" s="104">
        <f>IF('G MTTS'!W924=0," ",'G MTTS'!W924*$A$3)</f>
        <v>5</v>
      </c>
      <c r="J931" s="104">
        <f>IF('G MTTS'!Z924=0," ",'G MTTS'!Z924*$A$3)</f>
        <v>5</v>
      </c>
      <c r="K931" s="105">
        <f>'G MTTS'!AF924</f>
        <v>10000</v>
      </c>
      <c r="L931" s="105">
        <f>'G MTTS'!X924</f>
        <v>0</v>
      </c>
      <c r="M931" s="105">
        <f>'G MTTS'!AA924</f>
        <v>20000</v>
      </c>
      <c r="N931" s="106">
        <f>'G MTTS'!AG924</f>
        <v>4</v>
      </c>
      <c r="O931" s="106">
        <f>'G MTTS'!AH924</f>
        <v>3</v>
      </c>
      <c r="P931" s="106">
        <f>'G MTTS'!AI924</f>
        <v>3</v>
      </c>
      <c r="Q931" s="107">
        <f>'G MTTS'!AJ924</f>
        <v>9</v>
      </c>
      <c r="R931" s="46">
        <f t="shared" si="83"/>
        <v>0.525011574074074</v>
      </c>
      <c r="S931" s="47" t="str">
        <f t="shared" si="84"/>
        <v>MICRO</v>
      </c>
    </row>
    <row r="932" ht="29.25" customHeight="1" outlineLevel="1" spans="1:19">
      <c r="A932" s="135"/>
      <c r="B932" s="109"/>
      <c r="C932" s="110"/>
      <c r="D932" s="111"/>
      <c r="E932" s="112"/>
      <c r="F932" s="113"/>
      <c r="G932" s="114"/>
      <c r="H932" s="115"/>
      <c r="I932" s="115"/>
      <c r="J932" s="115"/>
      <c r="K932" s="116"/>
      <c r="L932" s="116"/>
      <c r="M932" s="116"/>
      <c r="N932" s="117"/>
      <c r="O932" s="117"/>
      <c r="P932" s="117"/>
      <c r="Q932" s="118"/>
      <c r="R932" s="46"/>
      <c r="S932" s="47"/>
    </row>
    <row r="933" ht="29.25" customHeight="1" outlineLevel="1" spans="1:19">
      <c r="A933" s="121" t="str">
        <f>'G MTTS'!J926</f>
        <v>#AS WarmUp+SPS</v>
      </c>
      <c r="B933" s="122">
        <f>'G MTTS'!B926</f>
        <v>0.437511574074074</v>
      </c>
      <c r="C933" s="123" t="str">
        <f>'G MTTS'!L926</f>
        <v>6 Seats WarmUp</v>
      </c>
      <c r="D933" s="120" t="str">
        <f>'G MTTS'!M926</f>
        <v>SAT</v>
      </c>
      <c r="E933" s="101" t="str">
        <f>'G MTTS'!N926</f>
        <v>NLH</v>
      </c>
      <c r="F933" s="102" t="str">
        <f>'G MTTS'!O926</f>
        <v>OFF</v>
      </c>
      <c r="G933" s="103">
        <f>IF('G MTTS'!Q926=0," ",'G MTTS'!Q926*$A$3)</f>
        <v>660</v>
      </c>
      <c r="H933" s="104">
        <f>IF('G MTTS'!V926=0," ",'G MTTS'!V926*$A$3)</f>
        <v>6</v>
      </c>
      <c r="I933" s="104">
        <f>IF('G MTTS'!W926=0," ",'G MTTS'!W926*$A$3)</f>
        <v>6</v>
      </c>
      <c r="J933" s="104">
        <f>IF('G MTTS'!Z926=0," ",'G MTTS'!Z926*$A$3)</f>
        <v>6</v>
      </c>
      <c r="K933" s="105">
        <f>'G MTTS'!AF926</f>
        <v>10000</v>
      </c>
      <c r="L933" s="105">
        <f>'G MTTS'!X926</f>
        <v>0</v>
      </c>
      <c r="M933" s="105">
        <f>'G MTTS'!AA926</f>
        <v>20000</v>
      </c>
      <c r="N933" s="106">
        <f>'G MTTS'!AG926</f>
        <v>5</v>
      </c>
      <c r="O933" s="106">
        <f>'G MTTS'!AH926</f>
        <v>4</v>
      </c>
      <c r="P933" s="106">
        <f>'G MTTS'!AI926</f>
        <v>4</v>
      </c>
      <c r="Q933" s="107">
        <f>'G MTTS'!AJ926</f>
        <v>9</v>
      </c>
      <c r="R933" s="46">
        <f t="shared" ref="R933:R935" si="85">IF(B933=0," ",TIME(,ROUNDDOWN(N933*Q933/60,0)*5+(N933*Q933),)+B933)</f>
        <v>0.468761574074074</v>
      </c>
      <c r="S933" s="47" t="str">
        <f t="shared" ref="S933:S935" si="86">IFERROR(IF(H933=0," ",IF(H933&lt;=25,"MICRO",IF(H933&lt;=99,"LOW",IF(H933&lt;=499,"MEDIUM",IF(H933&lt;=2500,"HIGH",IF(H933&gt;2500,"SUPER HIGH",)))))),"")</f>
        <v>MICRO</v>
      </c>
    </row>
    <row r="934" ht="29.25" customHeight="1" outlineLevel="1" spans="1:19">
      <c r="A934" s="29"/>
      <c r="B934" s="128">
        <f>'G MTTS'!B927</f>
        <v>0.479178240740741</v>
      </c>
      <c r="C934" s="129" t="str">
        <f>'G MTTS'!L927</f>
        <v>6 Seats WarmUp</v>
      </c>
      <c r="D934" s="120" t="str">
        <f>'G MTTS'!M927</f>
        <v>SAT</v>
      </c>
      <c r="E934" s="101" t="str">
        <f>'G MTTS'!N927</f>
        <v>NLH</v>
      </c>
      <c r="F934" s="102" t="str">
        <f>'G MTTS'!O927</f>
        <v>OFF</v>
      </c>
      <c r="G934" s="103">
        <f>IF('G MTTS'!Q927=0," ",'G MTTS'!Q927*$A$3)</f>
        <v>660</v>
      </c>
      <c r="H934" s="104">
        <f>IF('G MTTS'!V927=0," ",'G MTTS'!V927*$A$3)</f>
        <v>6</v>
      </c>
      <c r="I934" s="104">
        <f>IF('G MTTS'!W927=0," ",'G MTTS'!W927*$A$3)</f>
        <v>6</v>
      </c>
      <c r="J934" s="104">
        <f>IF('G MTTS'!Z927=0," ",'G MTTS'!Z927*$A$3)</f>
        <v>6</v>
      </c>
      <c r="K934" s="105">
        <f>'G MTTS'!AF927</f>
        <v>10000</v>
      </c>
      <c r="L934" s="105">
        <f>'G MTTS'!X927</f>
        <v>0</v>
      </c>
      <c r="M934" s="105">
        <f>'G MTTS'!AA927</f>
        <v>20000</v>
      </c>
      <c r="N934" s="106">
        <f>'G MTTS'!AG927</f>
        <v>4</v>
      </c>
      <c r="O934" s="106">
        <f>'G MTTS'!AH927</f>
        <v>4</v>
      </c>
      <c r="P934" s="106">
        <f>'G MTTS'!AI927</f>
        <v>4</v>
      </c>
      <c r="Q934" s="107">
        <f>'G MTTS'!AJ927</f>
        <v>9</v>
      </c>
      <c r="R934" s="46">
        <f t="shared" si="85"/>
        <v>0.504178240740741</v>
      </c>
      <c r="S934" s="47" t="str">
        <f t="shared" si="86"/>
        <v>MICRO</v>
      </c>
    </row>
    <row r="935" ht="29.25" customHeight="1" outlineLevel="1" spans="1:19">
      <c r="A935" s="124"/>
      <c r="B935" s="125">
        <f>'G MTTS'!B928</f>
        <v>0</v>
      </c>
      <c r="C935" s="126">
        <f>'G MTTS'!L928</f>
        <v>0</v>
      </c>
      <c r="D935" s="120">
        <f>'G MTTS'!M928</f>
        <v>0</v>
      </c>
      <c r="E935" s="101" t="str">
        <f>'G MTTS'!N928</f>
        <v>NLH</v>
      </c>
      <c r="F935" s="102" t="str">
        <f>'G MTTS'!O928</f>
        <v>OFF</v>
      </c>
      <c r="G935" s="103" t="str">
        <f>IF('G MTTS'!Q928=0," ",'G MTTS'!Q928*$A$3)</f>
        <v> </v>
      </c>
      <c r="H935" s="104">
        <f>IF('G MTTS'!V928=0," ",'G MTTS'!V928*$A$3)</f>
        <v>6</v>
      </c>
      <c r="I935" s="104">
        <f>IF('G MTTS'!W928=0," ",'G MTTS'!W928*$A$3)</f>
        <v>6</v>
      </c>
      <c r="J935" s="104">
        <f>IF('G MTTS'!Z928=0," ",'G MTTS'!Z928*$A$3)</f>
        <v>6</v>
      </c>
      <c r="K935" s="105">
        <f>'G MTTS'!AF928</f>
        <v>10000</v>
      </c>
      <c r="L935" s="105">
        <f>'G MTTS'!X928</f>
        <v>0</v>
      </c>
      <c r="M935" s="105">
        <f>'G MTTS'!AA928</f>
        <v>20000</v>
      </c>
      <c r="N935" s="106">
        <f>'G MTTS'!AG928</f>
        <v>4</v>
      </c>
      <c r="O935" s="106">
        <f>'G MTTS'!AH928</f>
        <v>3</v>
      </c>
      <c r="P935" s="106">
        <f>'G MTTS'!AI928</f>
        <v>3</v>
      </c>
      <c r="Q935" s="107">
        <f>'G MTTS'!AJ928</f>
        <v>9</v>
      </c>
      <c r="R935" s="46" t="str">
        <f t="shared" si="85"/>
        <v> </v>
      </c>
      <c r="S935" s="47" t="str">
        <f t="shared" si="86"/>
        <v>MICRO</v>
      </c>
    </row>
    <row r="936" ht="29.25" customHeight="1" outlineLevel="1" spans="1:19">
      <c r="A936" s="135"/>
      <c r="B936" s="109"/>
      <c r="C936" s="110"/>
      <c r="D936" s="111"/>
      <c r="E936" s="112"/>
      <c r="F936" s="113"/>
      <c r="G936" s="114"/>
      <c r="H936" s="115"/>
      <c r="I936" s="115"/>
      <c r="J936" s="115"/>
      <c r="K936" s="116"/>
      <c r="L936" s="116"/>
      <c r="M936" s="116"/>
      <c r="N936" s="117"/>
      <c r="O936" s="117"/>
      <c r="P936" s="117"/>
      <c r="Q936" s="118"/>
      <c r="R936" s="46"/>
      <c r="S936" s="47"/>
    </row>
    <row r="937" ht="29.25" customHeight="1" outlineLevel="1" spans="1:19">
      <c r="A937" s="119" t="str">
        <f>'G MTTS'!J930</f>
        <v>#AS Sunday PLO</v>
      </c>
      <c r="B937" s="98">
        <f>'G MTTS'!B930</f>
        <v>0.583344907407407</v>
      </c>
      <c r="C937" s="99" t="str">
        <f>'G MTTS'!L930</f>
        <v>10 Seats Sunday PLO</v>
      </c>
      <c r="D937" s="120" t="str">
        <f>'G MTTS'!M930</f>
        <v>SAT</v>
      </c>
      <c r="E937" s="101" t="str">
        <f>'G MTTS'!N930</f>
        <v>PLO5</v>
      </c>
      <c r="F937" s="102" t="str">
        <f>'G MTTS'!O930</f>
        <v>OFF</v>
      </c>
      <c r="G937" s="103">
        <f>IF('G MTTS'!Q930=0," ",'G MTTS'!Q930*$A$3)</f>
        <v>3000</v>
      </c>
      <c r="H937" s="104">
        <f>IF('G MTTS'!V930=0," ",'G MTTS'!V930*$A$3)</f>
        <v>20</v>
      </c>
      <c r="I937" s="104">
        <f>IF('G MTTS'!W930=0," ",'G MTTS'!W930*$A$3)</f>
        <v>20</v>
      </c>
      <c r="J937" s="104">
        <f>IF('G MTTS'!Z930=0," ",'G MTTS'!Z930*$A$3)</f>
        <v>30</v>
      </c>
      <c r="K937" s="105">
        <f>'G MTTS'!AF930</f>
        <v>10000</v>
      </c>
      <c r="L937" s="105">
        <f>'G MTTS'!X930</f>
        <v>0</v>
      </c>
      <c r="M937" s="105">
        <f>'G MTTS'!AA930</f>
        <v>20000</v>
      </c>
      <c r="N937" s="106">
        <f>'G MTTS'!AG930</f>
        <v>5</v>
      </c>
      <c r="O937" s="106">
        <f>'G MTTS'!AH930</f>
        <v>4</v>
      </c>
      <c r="P937" s="106">
        <f>'G MTTS'!AI930</f>
        <v>4</v>
      </c>
      <c r="Q937" s="107">
        <f>'G MTTS'!AJ930</f>
        <v>9</v>
      </c>
      <c r="R937" s="46">
        <f>IF(B937=0," ",TIME(,ROUNDDOWN(N937*Q937/60,0)*5+(N937*Q937),)+B937)</f>
        <v>0.614594907407407</v>
      </c>
      <c r="S937" s="47" t="str">
        <f>IFERROR(IF(H937=0," ",IF(H937&lt;=25,"MICRO",IF(H937&lt;=99,"LOW",IF(H937&lt;=499,"MEDIUM",IF(H937&lt;=2500,"HIGH",IF(H937&gt;2500,"SUPER HIGH",)))))),"")</f>
        <v>MICRO</v>
      </c>
    </row>
    <row r="938" ht="29.25" customHeight="1" outlineLevel="1" spans="1:19">
      <c r="A938" s="135"/>
      <c r="B938" s="109"/>
      <c r="C938" s="110"/>
      <c r="D938" s="111"/>
      <c r="E938" s="112"/>
      <c r="F938" s="113"/>
      <c r="G938" s="114"/>
      <c r="H938" s="115"/>
      <c r="I938" s="115"/>
      <c r="J938" s="115"/>
      <c r="K938" s="116"/>
      <c r="L938" s="116"/>
      <c r="M938" s="116"/>
      <c r="N938" s="117"/>
      <c r="O938" s="117"/>
      <c r="P938" s="117"/>
      <c r="Q938" s="118"/>
      <c r="R938" s="46"/>
      <c r="S938" s="47"/>
    </row>
    <row r="939" ht="29.25" customHeight="1" outlineLevel="1" spans="1:19">
      <c r="A939" s="121" t="str">
        <f>'G MTTS'!J932</f>
        <v>#AS Supreminho+SPS</v>
      </c>
      <c r="B939" s="122">
        <f>'G MTTS'!B932</f>
        <v>0</v>
      </c>
      <c r="C939" s="123">
        <f>'G MTTS'!L932</f>
        <v>0</v>
      </c>
      <c r="D939" s="120">
        <f>'G MTTS'!M932</f>
        <v>0</v>
      </c>
      <c r="E939" s="101" t="str">
        <f>'G MTTS'!N932</f>
        <v>NLH</v>
      </c>
      <c r="F939" s="102" t="str">
        <f>'G MTTS'!O932</f>
        <v>OFF</v>
      </c>
      <c r="G939" s="103" t="str">
        <f>IF('G MTTS'!Q932=0," ",'G MTTS'!Q932*$A$3)</f>
        <v> </v>
      </c>
      <c r="H939" s="104">
        <f>IF('G MTTS'!V932=0," ",'G MTTS'!V932*$A$3)</f>
        <v>4</v>
      </c>
      <c r="I939" s="104">
        <f>IF('G MTTS'!W932=0," ",'G MTTS'!W932*$A$3)</f>
        <v>4</v>
      </c>
      <c r="J939" s="104">
        <f>IF('G MTTS'!Z932=0," ",'G MTTS'!Z932*$A$3)</f>
        <v>4</v>
      </c>
      <c r="K939" s="105">
        <f>'G MTTS'!AF932</f>
        <v>10000</v>
      </c>
      <c r="L939" s="105">
        <f>'G MTTS'!X932</f>
        <v>0</v>
      </c>
      <c r="M939" s="105">
        <f>'G MTTS'!AA932</f>
        <v>20000</v>
      </c>
      <c r="N939" s="106">
        <f>'G MTTS'!AG932</f>
        <v>5</v>
      </c>
      <c r="O939" s="106">
        <f>'G MTTS'!AH932</f>
        <v>4</v>
      </c>
      <c r="P939" s="106">
        <f>'G MTTS'!AI932</f>
        <v>4</v>
      </c>
      <c r="Q939" s="107">
        <f>'G MTTS'!AJ932</f>
        <v>9</v>
      </c>
      <c r="R939" s="46" t="str">
        <f t="shared" ref="R939:R941" si="87">IF(B939=0," ",TIME(,ROUNDDOWN(N939*Q939/60,0)*5+(N939*Q939),)+B939)</f>
        <v> </v>
      </c>
      <c r="S939" s="47" t="str">
        <f t="shared" ref="S939:S941" si="88">IFERROR(IF(H939=0," ",IF(H939&lt;=25,"MICRO",IF(H939&lt;=99,"LOW",IF(H939&lt;=499,"MEDIUM",IF(H939&lt;=2500,"HIGH",IF(H939&gt;2500,"SUPER HIGH",)))))),"")</f>
        <v>MICRO</v>
      </c>
    </row>
    <row r="940" ht="29.25" customHeight="1" outlineLevel="1" spans="1:19">
      <c r="A940" s="29"/>
      <c r="B940" s="128">
        <f>'G MTTS'!B933</f>
        <v>0.604178240740741</v>
      </c>
      <c r="C940" s="129" t="str">
        <f>'G MTTS'!L933</f>
        <v>10 Seats Supreminho</v>
      </c>
      <c r="D940" s="120" t="str">
        <f>'G MTTS'!M933</f>
        <v>SAT</v>
      </c>
      <c r="E940" s="101" t="str">
        <f>'G MTTS'!N933</f>
        <v>NLH</v>
      </c>
      <c r="F940" s="102" t="str">
        <f>'G MTTS'!O933</f>
        <v>OFF</v>
      </c>
      <c r="G940" s="103">
        <f>IF('G MTTS'!Q933=0," ",'G MTTS'!Q933*$A$3)</f>
        <v>550</v>
      </c>
      <c r="H940" s="104">
        <f>IF('G MTTS'!V933=0," ",'G MTTS'!V933*$A$3)</f>
        <v>4</v>
      </c>
      <c r="I940" s="104">
        <f>IF('G MTTS'!W933=0," ",'G MTTS'!W933*$A$3)</f>
        <v>4</v>
      </c>
      <c r="J940" s="104">
        <f>IF('G MTTS'!Z933=0," ",'G MTTS'!Z933*$A$3)</f>
        <v>4</v>
      </c>
      <c r="K940" s="105">
        <f>'G MTTS'!AF933</f>
        <v>10000</v>
      </c>
      <c r="L940" s="105">
        <f>'G MTTS'!X933</f>
        <v>0</v>
      </c>
      <c r="M940" s="105">
        <f>'G MTTS'!AA933</f>
        <v>20000</v>
      </c>
      <c r="N940" s="106">
        <f>'G MTTS'!AG933</f>
        <v>5</v>
      </c>
      <c r="O940" s="106">
        <f>'G MTTS'!AH933</f>
        <v>4</v>
      </c>
      <c r="P940" s="106">
        <f>'G MTTS'!AI933</f>
        <v>4</v>
      </c>
      <c r="Q940" s="107">
        <f>'G MTTS'!AJ933</f>
        <v>9</v>
      </c>
      <c r="R940" s="46">
        <f t="shared" si="87"/>
        <v>0.635428240740741</v>
      </c>
      <c r="S940" s="47" t="str">
        <f t="shared" si="88"/>
        <v>MICRO</v>
      </c>
    </row>
    <row r="941" ht="29.25" customHeight="1" outlineLevel="1" spans="1:19">
      <c r="A941" s="124"/>
      <c r="B941" s="125">
        <f>'G MTTS'!B934</f>
        <v>0.645844907407407</v>
      </c>
      <c r="C941" s="126" t="str">
        <f>'G MTTS'!L934</f>
        <v>10 Seats Supreminho</v>
      </c>
      <c r="D941" s="120" t="str">
        <f>'G MTTS'!M934</f>
        <v>SAT</v>
      </c>
      <c r="E941" s="101" t="str">
        <f>'G MTTS'!N934</f>
        <v>NLH</v>
      </c>
      <c r="F941" s="102" t="str">
        <f>'G MTTS'!O934</f>
        <v>OFF</v>
      </c>
      <c r="G941" s="103">
        <f>IF('G MTTS'!Q934=0," ",'G MTTS'!Q934*$A$3)</f>
        <v>550</v>
      </c>
      <c r="H941" s="104">
        <f>IF('G MTTS'!V934=0," ",'G MTTS'!V934*$A$3)</f>
        <v>4</v>
      </c>
      <c r="I941" s="104">
        <f>IF('G MTTS'!W934=0," ",'G MTTS'!W934*$A$3)</f>
        <v>4</v>
      </c>
      <c r="J941" s="104">
        <f>IF('G MTTS'!Z934=0," ",'G MTTS'!Z934*$A$3)</f>
        <v>4</v>
      </c>
      <c r="K941" s="105">
        <f>'G MTTS'!AF934</f>
        <v>10000</v>
      </c>
      <c r="L941" s="105">
        <f>'G MTTS'!X934</f>
        <v>0</v>
      </c>
      <c r="M941" s="105">
        <f>'G MTTS'!AA934</f>
        <v>20000</v>
      </c>
      <c r="N941" s="106">
        <f>'G MTTS'!AG934</f>
        <v>4</v>
      </c>
      <c r="O941" s="106">
        <f>'G MTTS'!AH934</f>
        <v>3</v>
      </c>
      <c r="P941" s="106">
        <f>'G MTTS'!AI934</f>
        <v>3</v>
      </c>
      <c r="Q941" s="107">
        <f>'G MTTS'!AJ934</f>
        <v>9</v>
      </c>
      <c r="R941" s="46">
        <f t="shared" si="87"/>
        <v>0.670844907407407</v>
      </c>
      <c r="S941" s="47" t="str">
        <f t="shared" si="88"/>
        <v>MICRO</v>
      </c>
    </row>
    <row r="942" ht="29.25" customHeight="1" outlineLevel="1" spans="1:19">
      <c r="A942" s="135"/>
      <c r="B942" s="109"/>
      <c r="C942" s="110"/>
      <c r="D942" s="111"/>
      <c r="E942" s="112"/>
      <c r="F942" s="113"/>
      <c r="G942" s="114"/>
      <c r="H942" s="115"/>
      <c r="I942" s="115"/>
      <c r="J942" s="115"/>
      <c r="K942" s="116"/>
      <c r="L942" s="116"/>
      <c r="M942" s="116"/>
      <c r="N942" s="117"/>
      <c r="O942" s="117"/>
      <c r="P942" s="117"/>
      <c r="Q942" s="118"/>
      <c r="R942" s="46"/>
      <c r="S942" s="47"/>
    </row>
    <row r="943" ht="29.25" customHeight="1" outlineLevel="1" spans="1:19">
      <c r="A943" s="121" t="str">
        <f>'G MTTS'!J936</f>
        <v>#AS Freeze HR</v>
      </c>
      <c r="B943" s="122">
        <f>'G MTTS'!B936</f>
        <v>0.583344907407407</v>
      </c>
      <c r="C943" s="123" t="str">
        <f>'G MTTS'!L936</f>
        <v>4 Seats Freeze HR</v>
      </c>
      <c r="D943" s="120" t="str">
        <f>'G MTTS'!M936</f>
        <v>SAT</v>
      </c>
      <c r="E943" s="101" t="str">
        <f>'G MTTS'!N936</f>
        <v>NLH</v>
      </c>
      <c r="F943" s="102" t="str">
        <f>'G MTTS'!O936</f>
        <v>OFF</v>
      </c>
      <c r="G943" s="103">
        <f>IF('G MTTS'!Q936=0," ",'G MTTS'!Q936*$A$3)</f>
        <v>1000</v>
      </c>
      <c r="H943" s="104">
        <f>IF('G MTTS'!V936=0," ",'G MTTS'!V936*$A$3)</f>
        <v>15</v>
      </c>
      <c r="I943" s="104">
        <f>IF('G MTTS'!W936=0," ",'G MTTS'!W936*$A$3)</f>
        <v>15</v>
      </c>
      <c r="J943" s="104">
        <f>IF('G MTTS'!Z936=0," ",'G MTTS'!Z936*$A$3)</f>
        <v>15</v>
      </c>
      <c r="K943" s="105">
        <f>'G MTTS'!AF936</f>
        <v>10000</v>
      </c>
      <c r="L943" s="105">
        <f>'G MTTS'!X936</f>
        <v>0</v>
      </c>
      <c r="M943" s="105">
        <f>'G MTTS'!AA936</f>
        <v>20000</v>
      </c>
      <c r="N943" s="106">
        <f>'G MTTS'!AG936</f>
        <v>5</v>
      </c>
      <c r="O943" s="106">
        <f>'G MTTS'!AH936</f>
        <v>4</v>
      </c>
      <c r="P943" s="106">
        <f>'G MTTS'!AI936</f>
        <v>4</v>
      </c>
      <c r="Q943" s="107">
        <f>'G MTTS'!AJ936</f>
        <v>9</v>
      </c>
      <c r="R943" s="46">
        <f t="shared" ref="R943:R944" si="89">IF(B943=0," ",TIME(,ROUNDDOWN(N943*Q943/60,0)*5+(N943*Q943),)+B943)</f>
        <v>0.614594907407407</v>
      </c>
      <c r="S943" s="47" t="str">
        <f t="shared" ref="S943:S944" si="90">IFERROR(IF(H943=0," ",IF(H943&lt;=25,"MICRO",IF(H943&lt;=99,"LOW",IF(H943&lt;=499,"MEDIUM",IF(H943&lt;=2500,"HIGH",IF(H943&gt;2500,"SUPER HIGH",)))))),"")</f>
        <v>MICRO</v>
      </c>
    </row>
    <row r="944" ht="29.25" customHeight="1" outlineLevel="1" spans="1:19">
      <c r="A944" s="124"/>
      <c r="B944" s="125">
        <f>'G MTTS'!B937</f>
        <v>0.625011574074074</v>
      </c>
      <c r="C944" s="126" t="str">
        <f>'G MTTS'!L937</f>
        <v>4 Seats Freeze HR</v>
      </c>
      <c r="D944" s="120" t="str">
        <f>'G MTTS'!M937</f>
        <v>SAT</v>
      </c>
      <c r="E944" s="101" t="str">
        <f>'G MTTS'!N937</f>
        <v>NLH</v>
      </c>
      <c r="F944" s="102" t="str">
        <f>'G MTTS'!O937</f>
        <v>OFF</v>
      </c>
      <c r="G944" s="103">
        <f>IF('G MTTS'!Q937=0," ",'G MTTS'!Q937*$A$3)</f>
        <v>1000</v>
      </c>
      <c r="H944" s="104">
        <f>IF('G MTTS'!V937=0," ",'G MTTS'!V937*$A$3)</f>
        <v>15</v>
      </c>
      <c r="I944" s="104">
        <f>IF('G MTTS'!W937=0," ",'G MTTS'!W937*$A$3)</f>
        <v>15</v>
      </c>
      <c r="J944" s="104">
        <f>IF('G MTTS'!Z937=0," ",'G MTTS'!Z937*$A$3)</f>
        <v>15</v>
      </c>
      <c r="K944" s="105">
        <f>'G MTTS'!AF937</f>
        <v>10000</v>
      </c>
      <c r="L944" s="105">
        <f>'G MTTS'!X937</f>
        <v>0</v>
      </c>
      <c r="M944" s="105">
        <f>'G MTTS'!AA937</f>
        <v>20000</v>
      </c>
      <c r="N944" s="106">
        <f>'G MTTS'!AG937</f>
        <v>4</v>
      </c>
      <c r="O944" s="106">
        <f>'G MTTS'!AH937</f>
        <v>3</v>
      </c>
      <c r="P944" s="106">
        <f>'G MTTS'!AI937</f>
        <v>3</v>
      </c>
      <c r="Q944" s="107">
        <f>'G MTTS'!AJ937</f>
        <v>9</v>
      </c>
      <c r="R944" s="46">
        <f t="shared" si="89"/>
        <v>0.650011574074074</v>
      </c>
      <c r="S944" s="47" t="str">
        <f t="shared" si="90"/>
        <v>MICRO</v>
      </c>
    </row>
    <row r="945" ht="29.25" customHeight="1" outlineLevel="1" spans="1:19">
      <c r="A945" s="135"/>
      <c r="B945" s="109"/>
      <c r="C945" s="110"/>
      <c r="D945" s="111"/>
      <c r="E945" s="112"/>
      <c r="F945" s="113"/>
      <c r="G945" s="114"/>
      <c r="H945" s="115"/>
      <c r="I945" s="115"/>
      <c r="J945" s="115"/>
      <c r="K945" s="116"/>
      <c r="L945" s="116"/>
      <c r="M945" s="116"/>
      <c r="N945" s="117"/>
      <c r="O945" s="117"/>
      <c r="P945" s="117"/>
      <c r="Q945" s="118"/>
      <c r="R945" s="46"/>
      <c r="S945" s="47"/>
    </row>
    <row r="946" ht="29.25" customHeight="1" outlineLevel="1" spans="1:19">
      <c r="A946" s="119" t="str">
        <f>'G MTTS'!J939</f>
        <v>#AS Sunday Plus+SPT</v>
      </c>
      <c r="B946" s="98">
        <f>'G MTTS'!B939</f>
        <v>0.666678240740741</v>
      </c>
      <c r="C946" s="99" t="str">
        <f>'G MTTS'!L939</f>
        <v>5 Seats Sunday Plus</v>
      </c>
      <c r="D946" s="120" t="str">
        <f>'G MTTS'!M939</f>
        <v>SAT</v>
      </c>
      <c r="E946" s="101" t="str">
        <f>'G MTTS'!N939</f>
        <v>NLH</v>
      </c>
      <c r="F946" s="102" t="str">
        <f>'G MTTS'!O939</f>
        <v>OFF</v>
      </c>
      <c r="G946" s="103">
        <f>IF('G MTTS'!Q939=0," ",'G MTTS'!Q939*$A$3)</f>
        <v>250</v>
      </c>
      <c r="H946" s="104">
        <f>IF('G MTTS'!V939=0," ",'G MTTS'!V939*$A$3)</f>
        <v>2</v>
      </c>
      <c r="I946" s="104">
        <f>IF('G MTTS'!W939=0," ",'G MTTS'!W939*$A$3)</f>
        <v>3</v>
      </c>
      <c r="J946" s="104">
        <f>IF('G MTTS'!Z939=0," ",'G MTTS'!Z939*$A$3)</f>
        <v>3</v>
      </c>
      <c r="K946" s="105">
        <f>'G MTTS'!AF939</f>
        <v>7500</v>
      </c>
      <c r="L946" s="105">
        <f>'G MTTS'!X939</f>
        <v>10000</v>
      </c>
      <c r="M946" s="105">
        <f>'G MTTS'!AA939</f>
        <v>15000</v>
      </c>
      <c r="N946" s="106">
        <f>'G MTTS'!AG939</f>
        <v>4</v>
      </c>
      <c r="O946" s="106">
        <f>'G MTTS'!AH939</f>
        <v>3</v>
      </c>
      <c r="P946" s="106">
        <f>'G MTTS'!AI939</f>
        <v>3</v>
      </c>
      <c r="Q946" s="107">
        <f>'G MTTS'!AJ939</f>
        <v>9</v>
      </c>
      <c r="R946" s="46">
        <f>IF(B946=0," ",TIME(,ROUNDDOWN(N946*Q946/60,0)*5+(N946*Q946),)+B946)</f>
        <v>0.691678240740741</v>
      </c>
      <c r="S946" s="47" t="str">
        <f>IFERROR(IF(H946=0," ",IF(H946&lt;=25,"MICRO",IF(H946&lt;=99,"LOW",IF(H946&lt;=499,"MEDIUM",IF(H946&lt;=2500,"HIGH",IF(H946&gt;2500,"SUPER HIGH",)))))),"")</f>
        <v>MICRO</v>
      </c>
    </row>
    <row r="947" ht="29.25" customHeight="1" outlineLevel="1" spans="1:19">
      <c r="A947" s="135"/>
      <c r="B947" s="109"/>
      <c r="C947" s="110"/>
      <c r="D947" s="111"/>
      <c r="E947" s="112"/>
      <c r="F947" s="113"/>
      <c r="G947" s="114"/>
      <c r="H947" s="115"/>
      <c r="I947" s="115"/>
      <c r="J947" s="115"/>
      <c r="K947" s="116"/>
      <c r="L947" s="116"/>
      <c r="M947" s="116"/>
      <c r="N947" s="117"/>
      <c r="O947" s="117"/>
      <c r="P947" s="117"/>
      <c r="Q947" s="118"/>
      <c r="R947" s="46"/>
      <c r="S947" s="47"/>
    </row>
    <row r="948" ht="29.25" customHeight="1" outlineLevel="1" spans="1:19">
      <c r="A948" s="121" t="str">
        <f>'G MTTS'!J941</f>
        <v>#AS Battle HR+SPS</v>
      </c>
      <c r="B948" s="122">
        <f>'G MTTS'!B941</f>
        <v>0</v>
      </c>
      <c r="C948" s="123">
        <f>'G MTTS'!L941</f>
        <v>0</v>
      </c>
      <c r="D948" s="120">
        <f>'G MTTS'!M941</f>
        <v>0</v>
      </c>
      <c r="E948" s="101" t="str">
        <f>'G MTTS'!N941</f>
        <v>NLH</v>
      </c>
      <c r="F948" s="102" t="str">
        <f>'G MTTS'!O941</f>
        <v>OFF</v>
      </c>
      <c r="G948" s="103" t="str">
        <f>IF('G MTTS'!Q941=0," ",'G MTTS'!Q941*$A$3)</f>
        <v> </v>
      </c>
      <c r="H948" s="104">
        <f>IF('G MTTS'!V941=0," ",'G MTTS'!V941*$A$3)</f>
        <v>10</v>
      </c>
      <c r="I948" s="104">
        <f>IF('G MTTS'!W941=0," ",'G MTTS'!W941*$A$3)</f>
        <v>10</v>
      </c>
      <c r="J948" s="104">
        <f>IF('G MTTS'!Z941=0," ",'G MTTS'!Z941*$A$3)</f>
        <v>10</v>
      </c>
      <c r="K948" s="105">
        <f>'G MTTS'!AF941</f>
        <v>10000</v>
      </c>
      <c r="L948" s="105">
        <f>'G MTTS'!X941</f>
        <v>0</v>
      </c>
      <c r="M948" s="105">
        <f>'G MTTS'!AA941</f>
        <v>20000</v>
      </c>
      <c r="N948" s="106">
        <f>'G MTTS'!AG941</f>
        <v>5</v>
      </c>
      <c r="O948" s="106">
        <f>'G MTTS'!AH941</f>
        <v>4</v>
      </c>
      <c r="P948" s="106">
        <f>'G MTTS'!AI941</f>
        <v>4</v>
      </c>
      <c r="Q948" s="107">
        <f>'G MTTS'!AJ941</f>
        <v>9</v>
      </c>
      <c r="R948" s="46" t="str">
        <f t="shared" ref="R948:R950" si="91">IF(B948=0," ",TIME(,ROUNDDOWN(N948*Q948/60,0)*5+(N948*Q948),)+B948)</f>
        <v> </v>
      </c>
      <c r="S948" s="47" t="str">
        <f t="shared" ref="S948:S950" si="92">IFERROR(IF(H948=0," ",IF(H948&lt;=25,"MICRO",IF(H948&lt;=99,"LOW",IF(H948&lt;=499,"MEDIUM",IF(H948&lt;=2500,"HIGH",IF(H948&gt;2500,"SUPER HIGH",)))))),"")</f>
        <v>MICRO</v>
      </c>
    </row>
    <row r="949" ht="29.25" customHeight="1" outlineLevel="1" spans="1:19">
      <c r="A949" s="29"/>
      <c r="B949" s="128">
        <f>'G MTTS'!B942</f>
        <v>0.687511574074074</v>
      </c>
      <c r="C949" s="129" t="str">
        <f>'G MTTS'!L942</f>
        <v>6 Seats Battle HR</v>
      </c>
      <c r="D949" s="120" t="str">
        <f>'G MTTS'!M942</f>
        <v>SAT</v>
      </c>
      <c r="E949" s="101" t="str">
        <f>'G MTTS'!N942</f>
        <v>NLH</v>
      </c>
      <c r="F949" s="102" t="str">
        <f>'G MTTS'!O942</f>
        <v>OFF</v>
      </c>
      <c r="G949" s="103">
        <f>IF('G MTTS'!Q942=0," ",'G MTTS'!Q942*$A$3)</f>
        <v>900</v>
      </c>
      <c r="H949" s="104">
        <f>IF('G MTTS'!V942=0," ",'G MTTS'!V942*$A$3)</f>
        <v>10</v>
      </c>
      <c r="I949" s="104">
        <f>IF('G MTTS'!W942=0," ",'G MTTS'!W942*$A$3)</f>
        <v>10</v>
      </c>
      <c r="J949" s="104">
        <f>IF('G MTTS'!Z942=0," ",'G MTTS'!Z942*$A$3)</f>
        <v>10</v>
      </c>
      <c r="K949" s="105">
        <f>'G MTTS'!AF942</f>
        <v>10000</v>
      </c>
      <c r="L949" s="105">
        <f>'G MTTS'!X942</f>
        <v>0</v>
      </c>
      <c r="M949" s="105">
        <f>'G MTTS'!AA942</f>
        <v>20000</v>
      </c>
      <c r="N949" s="106">
        <f>'G MTTS'!AG942</f>
        <v>5</v>
      </c>
      <c r="O949" s="106">
        <f>'G MTTS'!AH942</f>
        <v>4</v>
      </c>
      <c r="P949" s="106">
        <f>'G MTTS'!AI942</f>
        <v>4</v>
      </c>
      <c r="Q949" s="107">
        <f>'G MTTS'!AJ942</f>
        <v>9</v>
      </c>
      <c r="R949" s="46">
        <f t="shared" si="91"/>
        <v>0.718761574074074</v>
      </c>
      <c r="S949" s="47" t="str">
        <f t="shared" si="92"/>
        <v>MICRO</v>
      </c>
    </row>
    <row r="950" ht="29.25" customHeight="1" outlineLevel="1" spans="1:19">
      <c r="A950" s="124"/>
      <c r="B950" s="125">
        <f>'G MTTS'!B943</f>
        <v>0.729178240740741</v>
      </c>
      <c r="C950" s="126" t="str">
        <f>'G MTTS'!L943</f>
        <v>6 Seats Battle HR</v>
      </c>
      <c r="D950" s="120" t="str">
        <f>'G MTTS'!M943</f>
        <v>SAT</v>
      </c>
      <c r="E950" s="101" t="str">
        <f>'G MTTS'!N943</f>
        <v>NLH</v>
      </c>
      <c r="F950" s="102" t="str">
        <f>'G MTTS'!O943</f>
        <v>OFF</v>
      </c>
      <c r="G950" s="103">
        <f>IF('G MTTS'!Q943=0," ",'G MTTS'!Q943*$A$3)</f>
        <v>900</v>
      </c>
      <c r="H950" s="104">
        <f>IF('G MTTS'!V943=0," ",'G MTTS'!V943*$A$3)</f>
        <v>10</v>
      </c>
      <c r="I950" s="104">
        <f>IF('G MTTS'!W943=0," ",'G MTTS'!W943*$A$3)</f>
        <v>10</v>
      </c>
      <c r="J950" s="104">
        <f>IF('G MTTS'!Z943=0," ",'G MTTS'!Z943*$A$3)</f>
        <v>10</v>
      </c>
      <c r="K950" s="105">
        <f>'G MTTS'!AF943</f>
        <v>10000</v>
      </c>
      <c r="L950" s="105">
        <f>'G MTTS'!X943</f>
        <v>0</v>
      </c>
      <c r="M950" s="105">
        <f>'G MTTS'!AA943</f>
        <v>20000</v>
      </c>
      <c r="N950" s="200">
        <f>'G MTTS'!AG943</f>
        <v>4</v>
      </c>
      <c r="O950" s="200">
        <f>'G MTTS'!AH943</f>
        <v>4</v>
      </c>
      <c r="P950" s="200">
        <f>'G MTTS'!AI943</f>
        <v>4</v>
      </c>
      <c r="Q950" s="107">
        <f>'G MTTS'!AJ943</f>
        <v>9</v>
      </c>
      <c r="R950" s="46">
        <f t="shared" si="91"/>
        <v>0.754178240740741</v>
      </c>
      <c r="S950" s="47" t="str">
        <f t="shared" si="92"/>
        <v>MICRO</v>
      </c>
    </row>
    <row r="951" ht="29.25" customHeight="1" outlineLevel="1" spans="1:19">
      <c r="A951" s="135"/>
      <c r="B951" s="109"/>
      <c r="C951" s="110"/>
      <c r="D951" s="111"/>
      <c r="E951" s="112"/>
      <c r="F951" s="113"/>
      <c r="G951" s="114"/>
      <c r="H951" s="115"/>
      <c r="I951" s="115"/>
      <c r="J951" s="115"/>
      <c r="K951" s="116"/>
      <c r="L951" s="116"/>
      <c r="M951" s="116"/>
      <c r="N951" s="117"/>
      <c r="O951" s="117"/>
      <c r="P951" s="117"/>
      <c r="Q951" s="118"/>
      <c r="R951" s="46"/>
      <c r="S951" s="47"/>
    </row>
    <row r="952" ht="29.25" customHeight="1" outlineLevel="1" spans="1:19">
      <c r="A952" s="119" t="str">
        <f>'G MTTS'!J945</f>
        <v>#AS HighS</v>
      </c>
      <c r="B952" s="98">
        <f>'G MTTS'!B945</f>
        <v>0.687511574074074</v>
      </c>
      <c r="C952" s="99" t="str">
        <f>'G MTTS'!L945</f>
        <v>5 Seats HighS</v>
      </c>
      <c r="D952" s="120" t="str">
        <f>'G MTTS'!M945</f>
        <v>SAT</v>
      </c>
      <c r="E952" s="101" t="str">
        <f>'G MTTS'!N945</f>
        <v>NLH</v>
      </c>
      <c r="F952" s="102" t="str">
        <f>'G MTTS'!O945</f>
        <v>OFF</v>
      </c>
      <c r="G952" s="103">
        <f>IF('G MTTS'!Q945=0," ",'G MTTS'!Q945*$A$3)</f>
        <v>3750</v>
      </c>
      <c r="H952" s="104">
        <f>IF('G MTTS'!V945=0," ",'G MTTS'!V945*$A$3)</f>
        <v>150</v>
      </c>
      <c r="I952" s="104">
        <f>IF('G MTTS'!W945=0," ",'G MTTS'!W945*$A$3)</f>
        <v>150</v>
      </c>
      <c r="J952" s="104" t="str">
        <f>IF('G MTTS'!Z945=0," ",'G MTTS'!Z945*$A$3)</f>
        <v> </v>
      </c>
      <c r="K952" s="105">
        <f>'G MTTS'!AF945</f>
        <v>20000</v>
      </c>
      <c r="L952" s="105">
        <f>'G MTTS'!X945</f>
        <v>0</v>
      </c>
      <c r="M952" s="105" t="str">
        <f>'G MTTS'!AA945</f>
        <v>REENTRY</v>
      </c>
      <c r="N952" s="200">
        <f>'G MTTS'!AG945</f>
        <v>5</v>
      </c>
      <c r="O952" s="200">
        <f>'G MTTS'!AH945</f>
        <v>4</v>
      </c>
      <c r="P952" s="200">
        <f>'G MTTS'!AI945</f>
        <v>4</v>
      </c>
      <c r="Q952" s="107">
        <f>'G MTTS'!AJ945</f>
        <v>9</v>
      </c>
      <c r="R952" s="46">
        <f>IF(B952=0," ",TIME(,ROUNDDOWN(N952*Q952/60,0)*5+(N952*Q952),)+B952)</f>
        <v>0.718761574074074</v>
      </c>
      <c r="S952" s="47" t="str">
        <f>IFERROR(IF(H952=0," ",IF(H952&lt;=25,"MICRO",IF(H952&lt;=99,"LOW",IF(H952&lt;=499,"MEDIUM",IF(H952&lt;=2500,"HIGH",IF(H952&gt;2500,"SUPER HIGH",)))))),"")</f>
        <v>MEDIUM</v>
      </c>
    </row>
    <row r="953" ht="29.25" customHeight="1" outlineLevel="1" spans="1:19">
      <c r="A953" s="135"/>
      <c r="B953" s="109"/>
      <c r="C953" s="110"/>
      <c r="D953" s="111"/>
      <c r="E953" s="112"/>
      <c r="F953" s="113"/>
      <c r="G953" s="114"/>
      <c r="H953" s="115"/>
      <c r="I953" s="115"/>
      <c r="J953" s="115"/>
      <c r="K953" s="116"/>
      <c r="L953" s="116"/>
      <c r="M953" s="116"/>
      <c r="N953" s="117"/>
      <c r="O953" s="117"/>
      <c r="P953" s="117"/>
      <c r="Q953" s="118"/>
      <c r="R953" s="46"/>
      <c r="S953" s="47"/>
    </row>
    <row r="954" ht="29.25" customHeight="1" outlineLevel="1" spans="1:19">
      <c r="A954" s="119" t="str">
        <f>'G MTTS'!J947</f>
        <v>#AS OmaX PKO</v>
      </c>
      <c r="B954" s="98">
        <f>'G MTTS'!B947</f>
        <v>0.687511574074074</v>
      </c>
      <c r="C954" s="99" t="str">
        <f>'G MTTS'!L947</f>
        <v>6 Seats OmaX PKO</v>
      </c>
      <c r="D954" s="120" t="str">
        <f>'G MTTS'!M947</f>
        <v>SAT</v>
      </c>
      <c r="E954" s="101" t="str">
        <f>'G MTTS'!N947</f>
        <v>PLO5</v>
      </c>
      <c r="F954" s="102" t="str">
        <f>'G MTTS'!O947</f>
        <v>OFF</v>
      </c>
      <c r="G954" s="103">
        <f>IF('G MTTS'!Q947=0," ",'G MTTS'!Q947*$A$3)</f>
        <v>450</v>
      </c>
      <c r="H954" s="104">
        <f>IF('G MTTS'!V947=0," ",'G MTTS'!V947*$A$3)</f>
        <v>5</v>
      </c>
      <c r="I954" s="104">
        <f>IF('G MTTS'!W947=0," ",'G MTTS'!W947*$A$3)</f>
        <v>5</v>
      </c>
      <c r="J954" s="104">
        <f>IF('G MTTS'!Z947=0," ",'G MTTS'!Z947*$A$3)</f>
        <v>5</v>
      </c>
      <c r="K954" s="105">
        <f>'G MTTS'!AF947</f>
        <v>10000</v>
      </c>
      <c r="L954" s="105">
        <f>'G MTTS'!X947</f>
        <v>0</v>
      </c>
      <c r="M954" s="105">
        <f>'G MTTS'!AA947</f>
        <v>20000</v>
      </c>
      <c r="N954" s="106">
        <f>'G MTTS'!AG947</f>
        <v>5</v>
      </c>
      <c r="O954" s="106">
        <f>'G MTTS'!AH947</f>
        <v>4</v>
      </c>
      <c r="P954" s="106">
        <f>'G MTTS'!AI947</f>
        <v>4</v>
      </c>
      <c r="Q954" s="107">
        <f>'G MTTS'!AJ947</f>
        <v>9</v>
      </c>
      <c r="R954" s="46">
        <f>IF(B954=0," ",TIME(,ROUNDDOWN(N954*Q954/60,0)*5+(N954*Q954),)+B954)</f>
        <v>0.718761574074074</v>
      </c>
      <c r="S954" s="47" t="str">
        <f>IFERROR(IF(H954=0," ",IF(H954&lt;=25,"MICRO",IF(H954&lt;=99,"LOW",IF(H954&lt;=499,"MEDIUM",IF(H954&lt;=2500,"HIGH",IF(H954&gt;2500,"SUPER HIGH",)))))),"")</f>
        <v>MICRO</v>
      </c>
    </row>
    <row r="955" ht="29.25" customHeight="1" outlineLevel="1" spans="1:19">
      <c r="A955" s="135"/>
      <c r="B955" s="109"/>
      <c r="C955" s="110"/>
      <c r="D955" s="111"/>
      <c r="E955" s="112"/>
      <c r="F955" s="113"/>
      <c r="G955" s="114"/>
      <c r="H955" s="115"/>
      <c r="I955" s="115"/>
      <c r="J955" s="115"/>
      <c r="K955" s="116"/>
      <c r="L955" s="116"/>
      <c r="M955" s="116"/>
      <c r="N955" s="117"/>
      <c r="O955" s="117"/>
      <c r="P955" s="117"/>
      <c r="Q955" s="118"/>
      <c r="R955" s="46"/>
      <c r="S955" s="47"/>
    </row>
    <row r="956" ht="29.25" customHeight="1" outlineLevel="1" spans="1:19">
      <c r="A956" s="119" t="str">
        <f>'G MTTS'!J949</f>
        <v>#AS OmaX</v>
      </c>
      <c r="B956" s="98">
        <f>'G MTTS'!B949</f>
        <v>0.708344907407407</v>
      </c>
      <c r="C956" s="99" t="str">
        <f>'G MTTS'!L949</f>
        <v>4 Seats OmaX</v>
      </c>
      <c r="D956" s="120" t="str">
        <f>'G MTTS'!M949</f>
        <v>SAT</v>
      </c>
      <c r="E956" s="101" t="str">
        <f>'G MTTS'!N949</f>
        <v>PLO6</v>
      </c>
      <c r="F956" s="102" t="str">
        <f>'G MTTS'!O949</f>
        <v>OFF</v>
      </c>
      <c r="G956" s="103">
        <f>IF('G MTTS'!Q949=0," ",'G MTTS'!Q949*$A$3)</f>
        <v>600</v>
      </c>
      <c r="H956" s="104">
        <f>IF('G MTTS'!V949=0," ",'G MTTS'!V949*$A$3)</f>
        <v>8</v>
      </c>
      <c r="I956" s="104">
        <f>IF('G MTTS'!W949=0," ",'G MTTS'!W949*$A$3)</f>
        <v>8</v>
      </c>
      <c r="J956" s="104">
        <f>IF('G MTTS'!Z949=0," ",'G MTTS'!Z949*$A$3)</f>
        <v>8</v>
      </c>
      <c r="K956" s="105">
        <f>'G MTTS'!AF949</f>
        <v>10000</v>
      </c>
      <c r="L956" s="105">
        <f>'G MTTS'!X949</f>
        <v>0</v>
      </c>
      <c r="M956" s="105">
        <f>'G MTTS'!AA949</f>
        <v>20000</v>
      </c>
      <c r="N956" s="106">
        <f>'G MTTS'!AG949</f>
        <v>5</v>
      </c>
      <c r="O956" s="106">
        <f>'G MTTS'!AH949</f>
        <v>4</v>
      </c>
      <c r="P956" s="106">
        <f>'G MTTS'!AI949</f>
        <v>4</v>
      </c>
      <c r="Q956" s="107">
        <f>'G MTTS'!AJ949</f>
        <v>9</v>
      </c>
      <c r="R956" s="46">
        <f>IF(B956=0," ",TIME(,ROUNDDOWN(N956*Q956/60,0)*5+(N956*Q956),)+B956)</f>
        <v>0.739594907407407</v>
      </c>
      <c r="S956" s="47" t="str">
        <f>IFERROR(IF(H956=0," ",IF(H956&lt;=25,"MICRO",IF(H956&lt;=99,"LOW",IF(H956&lt;=499,"MEDIUM",IF(H956&lt;=2500,"HIGH",IF(H956&gt;2500,"SUPER HIGH",)))))),"")</f>
        <v>MICRO</v>
      </c>
    </row>
    <row r="957" ht="29.25" customHeight="1" outlineLevel="1" spans="1:19">
      <c r="A957" s="135"/>
      <c r="B957" s="109"/>
      <c r="C957" s="110"/>
      <c r="D957" s="111"/>
      <c r="E957" s="112"/>
      <c r="F957" s="113"/>
      <c r="G957" s="114"/>
      <c r="H957" s="115"/>
      <c r="I957" s="115"/>
      <c r="J957" s="115"/>
      <c r="K957" s="116"/>
      <c r="L957" s="116"/>
      <c r="M957" s="116"/>
      <c r="N957" s="117"/>
      <c r="O957" s="117"/>
      <c r="P957" s="117"/>
      <c r="Q957" s="118"/>
      <c r="R957" s="46"/>
      <c r="S957" s="47"/>
    </row>
    <row r="958" ht="29.25" customHeight="1" outlineLevel="1" spans="1:19">
      <c r="A958" s="119" t="str">
        <f>'G MTTS'!J951</f>
        <v>#AS Bounty+SPS</v>
      </c>
      <c r="B958" s="98">
        <f>'G MTTS'!B951</f>
        <v>0.729178240740741</v>
      </c>
      <c r="C958" s="99" t="str">
        <f>'G MTTS'!L951</f>
        <v>5 Seats Bounty</v>
      </c>
      <c r="D958" s="120" t="str">
        <f>'G MTTS'!M951</f>
        <v>SAT</v>
      </c>
      <c r="E958" s="101" t="str">
        <f>'G MTTS'!N951</f>
        <v>NLH</v>
      </c>
      <c r="F958" s="102" t="str">
        <f>'G MTTS'!O951</f>
        <v>OFF</v>
      </c>
      <c r="G958" s="103">
        <f>IF('G MTTS'!Q951=0," ",'G MTTS'!Q951*$A$3)</f>
        <v>375</v>
      </c>
      <c r="H958" s="104">
        <f>IF('G MTTS'!V951=0," ",'G MTTS'!V951*$A$3)</f>
        <v>5</v>
      </c>
      <c r="I958" s="104">
        <f>IF('G MTTS'!W951=0," ",'G MTTS'!W951*$A$3)</f>
        <v>5</v>
      </c>
      <c r="J958" s="104">
        <f>IF('G MTTS'!Z951=0," ",'G MTTS'!Z951*$A$3)</f>
        <v>5</v>
      </c>
      <c r="K958" s="105">
        <f>'G MTTS'!AF951</f>
        <v>10000</v>
      </c>
      <c r="L958" s="105">
        <f>'G MTTS'!X951</f>
        <v>0</v>
      </c>
      <c r="M958" s="105">
        <f>'G MTTS'!AA951</f>
        <v>20000</v>
      </c>
      <c r="N958" s="106">
        <f>'G MTTS'!AG951</f>
        <v>4</v>
      </c>
      <c r="O958" s="106">
        <f>'G MTTS'!AH951</f>
        <v>4</v>
      </c>
      <c r="P958" s="106">
        <f>'G MTTS'!AI951</f>
        <v>4</v>
      </c>
      <c r="Q958" s="107">
        <f>'G MTTS'!AJ951</f>
        <v>9</v>
      </c>
      <c r="R958" s="46">
        <f>IF(B958=0," ",TIME(,ROUNDDOWN(N958*Q958/60,0)*5+(N958*Q958),)+B958)</f>
        <v>0.754178240740741</v>
      </c>
      <c r="S958" s="47" t="str">
        <f>IFERROR(IF(H958=0," ",IF(H958&lt;=25,"MICRO",IF(H958&lt;=99,"LOW",IF(H958&lt;=499,"MEDIUM",IF(H958&lt;=2500,"HIGH",IF(H958&gt;2500,"SUPER HIGH",)))))),"")</f>
        <v>MICRO</v>
      </c>
    </row>
    <row r="959" ht="29.25" customHeight="1" outlineLevel="1" spans="1:19">
      <c r="A959" s="135"/>
      <c r="B959" s="109"/>
      <c r="C959" s="110"/>
      <c r="D959" s="111"/>
      <c r="E959" s="112"/>
      <c r="F959" s="113"/>
      <c r="G959" s="114"/>
      <c r="H959" s="115"/>
      <c r="I959" s="115"/>
      <c r="J959" s="115"/>
      <c r="K959" s="116"/>
      <c r="L959" s="116"/>
      <c r="M959" s="116"/>
      <c r="N959" s="117"/>
      <c r="O959" s="117"/>
      <c r="P959" s="117"/>
      <c r="Q959" s="118"/>
      <c r="R959" s="46"/>
      <c r="S959" s="47"/>
    </row>
    <row r="960" ht="29.25" customHeight="1" outlineLevel="1" spans="1:19">
      <c r="A960" s="119" t="str">
        <f>'G MTTS'!J953</f>
        <v>#AS OmaX HR</v>
      </c>
      <c r="B960" s="98">
        <f>'G MTTS'!B953</f>
        <v>0.750011574074074</v>
      </c>
      <c r="C960" s="99" t="str">
        <f>'G MTTS'!L953</f>
        <v>6 Seats OmaX HR</v>
      </c>
      <c r="D960" s="120" t="str">
        <f>'G MTTS'!M953</f>
        <v>SAT</v>
      </c>
      <c r="E960" s="101" t="str">
        <f>'G MTTS'!N953</f>
        <v>PLO5</v>
      </c>
      <c r="F960" s="102" t="str">
        <f>'G MTTS'!O953</f>
        <v>OFF</v>
      </c>
      <c r="G960" s="103">
        <f>IF('G MTTS'!Q953=0," ",'G MTTS'!Q953*$A$3)</f>
        <v>4800</v>
      </c>
      <c r="H960" s="104">
        <f>IF('G MTTS'!V953=0," ",'G MTTS'!V953*$A$3)</f>
        <v>40</v>
      </c>
      <c r="I960" s="104">
        <f>IF('G MTTS'!W953=0," ",'G MTTS'!W953*$A$3)</f>
        <v>40</v>
      </c>
      <c r="J960" s="104">
        <f>IF('G MTTS'!Z953=0," ",'G MTTS'!Z953*$A$3)</f>
        <v>40</v>
      </c>
      <c r="K960" s="105">
        <f>'G MTTS'!AF953</f>
        <v>10000</v>
      </c>
      <c r="L960" s="105">
        <f>'G MTTS'!X953</f>
        <v>0</v>
      </c>
      <c r="M960" s="105">
        <f>'G MTTS'!AA953</f>
        <v>20000</v>
      </c>
      <c r="N960" s="106">
        <f>'G MTTS'!AG953</f>
        <v>4</v>
      </c>
      <c r="O960" s="106">
        <f>'G MTTS'!AH953</f>
        <v>4</v>
      </c>
      <c r="P960" s="106">
        <f>'G MTTS'!AI953</f>
        <v>4</v>
      </c>
      <c r="Q960" s="107">
        <f>'G MTTS'!AJ953</f>
        <v>9</v>
      </c>
      <c r="R960" s="46">
        <f>IF(B960=0," ",TIME(,ROUNDDOWN(N960*Q960/60,0)*5+(N960*Q960),)+B960)</f>
        <v>0.775011574074074</v>
      </c>
      <c r="S960" s="47" t="str">
        <f>IFERROR(IF(H960=0," ",IF(H960&lt;=25,"MICRO",IF(H960&lt;=99,"LOW",IF(H960&lt;=499,"MEDIUM",IF(H960&lt;=2500,"HIGH",IF(H960&gt;2500,"SUPER HIGH",)))))),"")</f>
        <v>LOW</v>
      </c>
    </row>
    <row r="961" ht="29.25" customHeight="1" outlineLevel="1" spans="1:19">
      <c r="A961" s="135"/>
      <c r="B961" s="109"/>
      <c r="C961" s="110"/>
      <c r="D961" s="111"/>
      <c r="E961" s="112"/>
      <c r="F961" s="113"/>
      <c r="G961" s="114"/>
      <c r="H961" s="115"/>
      <c r="I961" s="115"/>
      <c r="J961" s="115"/>
      <c r="K961" s="116"/>
      <c r="L961" s="116"/>
      <c r="M961" s="116"/>
      <c r="N961" s="117"/>
      <c r="O961" s="117"/>
      <c r="P961" s="117"/>
      <c r="Q961" s="118"/>
      <c r="R961" s="46"/>
      <c r="S961" s="47"/>
    </row>
    <row r="962" ht="29.25" customHeight="1" outlineLevel="1" spans="1:19">
      <c r="A962" s="119" t="str">
        <f>'G MTTS'!J955</f>
        <v>#AS Freeze</v>
      </c>
      <c r="B962" s="98">
        <f>'G MTTS'!B955</f>
        <v>0.791666666666667</v>
      </c>
      <c r="C962" s="99" t="str">
        <f>'G MTTS'!L955</f>
        <v>5 Seats Freeze</v>
      </c>
      <c r="D962" s="120" t="str">
        <f>'G MTTS'!M955</f>
        <v>SAT</v>
      </c>
      <c r="E962" s="101" t="str">
        <f>'G MTTS'!N955</f>
        <v>NLH</v>
      </c>
      <c r="F962" s="102" t="str">
        <f>'G MTTS'!O955</f>
        <v>OFF</v>
      </c>
      <c r="G962" s="103">
        <f>IF('G MTTS'!Q955=0," ",'G MTTS'!Q955*$A$3)</f>
        <v>375</v>
      </c>
      <c r="H962" s="104">
        <f>IF('G MTTS'!V955=0," ",'G MTTS'!V955*$A$3)</f>
        <v>4</v>
      </c>
      <c r="I962" s="104">
        <f>IF('G MTTS'!W955=0," ",'G MTTS'!W955*$A$3)</f>
        <v>4</v>
      </c>
      <c r="J962" s="104">
        <f>IF('G MTTS'!Z955=0," ",'G MTTS'!Z955*$A$3)</f>
        <v>4</v>
      </c>
      <c r="K962" s="105">
        <f>'G MTTS'!AF955</f>
        <v>10000</v>
      </c>
      <c r="L962" s="105">
        <f>'G MTTS'!X955</f>
        <v>0</v>
      </c>
      <c r="M962" s="105">
        <f>'G MTTS'!AA955</f>
        <v>20000</v>
      </c>
      <c r="N962" s="106">
        <f>'G MTTS'!AG955</f>
        <v>4</v>
      </c>
      <c r="O962" s="106">
        <f>'G MTTS'!AH955</f>
        <v>4</v>
      </c>
      <c r="P962" s="106">
        <f>'G MTTS'!AI955</f>
        <v>4</v>
      </c>
      <c r="Q962" s="107">
        <f>'G MTTS'!AJ955</f>
        <v>9</v>
      </c>
      <c r="R962" s="46">
        <f>IF(B962=0," ",TIME(,ROUNDDOWN(N962*Q962/60,0)*5+(N962*Q962),)+B962)</f>
        <v>0.816666666666667</v>
      </c>
      <c r="S962" s="47" t="str">
        <f>IFERROR(IF(H962=0," ",IF(H962&lt;=25,"MICRO",IF(H962&lt;=99,"LOW",IF(H962&lt;=499,"MEDIUM",IF(H962&lt;=2500,"HIGH",IF(H962&gt;2500,"SUPER HIGH",)))))),"")</f>
        <v>MICRO</v>
      </c>
    </row>
    <row r="963" ht="29.25" customHeight="1" outlineLevel="1" spans="1:19">
      <c r="A963" s="135"/>
      <c r="B963" s="109"/>
      <c r="C963" s="110"/>
      <c r="D963" s="111"/>
      <c r="E963" s="112"/>
      <c r="F963" s="113"/>
      <c r="G963" s="114"/>
      <c r="H963" s="115"/>
      <c r="I963" s="115"/>
      <c r="J963" s="115"/>
      <c r="K963" s="116"/>
      <c r="L963" s="116"/>
      <c r="M963" s="116"/>
      <c r="N963" s="117"/>
      <c r="O963" s="117"/>
      <c r="P963" s="117"/>
      <c r="Q963" s="118"/>
      <c r="R963" s="46"/>
      <c r="S963" s="47"/>
    </row>
    <row r="964" ht="29.25" customHeight="1" outlineLevel="1" spans="1:19">
      <c r="A964" s="119" t="str">
        <f>'G MTTS'!J957</f>
        <v>#AS OmaX Turbo</v>
      </c>
      <c r="B964" s="98">
        <f>'G MTTS'!B957</f>
        <v>0.812511574074074</v>
      </c>
      <c r="C964" s="99" t="str">
        <f>'G MTTS'!L957</f>
        <v>6 Seats OmaX T.</v>
      </c>
      <c r="D964" s="120" t="str">
        <f>'G MTTS'!M957</f>
        <v>SAT</v>
      </c>
      <c r="E964" s="101" t="str">
        <f>'G MTTS'!N957</f>
        <v>PLO5</v>
      </c>
      <c r="F964" s="102" t="str">
        <f>'G MTTS'!O957</f>
        <v>OFF</v>
      </c>
      <c r="G964" s="103">
        <f>IF('G MTTS'!Q957=0," ",'G MTTS'!Q957*$A$3)</f>
        <v>330</v>
      </c>
      <c r="H964" s="104">
        <f>IF('G MTTS'!V957=0," ",'G MTTS'!V957*$A$3)</f>
        <v>3</v>
      </c>
      <c r="I964" s="104">
        <f>IF('G MTTS'!W957=0," ",'G MTTS'!W957*$A$3)</f>
        <v>3</v>
      </c>
      <c r="J964" s="104">
        <f>IF('G MTTS'!Z957=0," ",'G MTTS'!Z957*$A$3)</f>
        <v>3</v>
      </c>
      <c r="K964" s="105">
        <f>'G MTTS'!AF957</f>
        <v>10000</v>
      </c>
      <c r="L964" s="105">
        <f>'G MTTS'!X957</f>
        <v>0</v>
      </c>
      <c r="M964" s="105">
        <f>'G MTTS'!AA957</f>
        <v>20000</v>
      </c>
      <c r="N964" s="106">
        <f>'G MTTS'!AG957</f>
        <v>5</v>
      </c>
      <c r="O964" s="106">
        <f>'G MTTS'!AH957</f>
        <v>4</v>
      </c>
      <c r="P964" s="106">
        <f>'G MTTS'!AI957</f>
        <v>4</v>
      </c>
      <c r="Q964" s="107">
        <f>'G MTTS'!AJ957</f>
        <v>9</v>
      </c>
      <c r="R964" s="46">
        <f>IF(B964=0," ",TIME(,ROUNDDOWN(N964*Q964/60,0)*5+(N964*Q964),)+B964)</f>
        <v>0.843761574074074</v>
      </c>
      <c r="S964" s="47" t="str">
        <f>IFERROR(IF(H964=0," ",IF(H964&lt;=25,"MICRO",IF(H964&lt;=99,"LOW",IF(H964&lt;=499,"MEDIUM",IF(H964&lt;=2500,"HIGH",IF(H964&gt;2500,"SUPER HIGH",)))))),"")</f>
        <v>MICRO</v>
      </c>
    </row>
    <row r="965" ht="29.25" customHeight="1" outlineLevel="1" spans="1:19">
      <c r="A965" s="135"/>
      <c r="B965" s="109"/>
      <c r="C965" s="110"/>
      <c r="D965" s="111"/>
      <c r="E965" s="112"/>
      <c r="F965" s="113"/>
      <c r="G965" s="114"/>
      <c r="H965" s="115"/>
      <c r="I965" s="115"/>
      <c r="J965" s="115"/>
      <c r="K965" s="116"/>
      <c r="L965" s="116"/>
      <c r="M965" s="116"/>
      <c r="N965" s="117"/>
      <c r="O965" s="117"/>
      <c r="P965" s="117"/>
      <c r="Q965" s="118"/>
      <c r="R965" s="46"/>
      <c r="S965" s="47"/>
    </row>
    <row r="966" ht="29.25" customHeight="1" outlineLevel="1" spans="1:19">
      <c r="A966" s="119" t="str">
        <f>'G MTTS'!J959</f>
        <v>#AS Battle PKO</v>
      </c>
      <c r="B966" s="98">
        <f>'G MTTS'!B959</f>
        <v>0.812511574074074</v>
      </c>
      <c r="C966" s="99" t="str">
        <f>'G MTTS'!L959</f>
        <v>3 Seats Battle PKO</v>
      </c>
      <c r="D966" s="120" t="str">
        <f>'G MTTS'!M959</f>
        <v>SAT</v>
      </c>
      <c r="E966" s="101" t="str">
        <f>'G MTTS'!N959</f>
        <v>NLH</v>
      </c>
      <c r="F966" s="102" t="str">
        <f>'G MTTS'!O959</f>
        <v>OFF</v>
      </c>
      <c r="G966" s="103">
        <f>IF('G MTTS'!Q959=0," ",'G MTTS'!Q959*$A$3)</f>
        <v>330</v>
      </c>
      <c r="H966" s="104">
        <f>IF('G MTTS'!V959=0," ",'G MTTS'!V959*$A$3)</f>
        <v>6</v>
      </c>
      <c r="I966" s="104">
        <f>IF('G MTTS'!W959=0," ",'G MTTS'!W959*$A$3)</f>
        <v>6</v>
      </c>
      <c r="J966" s="104">
        <f>IF('G MTTS'!Z959=0," ",'G MTTS'!Z959*$A$3)</f>
        <v>6</v>
      </c>
      <c r="K966" s="105">
        <f>'G MTTS'!AF959</f>
        <v>10000</v>
      </c>
      <c r="L966" s="105">
        <f>'G MTTS'!X959</f>
        <v>0</v>
      </c>
      <c r="M966" s="105">
        <f>'G MTTS'!AA959</f>
        <v>20000</v>
      </c>
      <c r="N966" s="106">
        <f>'G MTTS'!AG959</f>
        <v>4</v>
      </c>
      <c r="O966" s="106">
        <f>'G MTTS'!AH959</f>
        <v>4</v>
      </c>
      <c r="P966" s="106">
        <f>'G MTTS'!AI959</f>
        <v>4</v>
      </c>
      <c r="Q966" s="107">
        <f>'G MTTS'!AJ959</f>
        <v>9</v>
      </c>
      <c r="R966" s="46">
        <f>IF(B966=0," ",TIME(,ROUNDDOWN(N966*Q966/60,0)*5+(N966*Q966),)+B966)</f>
        <v>0.837511574074074</v>
      </c>
      <c r="S966" s="47" t="str">
        <f>IFERROR(IF(H966=0," ",IF(H966&lt;=25,"MICRO",IF(H966&lt;=99,"LOW",IF(H966&lt;=499,"MEDIUM",IF(H966&lt;=2500,"HIGH",IF(H966&gt;2500,"SUPER HIGH",)))))),"")</f>
        <v>MICRO</v>
      </c>
    </row>
    <row r="967" ht="29.25" customHeight="1" outlineLevel="1" spans="1:19">
      <c r="A967" s="135"/>
      <c r="B967" s="109"/>
      <c r="C967" s="110"/>
      <c r="D967" s="111"/>
      <c r="E967" s="112"/>
      <c r="F967" s="113"/>
      <c r="G967" s="114"/>
      <c r="H967" s="115"/>
      <c r="I967" s="115"/>
      <c r="J967" s="115"/>
      <c r="K967" s="116"/>
      <c r="L967" s="116"/>
      <c r="M967" s="116"/>
      <c r="N967" s="117"/>
      <c r="O967" s="117"/>
      <c r="P967" s="117"/>
      <c r="Q967" s="118"/>
      <c r="R967" s="46"/>
      <c r="S967" s="47"/>
    </row>
    <row r="968" ht="29.25" customHeight="1" outlineLevel="1" spans="1:19">
      <c r="A968" s="119" t="str">
        <f>'G MTTS'!J961</f>
        <v>#AS Bounty Night</v>
      </c>
      <c r="B968" s="98">
        <f>'G MTTS'!B961</f>
        <v>0.854178240740741</v>
      </c>
      <c r="C968" s="99" t="str">
        <f>'G MTTS'!L961</f>
        <v>5 Seats Bounty</v>
      </c>
      <c r="D968" s="120" t="str">
        <f>'G MTTS'!M961</f>
        <v>SAT</v>
      </c>
      <c r="E968" s="101" t="str">
        <f>'G MTTS'!N961</f>
        <v>NLH</v>
      </c>
      <c r="F968" s="102" t="str">
        <f>'G MTTS'!O961</f>
        <v>OFF</v>
      </c>
      <c r="G968" s="103">
        <f>IF('G MTTS'!Q961=0," ",'G MTTS'!Q961*$A$3)</f>
        <v>275</v>
      </c>
      <c r="H968" s="104">
        <f>IF('G MTTS'!V961=0," ",'G MTTS'!V961*$A$3)</f>
        <v>3</v>
      </c>
      <c r="I968" s="104">
        <f>IF('G MTTS'!W961=0," ",'G MTTS'!W961*$A$3)</f>
        <v>3</v>
      </c>
      <c r="J968" s="104">
        <f>IF('G MTTS'!Z961=0," ",'G MTTS'!Z961*$A$3)</f>
        <v>3</v>
      </c>
      <c r="K968" s="105">
        <f>'G MTTS'!AF961</f>
        <v>10000</v>
      </c>
      <c r="L968" s="105">
        <f>'G MTTS'!X961</f>
        <v>0</v>
      </c>
      <c r="M968" s="105">
        <f>'G MTTS'!AA961</f>
        <v>20000</v>
      </c>
      <c r="N968" s="106">
        <f>'G MTTS'!AG961</f>
        <v>4</v>
      </c>
      <c r="O968" s="106">
        <f>'G MTTS'!AH961</f>
        <v>4</v>
      </c>
      <c r="P968" s="106">
        <f>'G MTTS'!AI961</f>
        <v>4</v>
      </c>
      <c r="Q968" s="107">
        <f>'G MTTS'!AJ961</f>
        <v>9</v>
      </c>
      <c r="R968" s="46">
        <f t="shared" ref="R968:R970" si="93">IF(B968=0," ",TIME(,ROUNDDOWN(N968*Q968/60,0)*5+(N968*Q968),)+B968)</f>
        <v>0.879178240740741</v>
      </c>
      <c r="S968" s="47" t="str">
        <f t="shared" ref="S968:S970" si="94">IFERROR(IF(H968=0," ",IF(H968&lt;=25,"MICRO",IF(H968&lt;=99,"LOW",IF(H968&lt;=499,"MEDIUM",IF(H968&lt;=2500,"HIGH",IF(H968&gt;2500,"SUPER HIGH",)))))),"")</f>
        <v>MICRO</v>
      </c>
    </row>
    <row r="969" ht="29.25" customHeight="1" outlineLevel="1" spans="1:19">
      <c r="A969" s="135"/>
      <c r="B969" s="109"/>
      <c r="C969" s="110"/>
      <c r="D969" s="111"/>
      <c r="E969" s="112"/>
      <c r="F969" s="113"/>
      <c r="G969" s="114"/>
      <c r="H969" s="115"/>
      <c r="I969" s="115"/>
      <c r="J969" s="115"/>
      <c r="K969" s="116"/>
      <c r="L969" s="116"/>
      <c r="M969" s="116"/>
      <c r="N969" s="117"/>
      <c r="O969" s="117"/>
      <c r="P969" s="117"/>
      <c r="Q969" s="118"/>
      <c r="R969" s="46" t="str">
        <f t="shared" si="93"/>
        <v> </v>
      </c>
      <c r="S969" s="47" t="str">
        <f t="shared" si="94"/>
        <v> </v>
      </c>
    </row>
    <row r="970" ht="29.25" customHeight="1" outlineLevel="1" spans="1:19">
      <c r="A970" s="119" t="str">
        <f>'G MTTS'!J963</f>
        <v>#AS Sonic</v>
      </c>
      <c r="B970" s="98">
        <f>'G MTTS'!B963</f>
        <v>0.895844907407407</v>
      </c>
      <c r="C970" s="99" t="str">
        <f>'G MTTS'!L963</f>
        <v>2 Seats Sonic</v>
      </c>
      <c r="D970" s="120" t="str">
        <f>'G MTTS'!M963</f>
        <v>SAT</v>
      </c>
      <c r="E970" s="101" t="str">
        <f>'G MTTS'!N963</f>
        <v>NLH</v>
      </c>
      <c r="F970" s="102" t="str">
        <f>'G MTTS'!O963</f>
        <v>OFF</v>
      </c>
      <c r="G970" s="103">
        <f>IF('G MTTS'!Q963=0," ",'G MTTS'!Q963*$A$3)</f>
        <v>300</v>
      </c>
      <c r="H970" s="104">
        <f>IF('G MTTS'!V963=0," ",'G MTTS'!V963*$A$3)</f>
        <v>8</v>
      </c>
      <c r="I970" s="104">
        <f>IF('G MTTS'!W963=0," ",'G MTTS'!W963*$A$3)</f>
        <v>8</v>
      </c>
      <c r="J970" s="104">
        <f>IF('G MTTS'!Z963=0," ",'G MTTS'!Z963*$A$3)</f>
        <v>8</v>
      </c>
      <c r="K970" s="105">
        <f>'G MTTS'!AF963</f>
        <v>10000</v>
      </c>
      <c r="L970" s="105">
        <f>'G MTTS'!X963</f>
        <v>0</v>
      </c>
      <c r="M970" s="105">
        <f>'G MTTS'!AA963</f>
        <v>20000</v>
      </c>
      <c r="N970" s="106">
        <f>'G MTTS'!AG963</f>
        <v>4</v>
      </c>
      <c r="O970" s="106">
        <f>'G MTTS'!AH963</f>
        <v>4</v>
      </c>
      <c r="P970" s="106">
        <f>'G MTTS'!AI963</f>
        <v>4</v>
      </c>
      <c r="Q970" s="107">
        <f>'G MTTS'!AJ963</f>
        <v>9</v>
      </c>
      <c r="R970" s="46">
        <f t="shared" si="93"/>
        <v>0.920844907407407</v>
      </c>
      <c r="S970" s="47" t="str">
        <f t="shared" si="94"/>
        <v>MICRO</v>
      </c>
    </row>
    <row r="971" ht="29.25" customHeight="1" outlineLevel="1" spans="1:19">
      <c r="A971" s="135"/>
      <c r="B971" s="109"/>
      <c r="C971" s="110"/>
      <c r="D971" s="111"/>
      <c r="E971" s="112"/>
      <c r="F971" s="113"/>
      <c r="G971" s="114"/>
      <c r="H971" s="115"/>
      <c r="I971" s="115"/>
      <c r="J971" s="115"/>
      <c r="K971" s="116"/>
      <c r="L971" s="116"/>
      <c r="M971" s="116"/>
      <c r="N971" s="117"/>
      <c r="O971" s="117"/>
      <c r="P971" s="117"/>
      <c r="Q971" s="118"/>
      <c r="R971" s="46"/>
      <c r="S971" s="47"/>
    </row>
    <row r="972" ht="29.25" customHeight="1" outlineLevel="1" spans="1:19">
      <c r="A972" s="119" t="str">
        <f>'G MTTS'!J965</f>
        <v>SPS 76-M Supremo</v>
      </c>
      <c r="B972" s="98">
        <f>'G MTTS'!B965</f>
        <v>0.833344907407407</v>
      </c>
      <c r="C972" s="99" t="str">
        <f>'G MTTS'!L965</f>
        <v>1 Seat 76-M Supremo</v>
      </c>
      <c r="D972" s="120" t="str">
        <f>'G MTTS'!M965</f>
        <v>SAT</v>
      </c>
      <c r="E972" s="101" t="str">
        <f>'G MTTS'!N965</f>
        <v>NLH</v>
      </c>
      <c r="F972" s="102" t="str">
        <f>'G MTTS'!O965</f>
        <v>OFF</v>
      </c>
      <c r="G972" s="103">
        <f>IF('G MTTS'!Q965=0," ",'G MTTS'!Q965*$A$3)</f>
        <v>1000</v>
      </c>
      <c r="H972" s="104">
        <f>IF('G MTTS'!V965=0," ",'G MTTS'!V965*$A$3)</f>
        <v>5</v>
      </c>
      <c r="I972" s="104">
        <f>IF('G MTTS'!W965=0," ",'G MTTS'!W965*$A$3)</f>
        <v>5</v>
      </c>
      <c r="J972" s="104">
        <f>IF('G MTTS'!Z965=0," ",'G MTTS'!Z965*$A$3)</f>
        <v>15</v>
      </c>
      <c r="K972" s="105">
        <f>'G MTTS'!AF965</f>
        <v>30000</v>
      </c>
      <c r="L972" s="105">
        <f>'G MTTS'!X965</f>
        <v>40000</v>
      </c>
      <c r="M972" s="105">
        <f>'G MTTS'!AA965</f>
        <v>90000</v>
      </c>
      <c r="N972" s="106">
        <f>'G MTTS'!AG965</f>
        <v>8</v>
      </c>
      <c r="O972" s="106">
        <f>'G MTTS'!AH965</f>
        <v>6</v>
      </c>
      <c r="P972" s="106">
        <f>'G MTTS'!AI965</f>
        <v>5</v>
      </c>
      <c r="Q972" s="107">
        <f>'G MTTS'!AJ965</f>
        <v>15</v>
      </c>
      <c r="R972" s="46">
        <f t="shared" ref="R972:R979" si="95">IF(B972=0," ",TIME(,ROUNDDOWN(N972*Q972/60,0)*5+(N972*Q972),)+B972)</f>
        <v>0.923622685185185</v>
      </c>
      <c r="S972" s="47" t="str">
        <f t="shared" ref="S972:S979" si="96">IFERROR(IF(H972=0," ",IF(H972&lt;=25,"MICRO",IF(H972&lt;=99,"LOW",IF(H972&lt;=499,"MEDIUM",IF(H972&lt;=2500,"HIGH",IF(H972&gt;2500,"SUPER HIGH",)))))),"")</f>
        <v>MICRO</v>
      </c>
    </row>
    <row r="973" ht="29.25" customHeight="1" outlineLevel="1" spans="1:19">
      <c r="A973" s="135"/>
      <c r="B973" s="109"/>
      <c r="C973" s="110"/>
      <c r="D973" s="111"/>
      <c r="E973" s="112"/>
      <c r="F973" s="113"/>
      <c r="G973" s="114"/>
      <c r="H973" s="115"/>
      <c r="I973" s="115"/>
      <c r="J973" s="115"/>
      <c r="K973" s="116"/>
      <c r="L973" s="116"/>
      <c r="M973" s="116"/>
      <c r="N973" s="117"/>
      <c r="O973" s="117"/>
      <c r="P973" s="117"/>
      <c r="Q973" s="118"/>
      <c r="R973" s="46" t="str">
        <f t="shared" si="95"/>
        <v> </v>
      </c>
      <c r="S973" s="47" t="str">
        <f t="shared" si="96"/>
        <v> </v>
      </c>
    </row>
    <row r="974" ht="29.25" customHeight="1" outlineLevel="1" spans="1:19">
      <c r="A974" s="121" t="str">
        <f>'G MTTS'!J967</f>
        <v>30 Seats Supremo</v>
      </c>
      <c r="B974" s="122">
        <f>'G MTTS'!B967</f>
        <v>0.500011574074074</v>
      </c>
      <c r="C974" s="123" t="str">
        <f>'G MTTS'!L967</f>
        <v>Step 76-M Supremo</v>
      </c>
      <c r="D974" s="120" t="str">
        <f>'G MTTS'!M967</f>
        <v>SAT</v>
      </c>
      <c r="E974" s="101" t="str">
        <f>'G MTTS'!N967</f>
        <v>NLH</v>
      </c>
      <c r="F974" s="102" t="str">
        <f>'G MTTS'!O967</f>
        <v>OFF</v>
      </c>
      <c r="G974" s="103">
        <f>IF('G MTTS'!Q967=0," ",'G MTTS'!Q967*$A$3)</f>
        <v>300</v>
      </c>
      <c r="H974" s="104">
        <f>IF('G MTTS'!V967=0," ",'G MTTS'!V967*$A$3)</f>
        <v>3</v>
      </c>
      <c r="I974" s="104">
        <f>IF('G MTTS'!W967=0," ",'G MTTS'!W967*$A$3)</f>
        <v>5</v>
      </c>
      <c r="J974" s="104">
        <f>IF('G MTTS'!Z967=0," ",'G MTTS'!Z967*$A$3)</f>
        <v>5</v>
      </c>
      <c r="K974" s="105">
        <f>'G MTTS'!AF967</f>
        <v>20000</v>
      </c>
      <c r="L974" s="105">
        <f>'G MTTS'!X967</f>
        <v>25000</v>
      </c>
      <c r="M974" s="105">
        <f>'G MTTS'!AA967</f>
        <v>40000</v>
      </c>
      <c r="N974" s="106">
        <f>'G MTTS'!AG967</f>
        <v>7</v>
      </c>
      <c r="O974" s="106">
        <f>'G MTTS'!AH967</f>
        <v>6</v>
      </c>
      <c r="P974" s="106">
        <f>'G MTTS'!AI967</f>
        <v>5</v>
      </c>
      <c r="Q974" s="107">
        <f>'G MTTS'!AJ967</f>
        <v>13</v>
      </c>
      <c r="R974" s="46">
        <f t="shared" si="95"/>
        <v>0.566678240740741</v>
      </c>
      <c r="S974" s="47" t="str">
        <f t="shared" si="96"/>
        <v>MICRO</v>
      </c>
    </row>
    <row r="975" ht="29.25" customHeight="1" outlineLevel="1" spans="1:19">
      <c r="A975" s="29"/>
      <c r="B975" s="128">
        <f>'G MTTS'!B968</f>
        <v>0.583344907407407</v>
      </c>
      <c r="C975" s="129" t="str">
        <f>'G MTTS'!L968</f>
        <v>Step 76-M Supremo</v>
      </c>
      <c r="D975" s="120" t="str">
        <f>'G MTTS'!M968</f>
        <v>SAT</v>
      </c>
      <c r="E975" s="101" t="str">
        <f>'G MTTS'!N968</f>
        <v>NLH</v>
      </c>
      <c r="F975" s="102" t="str">
        <f>'G MTTS'!O968</f>
        <v>OFF</v>
      </c>
      <c r="G975" s="103">
        <f>IF('G MTTS'!Q968=0," ",'G MTTS'!Q968*$A$3)</f>
        <v>300</v>
      </c>
      <c r="H975" s="104">
        <f>IF('G MTTS'!V968=0," ",'G MTTS'!V968*$A$3)</f>
        <v>3</v>
      </c>
      <c r="I975" s="104">
        <f>IF('G MTTS'!W968=0," ",'G MTTS'!W968*$A$3)</f>
        <v>5</v>
      </c>
      <c r="J975" s="104">
        <f>IF('G MTTS'!Z968=0," ",'G MTTS'!Z968*$A$3)</f>
        <v>5</v>
      </c>
      <c r="K975" s="105">
        <f>'G MTTS'!AF968</f>
        <v>20000</v>
      </c>
      <c r="L975" s="105">
        <f>'G MTTS'!X968</f>
        <v>25000</v>
      </c>
      <c r="M975" s="105">
        <f>'G MTTS'!AA968</f>
        <v>40000</v>
      </c>
      <c r="N975" s="106">
        <f>'G MTTS'!AG968</f>
        <v>7</v>
      </c>
      <c r="O975" s="106">
        <f>'G MTTS'!AH968</f>
        <v>6</v>
      </c>
      <c r="P975" s="106">
        <f>'G MTTS'!AI968</f>
        <v>5</v>
      </c>
      <c r="Q975" s="107">
        <f>'G MTTS'!AJ968</f>
        <v>13</v>
      </c>
      <c r="R975" s="46">
        <f t="shared" si="95"/>
        <v>0.650011574074074</v>
      </c>
      <c r="S975" s="47" t="str">
        <f t="shared" si="96"/>
        <v>MICRO</v>
      </c>
    </row>
    <row r="976" ht="29.25" customHeight="1" outlineLevel="1" spans="1:19">
      <c r="A976" s="29"/>
      <c r="B976" s="128">
        <f>'G MTTS'!B969</f>
        <v>0.666678240740741</v>
      </c>
      <c r="C976" s="129" t="str">
        <f>'G MTTS'!L969</f>
        <v>Step 76-M Supremo</v>
      </c>
      <c r="D976" s="120" t="str">
        <f>'G MTTS'!M969</f>
        <v>SAT</v>
      </c>
      <c r="E976" s="101" t="str">
        <f>'G MTTS'!N969</f>
        <v>NLH</v>
      </c>
      <c r="F976" s="102" t="str">
        <f>'G MTTS'!O969</f>
        <v>OFF</v>
      </c>
      <c r="G976" s="103">
        <f>IF('G MTTS'!Q969=0," ",'G MTTS'!Q969*$A$3)</f>
        <v>300</v>
      </c>
      <c r="H976" s="104">
        <f>IF('G MTTS'!V969=0," ",'G MTTS'!V969*$A$3)</f>
        <v>3</v>
      </c>
      <c r="I976" s="104">
        <f>IF('G MTTS'!W969=0," ",'G MTTS'!W969*$A$3)</f>
        <v>5</v>
      </c>
      <c r="J976" s="104">
        <f>IF('G MTTS'!Z969=0," ",'G MTTS'!Z969*$A$3)</f>
        <v>5</v>
      </c>
      <c r="K976" s="105">
        <f>'G MTTS'!AF969</f>
        <v>20000</v>
      </c>
      <c r="L976" s="105">
        <f>'G MTTS'!X969</f>
        <v>25000</v>
      </c>
      <c r="M976" s="105">
        <f>'G MTTS'!AA969</f>
        <v>40000</v>
      </c>
      <c r="N976" s="106">
        <f>'G MTTS'!AG969</f>
        <v>7</v>
      </c>
      <c r="O976" s="106">
        <f>'G MTTS'!AH969</f>
        <v>6</v>
      </c>
      <c r="P976" s="106">
        <f>'G MTTS'!AI969</f>
        <v>5</v>
      </c>
      <c r="Q976" s="107">
        <f>'G MTTS'!AJ969</f>
        <v>13</v>
      </c>
      <c r="R976" s="46">
        <f t="shared" si="95"/>
        <v>0.733344907407407</v>
      </c>
      <c r="S976" s="47" t="str">
        <f t="shared" si="96"/>
        <v>MICRO</v>
      </c>
    </row>
    <row r="977" ht="29.25" customHeight="1" outlineLevel="1" spans="1:19">
      <c r="A977" s="29"/>
      <c r="B977" s="128">
        <f>'G MTTS'!B970</f>
        <v>0.750011574074074</v>
      </c>
      <c r="C977" s="129" t="str">
        <f>'G MTTS'!L970</f>
        <v>Step 76-M Supremo</v>
      </c>
      <c r="D977" s="120" t="str">
        <f>'G MTTS'!M970</f>
        <v>SAT</v>
      </c>
      <c r="E977" s="101" t="str">
        <f>'G MTTS'!N970</f>
        <v>NLH</v>
      </c>
      <c r="F977" s="102" t="str">
        <f>'G MTTS'!O970</f>
        <v>OFF</v>
      </c>
      <c r="G977" s="103">
        <f>IF('G MTTS'!Q970=0," ",'G MTTS'!Q970*$A$3)</f>
        <v>300</v>
      </c>
      <c r="H977" s="104">
        <f>IF('G MTTS'!V970=0," ",'G MTTS'!V970*$A$3)</f>
        <v>3</v>
      </c>
      <c r="I977" s="104">
        <f>IF('G MTTS'!W970=0," ",'G MTTS'!W970*$A$3)</f>
        <v>5</v>
      </c>
      <c r="J977" s="104">
        <f>IF('G MTTS'!Z970=0," ",'G MTTS'!Z970*$A$3)</f>
        <v>5</v>
      </c>
      <c r="K977" s="105">
        <f>'G MTTS'!AF970</f>
        <v>20000</v>
      </c>
      <c r="L977" s="105">
        <f>'G MTTS'!X970</f>
        <v>25000</v>
      </c>
      <c r="M977" s="105">
        <f>'G MTTS'!AA970</f>
        <v>40000</v>
      </c>
      <c r="N977" s="106">
        <f>'G MTTS'!AG970</f>
        <v>7</v>
      </c>
      <c r="O977" s="106">
        <f>'G MTTS'!AH970</f>
        <v>6</v>
      </c>
      <c r="P977" s="106">
        <f>'G MTTS'!AI970</f>
        <v>5</v>
      </c>
      <c r="Q977" s="107">
        <f>'G MTTS'!AJ970</f>
        <v>13</v>
      </c>
      <c r="R977" s="46">
        <f t="shared" si="95"/>
        <v>0.816678240740741</v>
      </c>
      <c r="S977" s="47" t="str">
        <f t="shared" si="96"/>
        <v>MICRO</v>
      </c>
    </row>
    <row r="978" ht="29.25" customHeight="1" outlineLevel="1" spans="1:19">
      <c r="A978" s="29"/>
      <c r="B978" s="128">
        <f>'G MTTS'!B971</f>
        <v>0.833344907407407</v>
      </c>
      <c r="C978" s="129" t="str">
        <f>'G MTTS'!L971</f>
        <v>Step 76-M Supremo</v>
      </c>
      <c r="D978" s="120" t="str">
        <f>'G MTTS'!M971</f>
        <v>SAT</v>
      </c>
      <c r="E978" s="101" t="str">
        <f>'G MTTS'!N971</f>
        <v>NLH</v>
      </c>
      <c r="F978" s="102" t="str">
        <f>'G MTTS'!O971</f>
        <v>OFF</v>
      </c>
      <c r="G978" s="103">
        <f>IF('G MTTS'!Q971=0," ",'G MTTS'!Q971*$A$3)</f>
        <v>300</v>
      </c>
      <c r="H978" s="104">
        <f>IF('G MTTS'!V971=0," ",'G MTTS'!V971*$A$3)</f>
        <v>3</v>
      </c>
      <c r="I978" s="104">
        <f>IF('G MTTS'!W971=0," ",'G MTTS'!W971*$A$3)</f>
        <v>5</v>
      </c>
      <c r="J978" s="104">
        <f>IF('G MTTS'!Z971=0," ",'G MTTS'!Z971*$A$3)</f>
        <v>5</v>
      </c>
      <c r="K978" s="105">
        <f>'G MTTS'!AF971</f>
        <v>20000</v>
      </c>
      <c r="L978" s="105">
        <f>'G MTTS'!X971</f>
        <v>25000</v>
      </c>
      <c r="M978" s="105">
        <f>'G MTTS'!AA971</f>
        <v>40000</v>
      </c>
      <c r="N978" s="106">
        <f>'G MTTS'!AG971</f>
        <v>7</v>
      </c>
      <c r="O978" s="106">
        <f>'G MTTS'!AH971</f>
        <v>6</v>
      </c>
      <c r="P978" s="106">
        <f>'G MTTS'!AI971</f>
        <v>5</v>
      </c>
      <c r="Q978" s="107">
        <f>'G MTTS'!AJ971</f>
        <v>13</v>
      </c>
      <c r="R978" s="46">
        <f t="shared" si="95"/>
        <v>0.900011574074074</v>
      </c>
      <c r="S978" s="47" t="str">
        <f t="shared" si="96"/>
        <v>MICRO</v>
      </c>
    </row>
    <row r="979" ht="29.25" customHeight="1" outlineLevel="1" spans="1:19">
      <c r="A979" s="124"/>
      <c r="B979" s="125">
        <f>'G MTTS'!B972</f>
        <v>0.916678240740741</v>
      </c>
      <c r="C979" s="126" t="str">
        <f>'G MTTS'!L972</f>
        <v>Step 76-M Supremo</v>
      </c>
      <c r="D979" s="120" t="str">
        <f>'G MTTS'!M972</f>
        <v>SAT</v>
      </c>
      <c r="E979" s="101" t="str">
        <f>'G MTTS'!N972</f>
        <v>NLH</v>
      </c>
      <c r="F979" s="102" t="str">
        <f>'G MTTS'!O972</f>
        <v>OFF</v>
      </c>
      <c r="G979" s="103">
        <f>IF('G MTTS'!Q972=0," ",'G MTTS'!Q972*$A$3)</f>
        <v>300</v>
      </c>
      <c r="H979" s="104">
        <f>IF('G MTTS'!V972=0," ",'G MTTS'!V972*$A$3)</f>
        <v>3</v>
      </c>
      <c r="I979" s="104">
        <f>IF('G MTTS'!W972=0," ",'G MTTS'!W972*$A$3)</f>
        <v>5</v>
      </c>
      <c r="J979" s="104">
        <f>IF('G MTTS'!Z972=0," ",'G MTTS'!Z972*$A$3)</f>
        <v>5</v>
      </c>
      <c r="K979" s="105">
        <f>'G MTTS'!AF972</f>
        <v>20000</v>
      </c>
      <c r="L979" s="105">
        <f>'G MTTS'!X972</f>
        <v>25000</v>
      </c>
      <c r="M979" s="105">
        <f>'G MTTS'!AA972</f>
        <v>40000</v>
      </c>
      <c r="N979" s="106">
        <f>'G MTTS'!AG972</f>
        <v>7</v>
      </c>
      <c r="O979" s="106">
        <f>'G MTTS'!AH972</f>
        <v>6</v>
      </c>
      <c r="P979" s="106">
        <f>'G MTTS'!AI972</f>
        <v>5</v>
      </c>
      <c r="Q979" s="107">
        <f>'G MTTS'!AJ972</f>
        <v>13</v>
      </c>
      <c r="R979" s="46">
        <f t="shared" si="95"/>
        <v>0.983344907407407</v>
      </c>
      <c r="S979" s="47" t="str">
        <f t="shared" si="96"/>
        <v>MICRO</v>
      </c>
    </row>
    <row r="980" ht="29.25" customHeight="1" outlineLevel="1" spans="1:19">
      <c r="A980" s="135"/>
      <c r="B980" s="109"/>
      <c r="C980" s="110"/>
      <c r="D980" s="111"/>
      <c r="E980" s="112"/>
      <c r="F980" s="113"/>
      <c r="G980" s="114"/>
      <c r="H980" s="115"/>
      <c r="I980" s="115"/>
      <c r="J980" s="115"/>
      <c r="K980" s="116"/>
      <c r="L980" s="116"/>
      <c r="M980" s="116"/>
      <c r="N980" s="117"/>
      <c r="O980" s="117"/>
      <c r="P980" s="117"/>
      <c r="Q980" s="118"/>
      <c r="R980" s="46"/>
      <c r="S980" s="47"/>
    </row>
    <row r="981" ht="29.25" customHeight="1" outlineLevel="1" spans="1:19">
      <c r="A981" s="121" t="str">
        <f>'G MTTS'!J974</f>
        <v>Suprema Poker Tour</v>
      </c>
      <c r="B981" s="122">
        <f>'G MTTS'!B974</f>
        <v>0.437511574074074</v>
      </c>
      <c r="C981" s="123" t="str">
        <f>'G MTTS'!L974</f>
        <v>10 Seats SPT</v>
      </c>
      <c r="D981" s="120" t="str">
        <f>'G MTTS'!M974</f>
        <v>SAT</v>
      </c>
      <c r="E981" s="101" t="str">
        <f>'G MTTS'!N974</f>
        <v>NLH</v>
      </c>
      <c r="F981" s="102" t="str">
        <f>'G MTTS'!O974</f>
        <v>OFF</v>
      </c>
      <c r="G981" s="103">
        <f>IF('G MTTS'!Q974=0," ",'G MTTS'!Q974*$A$3)</f>
        <v>2000</v>
      </c>
      <c r="H981" s="104">
        <f>IF('G MTTS'!V974=0," ",'G MTTS'!V974*$A$3)</f>
        <v>10</v>
      </c>
      <c r="I981" s="104">
        <f>IF('G MTTS'!W974=0," ",'G MTTS'!W974*$A$3)</f>
        <v>15</v>
      </c>
      <c r="J981" s="104">
        <f>IF('G MTTS'!Z974=0," ",'G MTTS'!Z974*$A$3)</f>
        <v>20</v>
      </c>
      <c r="K981" s="105">
        <f>'G MTTS'!AF974</f>
        <v>30000</v>
      </c>
      <c r="L981" s="105">
        <f>'G MTTS'!X974</f>
        <v>0</v>
      </c>
      <c r="M981" s="105">
        <f>'G MTTS'!AA974</f>
        <v>50000</v>
      </c>
      <c r="N981" s="106">
        <f>'G MTTS'!AG974</f>
        <v>7</v>
      </c>
      <c r="O981" s="106">
        <f>'G MTTS'!AH974</f>
        <v>6</v>
      </c>
      <c r="P981" s="106">
        <f>'G MTTS'!AI974</f>
        <v>5</v>
      </c>
      <c r="Q981" s="107">
        <f>'G MTTS'!AJ974</f>
        <v>13</v>
      </c>
      <c r="R981" s="46">
        <f t="shared" ref="R981:R987" si="97">IF(B981=0," ",TIME(,ROUNDDOWN(N981*Q981/60,0)*5+(N981*Q981),)+B981)</f>
        <v>0.504178240740741</v>
      </c>
      <c r="S981" s="47" t="str">
        <f t="shared" ref="S981:S987" si="98">IFERROR(IF(H981=0," ",IF(H981&lt;=25,"MICRO",IF(H981&lt;=99,"LOW",IF(H981&lt;=499,"MEDIUM",IF(H981&lt;=2500,"HIGH",IF(H981&gt;2500,"SUPER HIGH",)))))),"")</f>
        <v>MICRO</v>
      </c>
    </row>
    <row r="982" ht="29.25" customHeight="1" outlineLevel="1" spans="1:19">
      <c r="A982" s="29"/>
      <c r="B982" s="128">
        <f>'G MTTS'!B975</f>
        <v>0.520844907407407</v>
      </c>
      <c r="C982" s="129" t="str">
        <f>'G MTTS'!L975</f>
        <v>FreeBuy 10 Seats SPT</v>
      </c>
      <c r="D982" s="120" t="str">
        <f>'G MTTS'!M975</f>
        <v>SAT</v>
      </c>
      <c r="E982" s="101" t="str">
        <f>'G MTTS'!N975</f>
        <v>NLH</v>
      </c>
      <c r="F982" s="102" t="str">
        <f>'G MTTS'!O975</f>
        <v>OFF</v>
      </c>
      <c r="G982" s="103">
        <f>IF('G MTTS'!Q975=0," ",'G MTTS'!Q975*$A$3)</f>
        <v>2000</v>
      </c>
      <c r="H982" s="104" t="str">
        <f>IF('G MTTS'!V975=0," ",'G MTTS'!V975*$A$3)</f>
        <v> </v>
      </c>
      <c r="I982" s="104">
        <f>IF('G MTTS'!W975=0," ",'G MTTS'!W975*$A$3)</f>
        <v>10</v>
      </c>
      <c r="J982" s="104">
        <f>IF('G MTTS'!Z975=0," ",'G MTTS'!Z975*$A$3)</f>
        <v>20</v>
      </c>
      <c r="K982" s="105">
        <f>'G MTTS'!AF975</f>
        <v>20000</v>
      </c>
      <c r="L982" s="105">
        <f>'G MTTS'!X975</f>
        <v>25000</v>
      </c>
      <c r="M982" s="105">
        <f>'G MTTS'!AA975</f>
        <v>60000</v>
      </c>
      <c r="N982" s="106">
        <f>'G MTTS'!AG975</f>
        <v>7</v>
      </c>
      <c r="O982" s="106">
        <f>'G MTTS'!AH975</f>
        <v>6</v>
      </c>
      <c r="P982" s="106">
        <f>'G MTTS'!AI975</f>
        <v>5</v>
      </c>
      <c r="Q982" s="107">
        <f>'G MTTS'!AJ975</f>
        <v>13</v>
      </c>
      <c r="R982" s="46">
        <f t="shared" si="97"/>
        <v>0.587511574074074</v>
      </c>
      <c r="S982" s="47" t="str">
        <f t="shared" si="98"/>
        <v>SUPER HIGH</v>
      </c>
    </row>
    <row r="983" ht="29.25" customHeight="1" outlineLevel="1" spans="1:19">
      <c r="A983" s="29"/>
      <c r="B983" s="128">
        <f>'G MTTS'!B976</f>
        <v>0.604178240740741</v>
      </c>
      <c r="C983" s="129" t="str">
        <f>'G MTTS'!L976</f>
        <v>10 Seats SPT</v>
      </c>
      <c r="D983" s="120" t="str">
        <f>'G MTTS'!M976</f>
        <v>SAT</v>
      </c>
      <c r="E983" s="101" t="str">
        <f>'G MTTS'!N976</f>
        <v>NLH</v>
      </c>
      <c r="F983" s="102" t="str">
        <f>'G MTTS'!O976</f>
        <v>OFF</v>
      </c>
      <c r="G983" s="103">
        <f>IF('G MTTS'!Q976=0," ",'G MTTS'!Q976*$A$3)</f>
        <v>2000</v>
      </c>
      <c r="H983" s="104">
        <f>IF('G MTTS'!V976=0," ",'G MTTS'!V976*$A$3)</f>
        <v>10</v>
      </c>
      <c r="I983" s="104">
        <f>IF('G MTTS'!W976=0," ",'G MTTS'!W976*$A$3)</f>
        <v>15</v>
      </c>
      <c r="J983" s="104">
        <f>IF('G MTTS'!Z976=0," ",'G MTTS'!Z976*$A$3)</f>
        <v>20</v>
      </c>
      <c r="K983" s="105">
        <f>'G MTTS'!AF976</f>
        <v>15000</v>
      </c>
      <c r="L983" s="105">
        <f>'G MTTS'!X976</f>
        <v>0</v>
      </c>
      <c r="M983" s="105">
        <f>'G MTTS'!AA976</f>
        <v>30000</v>
      </c>
      <c r="N983" s="106">
        <f>'G MTTS'!AG976</f>
        <v>6</v>
      </c>
      <c r="O983" s="106">
        <f>'G MTTS'!AH976</f>
        <v>5</v>
      </c>
      <c r="P983" s="106">
        <f>'G MTTS'!AI976</f>
        <v>4</v>
      </c>
      <c r="Q983" s="107">
        <f>'G MTTS'!AJ976</f>
        <v>11</v>
      </c>
      <c r="R983" s="46">
        <f t="shared" si="97"/>
        <v>0.653483796296296</v>
      </c>
      <c r="S983" s="47" t="str">
        <f t="shared" si="98"/>
        <v>MICRO</v>
      </c>
    </row>
    <row r="984" ht="29.25" customHeight="1" outlineLevel="1" spans="1:19">
      <c r="A984" s="29"/>
      <c r="B984" s="128">
        <f>'G MTTS'!B977</f>
        <v>0.666678240740741</v>
      </c>
      <c r="C984" s="129" t="str">
        <f>'G MTTS'!L977</f>
        <v>10 Seats SPT</v>
      </c>
      <c r="D984" s="120" t="str">
        <f>'G MTTS'!M977</f>
        <v>SAT</v>
      </c>
      <c r="E984" s="101" t="str">
        <f>'G MTTS'!N977</f>
        <v>NLH</v>
      </c>
      <c r="F984" s="102" t="str">
        <f>'G MTTS'!O977</f>
        <v>OFF</v>
      </c>
      <c r="G984" s="103">
        <f>IF('G MTTS'!Q977=0," ",'G MTTS'!Q977*$A$3)</f>
        <v>2000</v>
      </c>
      <c r="H984" s="104">
        <f>IF('G MTTS'!V977=0," ",'G MTTS'!V977*$A$3)</f>
        <v>10</v>
      </c>
      <c r="I984" s="104">
        <f>IF('G MTTS'!W977=0," ",'G MTTS'!W977*$A$3)</f>
        <v>15</v>
      </c>
      <c r="J984" s="104">
        <f>IF('G MTTS'!Z977=0," ",'G MTTS'!Z977*$A$3)</f>
        <v>20</v>
      </c>
      <c r="K984" s="105">
        <f>'G MTTS'!AF977</f>
        <v>15000</v>
      </c>
      <c r="L984" s="105">
        <f>'G MTTS'!X977</f>
        <v>0</v>
      </c>
      <c r="M984" s="105">
        <f>'G MTTS'!AA977</f>
        <v>30000</v>
      </c>
      <c r="N984" s="106">
        <f>'G MTTS'!AG977</f>
        <v>6</v>
      </c>
      <c r="O984" s="106">
        <f>'G MTTS'!AH977</f>
        <v>5</v>
      </c>
      <c r="P984" s="106">
        <f>'G MTTS'!AI977</f>
        <v>4</v>
      </c>
      <c r="Q984" s="107">
        <f>'G MTTS'!AJ977</f>
        <v>11</v>
      </c>
      <c r="R984" s="46">
        <f t="shared" si="97"/>
        <v>0.715983796296296</v>
      </c>
      <c r="S984" s="47" t="str">
        <f t="shared" si="98"/>
        <v>MICRO</v>
      </c>
    </row>
    <row r="985" ht="29.25" customHeight="1" outlineLevel="1" spans="1:19">
      <c r="A985" s="124"/>
      <c r="B985" s="125">
        <f>'G MTTS'!B978</f>
        <v>0.750011574074074</v>
      </c>
      <c r="C985" s="126" t="str">
        <f>'G MTTS'!L978</f>
        <v>10 Seats SPT</v>
      </c>
      <c r="D985" s="120" t="str">
        <f>'G MTTS'!M978</f>
        <v>SAT</v>
      </c>
      <c r="E985" s="101" t="str">
        <f>'G MTTS'!N978</f>
        <v>NLH</v>
      </c>
      <c r="F985" s="102" t="str">
        <f>'G MTTS'!O978</f>
        <v>OFF</v>
      </c>
      <c r="G985" s="103">
        <f>IF('G MTTS'!Q978=0," ",'G MTTS'!Q978*$A$3)</f>
        <v>2000</v>
      </c>
      <c r="H985" s="104">
        <f>IF('G MTTS'!V978=0," ",'G MTTS'!V978*$A$3)</f>
        <v>10</v>
      </c>
      <c r="I985" s="104">
        <f>IF('G MTTS'!W978=0," ",'G MTTS'!W978*$A$3)</f>
        <v>15</v>
      </c>
      <c r="J985" s="104">
        <f>IF('G MTTS'!Z978=0," ",'G MTTS'!Z978*$A$3)</f>
        <v>20</v>
      </c>
      <c r="K985" s="105">
        <f>'G MTTS'!AF978</f>
        <v>15000</v>
      </c>
      <c r="L985" s="105">
        <f>'G MTTS'!X978</f>
        <v>0</v>
      </c>
      <c r="M985" s="105">
        <f>'G MTTS'!AA978</f>
        <v>30000</v>
      </c>
      <c r="N985" s="106">
        <f>'G MTTS'!AG978</f>
        <v>5</v>
      </c>
      <c r="O985" s="106">
        <f>'G MTTS'!AH978</f>
        <v>4</v>
      </c>
      <c r="P985" s="106">
        <f>'G MTTS'!AI978</f>
        <v>4</v>
      </c>
      <c r="Q985" s="107">
        <f>'G MTTS'!AJ978</f>
        <v>11</v>
      </c>
      <c r="R985" s="46">
        <f t="shared" si="97"/>
        <v>0.788206018518518</v>
      </c>
      <c r="S985" s="47" t="str">
        <f t="shared" si="98"/>
        <v>MICRO</v>
      </c>
    </row>
    <row r="986" ht="29.25" customHeight="1" outlineLevel="1" spans="1:19">
      <c r="A986" s="135"/>
      <c r="B986" s="109"/>
      <c r="C986" s="110"/>
      <c r="D986" s="111"/>
      <c r="E986" s="112"/>
      <c r="F986" s="113"/>
      <c r="G986" s="114"/>
      <c r="H986" s="115"/>
      <c r="I986" s="115"/>
      <c r="J986" s="115"/>
      <c r="K986" s="116"/>
      <c r="L986" s="116"/>
      <c r="M986" s="116"/>
      <c r="N986" s="117"/>
      <c r="O986" s="117"/>
      <c r="P986" s="117"/>
      <c r="Q986" s="118"/>
      <c r="R986" s="46" t="str">
        <f t="shared" si="97"/>
        <v> </v>
      </c>
      <c r="S986" s="47" t="str">
        <f t="shared" si="98"/>
        <v> </v>
      </c>
    </row>
    <row r="987" ht="29.25" customHeight="1" outlineLevel="1" spans="1:19">
      <c r="A987" s="119" t="str">
        <f>'G MTTS'!J980</f>
        <v>Suprema Poker Tour</v>
      </c>
      <c r="B987" s="98">
        <f>'G MTTS'!B980</f>
        <v>0.833344907407407</v>
      </c>
      <c r="C987" s="99" t="str">
        <f>'G MTTS'!L980</f>
        <v>Mega Sat SPT</v>
      </c>
      <c r="D987" s="120" t="str">
        <f>'G MTTS'!M980</f>
        <v>SAT</v>
      </c>
      <c r="E987" s="101" t="str">
        <f>'G MTTS'!N980</f>
        <v>NLH</v>
      </c>
      <c r="F987" s="102" t="str">
        <f>'G MTTS'!O980</f>
        <v>OFF</v>
      </c>
      <c r="G987" s="103">
        <f>IF('G MTTS'!Q980=0," ",'G MTTS'!Q980*$A$3)</f>
        <v>85000</v>
      </c>
      <c r="H987" s="104">
        <f>IF('G MTTS'!V980=0," ",'G MTTS'!V980*$A$3)</f>
        <v>200</v>
      </c>
      <c r="I987" s="104">
        <f>IF('G MTTS'!W980=0," ",'G MTTS'!W980*$A$3)</f>
        <v>200</v>
      </c>
      <c r="J987" s="104">
        <f>IF('G MTTS'!Z980=0," ",'G MTTS'!Z980*$A$3)</f>
        <v>300</v>
      </c>
      <c r="K987" s="105">
        <f>'G MTTS'!AF980</f>
        <v>30000</v>
      </c>
      <c r="L987" s="105">
        <f>'G MTTS'!X980</f>
        <v>40000</v>
      </c>
      <c r="M987" s="105">
        <f>'G MTTS'!AA980</f>
        <v>90000</v>
      </c>
      <c r="N987" s="106">
        <f>'G MTTS'!AG980</f>
        <v>10</v>
      </c>
      <c r="O987" s="106">
        <f>'G MTTS'!AH980</f>
        <v>8</v>
      </c>
      <c r="P987" s="106">
        <f>'G MTTS'!AI980</f>
        <v>8</v>
      </c>
      <c r="Q987" s="107">
        <f>'G MTTS'!AJ980</f>
        <v>14</v>
      </c>
      <c r="R987" s="46">
        <f t="shared" si="97"/>
        <v>0.937511574074074</v>
      </c>
      <c r="S987" s="47" t="str">
        <f t="shared" si="98"/>
        <v>MEDIUM</v>
      </c>
    </row>
    <row r="988" ht="29.25" customHeight="1" outlineLevel="1" spans="1:19">
      <c r="A988" s="135"/>
      <c r="B988" s="109"/>
      <c r="C988" s="110"/>
      <c r="D988" s="111"/>
      <c r="E988" s="112"/>
      <c r="F988" s="113"/>
      <c r="G988" s="114"/>
      <c r="H988" s="115"/>
      <c r="I988" s="115"/>
      <c r="J988" s="115"/>
      <c r="K988" s="116"/>
      <c r="L988" s="116"/>
      <c r="M988" s="116"/>
      <c r="N988" s="117"/>
      <c r="O988" s="117"/>
      <c r="P988" s="117"/>
      <c r="Q988" s="118"/>
      <c r="R988" s="46"/>
      <c r="S988" s="47"/>
    </row>
    <row r="989" ht="29.25" customHeight="1" outlineLevel="1" spans="1:19">
      <c r="A989" s="121" t="str">
        <f>'G MTTS'!J982</f>
        <v>Suprema Poker Tour</v>
      </c>
      <c r="B989" s="122">
        <f>'G MTTS'!B982</f>
        <v>0</v>
      </c>
      <c r="C989" s="123">
        <f>'G MTTS'!L982</f>
        <v>0</v>
      </c>
      <c r="D989" s="120" t="str">
        <f>'G MTTS'!M982</f>
        <v>SAT</v>
      </c>
      <c r="E989" s="101" t="str">
        <f>'G MTTS'!N982</f>
        <v>NLH</v>
      </c>
      <c r="F989" s="102" t="str">
        <f>'G MTTS'!O982</f>
        <v>OFF</v>
      </c>
      <c r="G989" s="103" t="str">
        <f>IF('G MTTS'!Q982=0," ",'G MTTS'!Q982*$A$3)</f>
        <v> </v>
      </c>
      <c r="H989" s="104">
        <f>IF('G MTTS'!V982=0," ",'G MTTS'!V982*$A$3)</f>
        <v>1</v>
      </c>
      <c r="I989" s="104">
        <f>IF('G MTTS'!W982=0," ",'G MTTS'!W982*$A$3)</f>
        <v>4</v>
      </c>
      <c r="J989" s="104">
        <f>IF('G MTTS'!Z982=0," ",'G MTTS'!Z982*$A$3)</f>
        <v>10</v>
      </c>
      <c r="K989" s="105">
        <f>'G MTTS'!AF982</f>
        <v>20000</v>
      </c>
      <c r="L989" s="105">
        <f>'G MTTS'!X982</f>
        <v>25000</v>
      </c>
      <c r="M989" s="105">
        <f>'G MTTS'!AA982</f>
        <v>50000</v>
      </c>
      <c r="N989" s="106">
        <f>'G MTTS'!AG982</f>
        <v>7</v>
      </c>
      <c r="O989" s="106">
        <f>'G MTTS'!AH982</f>
        <v>6</v>
      </c>
      <c r="P989" s="106">
        <f>'G MTTS'!AI982</f>
        <v>5</v>
      </c>
      <c r="Q989" s="107">
        <f>'G MTTS'!AJ982</f>
        <v>13</v>
      </c>
      <c r="R989" s="46" t="str">
        <f t="shared" ref="R989:R996" si="99">IF(B989=0," ",TIME(,ROUNDDOWN(N989*Q989/60,0)*5+(N989*Q989),)+B989)</f>
        <v> </v>
      </c>
      <c r="S989" s="47" t="str">
        <f t="shared" ref="S989:S996" si="100">IFERROR(IF(H989=0," ",IF(H989&lt;=25,"MICRO",IF(H989&lt;=99,"LOW",IF(H989&lt;=499,"MEDIUM",IF(H989&lt;=2500,"HIGH",IF(H989&gt;2500,"SUPER HIGH",)))))),"")</f>
        <v>MICRO</v>
      </c>
    </row>
    <row r="990" ht="29.25" customHeight="1" outlineLevel="1" spans="1:19">
      <c r="A990" s="29"/>
      <c r="B990" s="128">
        <f>'G MTTS'!B983</f>
        <v>0</v>
      </c>
      <c r="C990" s="129">
        <f>'G MTTS'!L983</f>
        <v>0</v>
      </c>
      <c r="D990" s="120" t="str">
        <f>'G MTTS'!M983</f>
        <v>SAT</v>
      </c>
      <c r="E990" s="101" t="str">
        <f>'G MTTS'!N983</f>
        <v>NLH</v>
      </c>
      <c r="F990" s="102" t="str">
        <f>'G MTTS'!O983</f>
        <v>OFF</v>
      </c>
      <c r="G990" s="103" t="str">
        <f>IF('G MTTS'!Q983=0," ",'G MTTS'!Q983*$A$3)</f>
        <v> </v>
      </c>
      <c r="H990" s="104">
        <f>IF('G MTTS'!V983=0," ",'G MTTS'!V983*$A$3)</f>
        <v>1</v>
      </c>
      <c r="I990" s="104">
        <f>IF('G MTTS'!W983=0," ",'G MTTS'!W983*$A$3)</f>
        <v>4</v>
      </c>
      <c r="J990" s="104">
        <f>IF('G MTTS'!Z983=0," ",'G MTTS'!Z983*$A$3)</f>
        <v>10</v>
      </c>
      <c r="K990" s="105">
        <f>'G MTTS'!AF983</f>
        <v>20000</v>
      </c>
      <c r="L990" s="105">
        <f>'G MTTS'!X983</f>
        <v>25000</v>
      </c>
      <c r="M990" s="105">
        <f>'G MTTS'!AA983</f>
        <v>50000</v>
      </c>
      <c r="N990" s="106">
        <f>'G MTTS'!AG983</f>
        <v>7</v>
      </c>
      <c r="O990" s="106">
        <f>'G MTTS'!AH983</f>
        <v>6</v>
      </c>
      <c r="P990" s="106">
        <f>'G MTTS'!AI983</f>
        <v>5</v>
      </c>
      <c r="Q990" s="107">
        <f>'G MTTS'!AJ983</f>
        <v>13</v>
      </c>
      <c r="R990" s="46" t="str">
        <f t="shared" si="99"/>
        <v> </v>
      </c>
      <c r="S990" s="47" t="str">
        <f t="shared" si="100"/>
        <v>MICRO</v>
      </c>
    </row>
    <row r="991" ht="29.25" customHeight="1" outlineLevel="1" spans="1:19">
      <c r="A991" s="29"/>
      <c r="B991" s="128">
        <f>'G MTTS'!B984</f>
        <v>0</v>
      </c>
      <c r="C991" s="129">
        <f>'G MTTS'!L984</f>
        <v>0</v>
      </c>
      <c r="D991" s="120" t="str">
        <f>'G MTTS'!M984</f>
        <v>SAT</v>
      </c>
      <c r="E991" s="101" t="str">
        <f>'G MTTS'!N984</f>
        <v>NLH</v>
      </c>
      <c r="F991" s="102" t="str">
        <f>'G MTTS'!O984</f>
        <v>OFF</v>
      </c>
      <c r="G991" s="103" t="str">
        <f>IF('G MTTS'!Q984=0," ",'G MTTS'!Q984*$A$3)</f>
        <v> </v>
      </c>
      <c r="H991" s="104">
        <f>IF('G MTTS'!V984=0," ",'G MTTS'!V984*$A$3)</f>
        <v>5</v>
      </c>
      <c r="I991" s="104">
        <f>IF('G MTTS'!W984=0," ",'G MTTS'!W984*$A$3)</f>
        <v>5</v>
      </c>
      <c r="J991" s="104">
        <f>IF('G MTTS'!Z984=0," ",'G MTTS'!Z984*$A$3)</f>
        <v>10</v>
      </c>
      <c r="K991" s="105">
        <f>'G MTTS'!AF984</f>
        <v>30000</v>
      </c>
      <c r="L991" s="105">
        <f>'G MTTS'!X984</f>
        <v>0</v>
      </c>
      <c r="M991" s="105">
        <f>'G MTTS'!AA984</f>
        <v>50000</v>
      </c>
      <c r="N991" s="106">
        <f>'G MTTS'!AG984</f>
        <v>7</v>
      </c>
      <c r="O991" s="106">
        <f>'G MTTS'!AH984</f>
        <v>6</v>
      </c>
      <c r="P991" s="106">
        <f>'G MTTS'!AI984</f>
        <v>5</v>
      </c>
      <c r="Q991" s="107">
        <f>'G MTTS'!AJ984</f>
        <v>13</v>
      </c>
      <c r="R991" s="46" t="str">
        <f t="shared" si="99"/>
        <v> </v>
      </c>
      <c r="S991" s="47" t="str">
        <f t="shared" si="100"/>
        <v>MICRO</v>
      </c>
    </row>
    <row r="992" ht="29.25" customHeight="1" outlineLevel="1" spans="1:19">
      <c r="A992" s="29"/>
      <c r="B992" s="128">
        <f>'G MTTS'!B985</f>
        <v>0</v>
      </c>
      <c r="C992" s="129">
        <f>'G MTTS'!L985</f>
        <v>0</v>
      </c>
      <c r="D992" s="120" t="str">
        <f>'G MTTS'!M985</f>
        <v>SAT</v>
      </c>
      <c r="E992" s="101" t="str">
        <f>'G MTTS'!N985</f>
        <v>NLH</v>
      </c>
      <c r="F992" s="102" t="str">
        <f>'G MTTS'!O985</f>
        <v>OFF</v>
      </c>
      <c r="G992" s="103" t="str">
        <f>IF('G MTTS'!Q985=0," ",'G MTTS'!Q985*$A$3)</f>
        <v> </v>
      </c>
      <c r="H992" s="104">
        <f>IF('G MTTS'!V985=0," ",'G MTTS'!V985*$A$3)</f>
        <v>5</v>
      </c>
      <c r="I992" s="104">
        <f>IF('G MTTS'!W985=0," ",'G MTTS'!W985*$A$3)</f>
        <v>5</v>
      </c>
      <c r="J992" s="104">
        <f>IF('G MTTS'!Z985=0," ",'G MTTS'!Z985*$A$3)</f>
        <v>10</v>
      </c>
      <c r="K992" s="105">
        <f>'G MTTS'!AF985</f>
        <v>30000</v>
      </c>
      <c r="L992" s="105">
        <f>'G MTTS'!X985</f>
        <v>0</v>
      </c>
      <c r="M992" s="105">
        <f>'G MTTS'!AA985</f>
        <v>50000</v>
      </c>
      <c r="N992" s="106">
        <f>'G MTTS'!AG985</f>
        <v>7</v>
      </c>
      <c r="O992" s="106">
        <f>'G MTTS'!AH985</f>
        <v>6</v>
      </c>
      <c r="P992" s="106">
        <f>'G MTTS'!AI985</f>
        <v>5</v>
      </c>
      <c r="Q992" s="107">
        <f>'G MTTS'!AJ985</f>
        <v>13</v>
      </c>
      <c r="R992" s="46" t="str">
        <f t="shared" si="99"/>
        <v> </v>
      </c>
      <c r="S992" s="47" t="str">
        <f t="shared" si="100"/>
        <v>MICRO</v>
      </c>
    </row>
    <row r="993" ht="29.25" customHeight="1" outlineLevel="1" spans="1:19">
      <c r="A993" s="29"/>
      <c r="B993" s="128">
        <f>'G MTTS'!B986</f>
        <v>0</v>
      </c>
      <c r="C993" s="129">
        <f>'G MTTS'!L986</f>
        <v>0</v>
      </c>
      <c r="D993" s="120" t="str">
        <f>'G MTTS'!M986</f>
        <v>SAT</v>
      </c>
      <c r="E993" s="101" t="str">
        <f>'G MTTS'!N986</f>
        <v>NLH</v>
      </c>
      <c r="F993" s="102" t="str">
        <f>'G MTTS'!O986</f>
        <v>OFF</v>
      </c>
      <c r="G993" s="103" t="str">
        <f>IF('G MTTS'!Q986=0," ",'G MTTS'!Q986*$A$3)</f>
        <v> </v>
      </c>
      <c r="H993" s="104">
        <f>IF('G MTTS'!V986=0," ",'G MTTS'!V986*$A$3)</f>
        <v>5</v>
      </c>
      <c r="I993" s="104">
        <f>IF('G MTTS'!W986=0," ",'G MTTS'!W986*$A$3)</f>
        <v>5</v>
      </c>
      <c r="J993" s="104">
        <f>IF('G MTTS'!Z986=0," ",'G MTTS'!Z986*$A$3)</f>
        <v>10</v>
      </c>
      <c r="K993" s="105">
        <f>'G MTTS'!AF986</f>
        <v>30000</v>
      </c>
      <c r="L993" s="105">
        <f>'G MTTS'!X986</f>
        <v>0</v>
      </c>
      <c r="M993" s="105">
        <f>'G MTTS'!AA986</f>
        <v>50000</v>
      </c>
      <c r="N993" s="106">
        <f>'G MTTS'!AG986</f>
        <v>7</v>
      </c>
      <c r="O993" s="106">
        <f>'G MTTS'!AH986</f>
        <v>6</v>
      </c>
      <c r="P993" s="106">
        <f>'G MTTS'!AI986</f>
        <v>5</v>
      </c>
      <c r="Q993" s="107">
        <f>'G MTTS'!AJ986</f>
        <v>13</v>
      </c>
      <c r="R993" s="46" t="str">
        <f t="shared" si="99"/>
        <v> </v>
      </c>
      <c r="S993" s="47" t="str">
        <f t="shared" si="100"/>
        <v>MICRO</v>
      </c>
    </row>
    <row r="994" ht="29.25" customHeight="1" outlineLevel="1" spans="1:19">
      <c r="A994" s="29"/>
      <c r="B994" s="128">
        <f>'G MTTS'!B987</f>
        <v>0.791678240740741</v>
      </c>
      <c r="C994" s="129" t="str">
        <f>'G MTTS'!L987</f>
        <v>5 Seats SPT</v>
      </c>
      <c r="D994" s="120" t="str">
        <f>'G MTTS'!M987</f>
        <v>SAT</v>
      </c>
      <c r="E994" s="101" t="str">
        <f>'G MTTS'!N987</f>
        <v>NLH</v>
      </c>
      <c r="F994" s="102" t="str">
        <f>'G MTTS'!O987</f>
        <v>OFF</v>
      </c>
      <c r="G994" s="103">
        <f>IF('G MTTS'!Q987=0," ",'G MTTS'!Q987*$A$3)</f>
        <v>750</v>
      </c>
      <c r="H994" s="104">
        <f>IF('G MTTS'!V987=0," ",'G MTTS'!V987*$A$3)</f>
        <v>5</v>
      </c>
      <c r="I994" s="104">
        <f>IF('G MTTS'!W987=0," ",'G MTTS'!W987*$A$3)</f>
        <v>5</v>
      </c>
      <c r="J994" s="104">
        <f>IF('G MTTS'!Z987=0," ",'G MTTS'!Z987*$A$3)</f>
        <v>10</v>
      </c>
      <c r="K994" s="105">
        <f>'G MTTS'!AF987</f>
        <v>30000</v>
      </c>
      <c r="L994" s="105">
        <f>'G MTTS'!X987</f>
        <v>0</v>
      </c>
      <c r="M994" s="105">
        <f>'G MTTS'!AA987</f>
        <v>50000</v>
      </c>
      <c r="N994" s="106">
        <f>'G MTTS'!AG987</f>
        <v>7</v>
      </c>
      <c r="O994" s="106">
        <f>'G MTTS'!AH987</f>
        <v>6</v>
      </c>
      <c r="P994" s="106">
        <f>'G MTTS'!AI987</f>
        <v>5</v>
      </c>
      <c r="Q994" s="107">
        <f>'G MTTS'!AJ987</f>
        <v>13</v>
      </c>
      <c r="R994" s="46">
        <f t="shared" si="99"/>
        <v>0.858344907407407</v>
      </c>
      <c r="S994" s="47" t="str">
        <f t="shared" si="100"/>
        <v>MICRO</v>
      </c>
    </row>
    <row r="995" ht="29.25" customHeight="1" outlineLevel="1" spans="1:19">
      <c r="A995" s="29"/>
      <c r="B995" s="128">
        <f>'G MTTS'!B988</f>
        <v>0.875011574074074</v>
      </c>
      <c r="C995" s="129" t="str">
        <f>'G MTTS'!L988</f>
        <v>5 Seats SPT</v>
      </c>
      <c r="D995" s="120" t="str">
        <f>'G MTTS'!M988</f>
        <v>SAT</v>
      </c>
      <c r="E995" s="101" t="str">
        <f>'G MTTS'!N988</f>
        <v>NLH</v>
      </c>
      <c r="F995" s="102" t="str">
        <f>'G MTTS'!O988</f>
        <v>OFF</v>
      </c>
      <c r="G995" s="103">
        <f>IF('G MTTS'!Q988=0," ",'G MTTS'!Q988*$A$3)</f>
        <v>750</v>
      </c>
      <c r="H995" s="104">
        <f>IF('G MTTS'!V988=0," ",'G MTTS'!V988*$A$3)</f>
        <v>5</v>
      </c>
      <c r="I995" s="104">
        <f>IF('G MTTS'!W988=0," ",'G MTTS'!W988*$A$3)</f>
        <v>5</v>
      </c>
      <c r="J995" s="104">
        <f>IF('G MTTS'!Z988=0," ",'G MTTS'!Z988*$A$3)</f>
        <v>10</v>
      </c>
      <c r="K995" s="105">
        <f>'G MTTS'!AF988</f>
        <v>20000</v>
      </c>
      <c r="L995" s="105">
        <f>'G MTTS'!X988</f>
        <v>0</v>
      </c>
      <c r="M995" s="105">
        <f>'G MTTS'!AA988</f>
        <v>50000</v>
      </c>
      <c r="N995" s="106">
        <f>'G MTTS'!AG988</f>
        <v>8</v>
      </c>
      <c r="O995" s="106">
        <f>'G MTTS'!AH988</f>
        <v>6</v>
      </c>
      <c r="P995" s="106">
        <f>'G MTTS'!AI988</f>
        <v>5</v>
      </c>
      <c r="Q995" s="107">
        <f>'G MTTS'!AJ988</f>
        <v>13</v>
      </c>
      <c r="R995" s="46">
        <f t="shared" si="99"/>
        <v>0.950706018518518</v>
      </c>
      <c r="S995" s="47" t="str">
        <f t="shared" si="100"/>
        <v>MICRO</v>
      </c>
    </row>
    <row r="996" ht="29.25" customHeight="1" outlineLevel="1" spans="1:19">
      <c r="A996" s="124"/>
      <c r="B996" s="125">
        <f>'G MTTS'!B989</f>
        <v>0.958344907407407</v>
      </c>
      <c r="C996" s="126" t="str">
        <f>'G MTTS'!L989</f>
        <v>5 Seats SPT</v>
      </c>
      <c r="D996" s="120" t="str">
        <f>'G MTTS'!M989</f>
        <v>SAT</v>
      </c>
      <c r="E996" s="101" t="str">
        <f>'G MTTS'!N989</f>
        <v>NLH</v>
      </c>
      <c r="F996" s="102" t="str">
        <f>'G MTTS'!O989</f>
        <v>OFF</v>
      </c>
      <c r="G996" s="103">
        <f>IF('G MTTS'!Q989=0," ",'G MTTS'!Q989*$A$3)</f>
        <v>750</v>
      </c>
      <c r="H996" s="104">
        <f>IF('G MTTS'!V989=0," ",'G MTTS'!V989*$A$3)</f>
        <v>5</v>
      </c>
      <c r="I996" s="104">
        <f>IF('G MTTS'!W989=0," ",'G MTTS'!W989*$A$3)</f>
        <v>5</v>
      </c>
      <c r="J996" s="104">
        <f>IF('G MTTS'!Z989=0," ",'G MTTS'!Z989*$A$3)</f>
        <v>10</v>
      </c>
      <c r="K996" s="105">
        <f>'G MTTS'!AF989</f>
        <v>20000</v>
      </c>
      <c r="L996" s="105">
        <f>'G MTTS'!X989</f>
        <v>0</v>
      </c>
      <c r="M996" s="105">
        <f>'G MTTS'!AA989</f>
        <v>50000</v>
      </c>
      <c r="N996" s="106">
        <f>'G MTTS'!AG989</f>
        <v>6</v>
      </c>
      <c r="O996" s="106">
        <f>'G MTTS'!AH989</f>
        <v>5</v>
      </c>
      <c r="P996" s="106">
        <f>'G MTTS'!AI989</f>
        <v>5</v>
      </c>
      <c r="Q996" s="107">
        <f>'G MTTS'!AJ989</f>
        <v>13</v>
      </c>
      <c r="R996" s="46">
        <f t="shared" si="99"/>
        <v>1.0159837962963</v>
      </c>
      <c r="S996" s="47" t="str">
        <f t="shared" si="100"/>
        <v>MICRO</v>
      </c>
    </row>
    <row r="997" ht="29.25" customHeight="1" outlineLevel="1" spans="1:19">
      <c r="A997" s="135"/>
      <c r="B997" s="109"/>
      <c r="C997" s="110"/>
      <c r="D997" s="111"/>
      <c r="E997" s="112"/>
      <c r="F997" s="113"/>
      <c r="G997" s="114"/>
      <c r="H997" s="115"/>
      <c r="I997" s="115"/>
      <c r="J997" s="115"/>
      <c r="K997" s="116"/>
      <c r="L997" s="116"/>
      <c r="M997" s="116"/>
      <c r="N997" s="117"/>
      <c r="O997" s="117"/>
      <c r="P997" s="117"/>
      <c r="Q997" s="118"/>
      <c r="R997" s="46"/>
      <c r="S997" s="47"/>
    </row>
    <row r="998" ht="21.75" customHeight="1" spans="1:19">
      <c r="A998" s="33" t="s">
        <v>526</v>
      </c>
      <c r="B998" s="15"/>
      <c r="C998" s="33" t="str">
        <f>A998</f>
        <v>EVENTOS FUTUROS</v>
      </c>
      <c r="G998" s="15"/>
      <c r="H998" s="35" t="str">
        <f>A998</f>
        <v>EVENTOS FUTUROS</v>
      </c>
      <c r="Q998" s="15"/>
      <c r="R998" s="33"/>
      <c r="S998" s="24"/>
    </row>
    <row r="999" ht="29.25" customHeight="1" outlineLevel="1" spans="1:19">
      <c r="A999" s="201">
        <f>'G MTTS'!A1000</f>
        <v>46210</v>
      </c>
      <c r="B999" s="36">
        <f>'G MTTS'!B1000</f>
        <v>0.875</v>
      </c>
      <c r="C999" s="202" t="str">
        <f>'G MTTS'!J1000</f>
        <v>Mega Sat SPT</v>
      </c>
      <c r="D999" s="203" t="str">
        <f>'G MTTS'!M1000</f>
        <v>SAT</v>
      </c>
      <c r="E999" s="204" t="str">
        <f>'G MTTS'!N1000</f>
        <v>NLH</v>
      </c>
      <c r="F999" s="205" t="str">
        <f>'G MTTS'!O1000</f>
        <v>OFF</v>
      </c>
      <c r="G999" s="206">
        <f>IF('G MTTS'!Q1000=0," ",'G MTTS'!Q1000*$A$3)</f>
        <v>42500</v>
      </c>
      <c r="H999" s="207">
        <f>IF('G MTTS'!V1000=0," ",'G MTTS'!V1000*$A$3)</f>
        <v>250</v>
      </c>
      <c r="I999" s="207">
        <f>IF('G MTTS'!W1000=0," ",'G MTTS'!W1000*$A$3)</f>
        <v>250</v>
      </c>
      <c r="J999" s="207">
        <f>IF('G MTTS'!Z1000=0," ",'G MTTS'!Z1000*$A$3)</f>
        <v>250</v>
      </c>
      <c r="K999" s="208">
        <f>'G MTTS'!AF1000</f>
        <v>40000</v>
      </c>
      <c r="L999" s="208">
        <f>'G MTTS'!X1000</f>
        <v>50000</v>
      </c>
      <c r="M999" s="208">
        <f>'G MTTS'!AA1000</f>
        <v>120000</v>
      </c>
      <c r="N999" s="209">
        <f>'G MTTS'!AG1000</f>
        <v>8</v>
      </c>
      <c r="O999" s="209">
        <f>'G MTTS'!AH1000</f>
        <v>7</v>
      </c>
      <c r="P999" s="209">
        <f>'G MTTS'!AI1000</f>
        <v>7</v>
      </c>
      <c r="Q999" s="210">
        <f>'G MTTS'!AJ1000</f>
        <v>15</v>
      </c>
      <c r="R999" s="46">
        <f t="shared" ref="R999:R1122" si="101">IF(B999=0," ",TIME(,ROUNDDOWN(N999*Q999/60,0)*5+(N999*Q999),)+B999)</f>
        <v>0.965277777777778</v>
      </c>
      <c r="S999" s="47" t="str">
        <f>'G MTTS'!AQ1000</f>
        <v>MEDIUM</v>
      </c>
    </row>
    <row r="1000" ht="29.25" customHeight="1" outlineLevel="1" spans="1:19">
      <c r="A1000" s="201">
        <f>'G MTTS'!A1001</f>
        <v>46215</v>
      </c>
      <c r="B1000" s="36">
        <f>'G MTTS'!B1001</f>
        <v>0.833344907407407</v>
      </c>
      <c r="C1000" s="37" t="str">
        <f>'G MTTS'!J1001</f>
        <v>Mega Sat SPT</v>
      </c>
      <c r="D1000" s="38" t="str">
        <f>'G MTTS'!M1001</f>
        <v>SAT</v>
      </c>
      <c r="E1000" s="39" t="str">
        <f>'G MTTS'!N1001</f>
        <v>NLH</v>
      </c>
      <c r="F1000" s="40" t="str">
        <f>'G MTTS'!O1001</f>
        <v>OFF</v>
      </c>
      <c r="G1000" s="41">
        <f>IF('G MTTS'!Q1001=0," ",'G MTTS'!Q1001*$A$3)</f>
        <v>85000</v>
      </c>
      <c r="H1000" s="42">
        <f>IF('G MTTS'!V1001=0," ",'G MTTS'!V1001*$A$3)</f>
        <v>200</v>
      </c>
      <c r="I1000" s="42">
        <f>IF('G MTTS'!W1001=0," ",'G MTTS'!W1001*$A$3)</f>
        <v>200</v>
      </c>
      <c r="J1000" s="42">
        <f>IF('G MTTS'!Z1001=0," ",'G MTTS'!Z1001*$A$3)</f>
        <v>300</v>
      </c>
      <c r="K1000" s="43">
        <f>'G MTTS'!AF1001</f>
        <v>30000</v>
      </c>
      <c r="L1000" s="43">
        <f>'G MTTS'!X1001</f>
        <v>40000</v>
      </c>
      <c r="M1000" s="43">
        <f>'G MTTS'!AA1001</f>
        <v>90000</v>
      </c>
      <c r="N1000" s="44">
        <f>'G MTTS'!AG1001</f>
        <v>10</v>
      </c>
      <c r="O1000" s="44">
        <f>'G MTTS'!AH1001</f>
        <v>8</v>
      </c>
      <c r="P1000" s="44">
        <f>'G MTTS'!AI1001</f>
        <v>8</v>
      </c>
      <c r="Q1000" s="45">
        <f>'G MTTS'!AJ1001</f>
        <v>14</v>
      </c>
      <c r="R1000" s="46">
        <f t="shared" si="101"/>
        <v>0.937511574074074</v>
      </c>
      <c r="S1000" s="47" t="str">
        <f>'G MTTS'!AQ1001</f>
        <v>MEDIUM</v>
      </c>
    </row>
    <row r="1001" ht="29.25" customHeight="1" outlineLevel="1" spans="1:19">
      <c r="A1001" s="201">
        <f>'G MTTS'!A1002</f>
        <v>46217</v>
      </c>
      <c r="B1001" s="36">
        <f>'G MTTS'!B1002</f>
        <v>0.875</v>
      </c>
      <c r="C1001" s="202" t="str">
        <f>'G MTTS'!J1002</f>
        <v>Suprema Poker Tour</v>
      </c>
      <c r="D1001" s="203" t="str">
        <f>'G MTTS'!M1002</f>
        <v>SAT</v>
      </c>
      <c r="E1001" s="204" t="str">
        <f>'G MTTS'!N1002</f>
        <v>NLH</v>
      </c>
      <c r="F1001" s="205" t="str">
        <f>'G MTTS'!O1002</f>
        <v>OFF</v>
      </c>
      <c r="G1001" s="206">
        <f>IF('G MTTS'!Q1002=0," ",'G MTTS'!Q1002*$A$3)</f>
        <v>17000</v>
      </c>
      <c r="H1001" s="207">
        <f>IF('G MTTS'!V1002=0," ",'G MTTS'!V1002*$A$3)</f>
        <v>150</v>
      </c>
      <c r="I1001" s="207">
        <f>IF('G MTTS'!W1002=0," ",'G MTTS'!W1002*$A$3)</f>
        <v>150</v>
      </c>
      <c r="J1001" s="207">
        <f>IF('G MTTS'!Z1002=0," ",'G MTTS'!Z1002*$A$3)</f>
        <v>200</v>
      </c>
      <c r="K1001" s="208">
        <f>'G MTTS'!AF1002</f>
        <v>40000</v>
      </c>
      <c r="L1001" s="208">
        <f>'G MTTS'!X1002</f>
        <v>50000</v>
      </c>
      <c r="M1001" s="208">
        <f>'G MTTS'!AA1002</f>
        <v>120000</v>
      </c>
      <c r="N1001" s="209">
        <f>'G MTTS'!AG1002</f>
        <v>8</v>
      </c>
      <c r="O1001" s="209">
        <f>'G MTTS'!AH1002</f>
        <v>7</v>
      </c>
      <c r="P1001" s="209">
        <f>'G MTTS'!AI1002</f>
        <v>7</v>
      </c>
      <c r="Q1001" s="210">
        <f>'G MTTS'!AJ1002</f>
        <v>15</v>
      </c>
      <c r="R1001" s="46">
        <f t="shared" si="101"/>
        <v>0.965277777777778</v>
      </c>
      <c r="S1001" s="47" t="str">
        <f>'G MTTS'!AQ1002</f>
        <v>MEDIUM</v>
      </c>
    </row>
    <row r="1002" ht="29.25" customHeight="1" outlineLevel="1" spans="1:19">
      <c r="A1002" s="201">
        <f>'G MTTS'!A1003</f>
        <v>46221</v>
      </c>
      <c r="B1002" s="36">
        <f>'G MTTS'!B1003</f>
        <v>0.875</v>
      </c>
      <c r="C1002" s="37" t="str">
        <f>'G MTTS'!J1003</f>
        <v>Suprema Poker Tour</v>
      </c>
      <c r="D1002" s="38" t="str">
        <f>'G MTTS'!M1003</f>
        <v>SAT</v>
      </c>
      <c r="E1002" s="39" t="str">
        <f>'G MTTS'!N1003</f>
        <v>NLH</v>
      </c>
      <c r="F1002" s="40" t="str">
        <f>'G MTTS'!O1003</f>
        <v>OFF</v>
      </c>
      <c r="G1002" s="41">
        <f>IF('G MTTS'!Q1003=0," ",'G MTTS'!Q1003*$A$3)</f>
        <v>25500</v>
      </c>
      <c r="H1002" s="42">
        <f>IF('G MTTS'!V1003=0," ",'G MTTS'!V1003*$A$3)</f>
        <v>150</v>
      </c>
      <c r="I1002" s="42">
        <f>IF('G MTTS'!W1003=0," ",'G MTTS'!W1003*$A$3)</f>
        <v>150</v>
      </c>
      <c r="J1002" s="42">
        <f>IF('G MTTS'!Z1003=0," ",'G MTTS'!Z1003*$A$3)</f>
        <v>200</v>
      </c>
      <c r="K1002" s="43">
        <f>'G MTTS'!AF1003</f>
        <v>40000</v>
      </c>
      <c r="L1002" s="43">
        <f>'G MTTS'!X1003</f>
        <v>50000</v>
      </c>
      <c r="M1002" s="43">
        <f>'G MTTS'!AA1003</f>
        <v>120000</v>
      </c>
      <c r="N1002" s="44">
        <f>'G MTTS'!AG1003</f>
        <v>8</v>
      </c>
      <c r="O1002" s="44">
        <f>'G MTTS'!AH1003</f>
        <v>7</v>
      </c>
      <c r="P1002" s="44">
        <f>'G MTTS'!AI1003</f>
        <v>7</v>
      </c>
      <c r="Q1002" s="45">
        <f>'G MTTS'!AJ1003</f>
        <v>15</v>
      </c>
      <c r="R1002" s="46">
        <f t="shared" si="101"/>
        <v>0.965277777777778</v>
      </c>
      <c r="S1002" s="47" t="str">
        <f>'G MTTS'!AQ1003</f>
        <v>MEDIUM</v>
      </c>
    </row>
    <row r="1003" ht="29.25" customHeight="1" outlineLevel="1" spans="1:19">
      <c r="A1003" s="201">
        <f>'G MTTS'!A1004</f>
        <v>46215</v>
      </c>
      <c r="B1003" s="36">
        <f>'G MTTS'!B1004</f>
        <v>0.625011574074074</v>
      </c>
      <c r="C1003" s="202" t="str">
        <f>'G MTTS'!J1004</f>
        <v>#AS 1M Supremo</v>
      </c>
      <c r="D1003" s="203" t="str">
        <f>'G MTTS'!M1004</f>
        <v>Main Event</v>
      </c>
      <c r="E1003" s="204" t="str">
        <f>'G MTTS'!N1004</f>
        <v>NLH</v>
      </c>
      <c r="F1003" s="205" t="str">
        <f>'G MTTS'!O1004</f>
        <v>Progressive KO 1/2</v>
      </c>
      <c r="G1003" s="206">
        <f>IF('G MTTS'!Q1004=0," ",'G MTTS'!Q1004*$A$3)</f>
        <v>1022000</v>
      </c>
      <c r="H1003" s="207">
        <f>IF('G MTTS'!V1004=0," ",'G MTTS'!V1004*$A$3)</f>
        <v>550</v>
      </c>
      <c r="I1003" s="207">
        <f>IF('G MTTS'!W1004=0," ",'G MTTS'!W1004*$A$3)</f>
        <v>550</v>
      </c>
      <c r="J1003" s="207" t="str">
        <f>IF('G MTTS'!Z1004=0," ",'G MTTS'!Z1004*$A$3)</f>
        <v> </v>
      </c>
      <c r="K1003" s="208">
        <f>'G MTTS'!AF1004</f>
        <v>50000</v>
      </c>
      <c r="L1003" s="208">
        <f>'G MTTS'!X1004</f>
        <v>60000</v>
      </c>
      <c r="M1003" s="208" t="str">
        <f>'G MTTS'!AA1004</f>
        <v>REENTRY</v>
      </c>
      <c r="N1003" s="209">
        <f>'G MTTS'!AG1004</f>
        <v>15</v>
      </c>
      <c r="O1003" s="209">
        <f>'G MTTS'!AH1004</f>
        <v>12</v>
      </c>
      <c r="P1003" s="209">
        <f>'G MTTS'!AI1004</f>
        <v>12</v>
      </c>
      <c r="Q1003" s="210">
        <f>'G MTTS'!AJ1004</f>
        <v>15</v>
      </c>
      <c r="R1003" s="46">
        <f t="shared" si="101"/>
        <v>0.791678240740741</v>
      </c>
      <c r="S1003" s="47" t="str">
        <f>'G MTTS'!AQ1004</f>
        <v>HIGH</v>
      </c>
    </row>
    <row r="1004" ht="29.25" customHeight="1" outlineLevel="1" spans="1:19">
      <c r="A1004" s="201">
        <f>'G MTTS'!A1005</f>
        <v>46215</v>
      </c>
      <c r="B1004" s="36">
        <f>'G MTTS'!B1005</f>
        <v>0.583344907407407</v>
      </c>
      <c r="C1004" s="37" t="str">
        <f>'G MTTS'!J1005</f>
        <v>#AS 100K Special Plus</v>
      </c>
      <c r="D1004" s="38" t="str">
        <f>'G MTTS'!M1005</f>
        <v>Side Event</v>
      </c>
      <c r="E1004" s="39" t="str">
        <f>'G MTTS'!N1005</f>
        <v>NLH</v>
      </c>
      <c r="F1004" s="40" t="str">
        <f>'G MTTS'!O1005</f>
        <v>OFF</v>
      </c>
      <c r="G1004" s="41">
        <f>IF('G MTTS'!Q1005=0," ",'G MTTS'!Q1005*$A$3)</f>
        <v>108500</v>
      </c>
      <c r="H1004" s="42">
        <f>IF('G MTTS'!V1005=0," ",'G MTTS'!V1005*$A$3)</f>
        <v>5</v>
      </c>
      <c r="I1004" s="42">
        <f>IF('G MTTS'!W1005=0," ",'G MTTS'!W1005*$A$3)</f>
        <v>5</v>
      </c>
      <c r="J1004" s="42">
        <f>IF('G MTTS'!Z1005=0," ",'G MTTS'!Z1005*$A$3)</f>
        <v>15</v>
      </c>
      <c r="K1004" s="43">
        <f>'G MTTS'!AF1005</f>
        <v>30000</v>
      </c>
      <c r="L1004" s="43">
        <f>'G MTTS'!X1005</f>
        <v>40000</v>
      </c>
      <c r="M1004" s="43">
        <f>'G MTTS'!AA1005</f>
        <v>120000</v>
      </c>
      <c r="N1004" s="44">
        <f>'G MTTS'!AG1005</f>
        <v>10</v>
      </c>
      <c r="O1004" s="44">
        <f>'G MTTS'!AH1005</f>
        <v>8</v>
      </c>
      <c r="P1004" s="44">
        <f>'G MTTS'!AI1005</f>
        <v>8</v>
      </c>
      <c r="Q1004" s="45">
        <f>'G MTTS'!AJ1005</f>
        <v>15</v>
      </c>
      <c r="R1004" s="46">
        <f t="shared" si="101"/>
        <v>0.694456018518518</v>
      </c>
      <c r="S1004" s="47" t="str">
        <f>'G MTTS'!AQ1005</f>
        <v>MICRO</v>
      </c>
    </row>
    <row r="1005" ht="29.25" customHeight="1" outlineLevel="1" spans="1:19">
      <c r="A1005" s="201">
        <f>'G MTTS'!A1006</f>
        <v>46229</v>
      </c>
      <c r="B1005" s="36">
        <f>'G MTTS'!B1006</f>
        <v>0.625011574074074</v>
      </c>
      <c r="C1005" s="202" t="str">
        <f>'G MTTS'!J1006</f>
        <v>#AS 500K Sunday PKO</v>
      </c>
      <c r="D1005" s="203" t="str">
        <f>'G MTTS'!M1006</f>
        <v>Main Event</v>
      </c>
      <c r="E1005" s="204" t="str">
        <f>'G MTTS'!N1006</f>
        <v>NLH</v>
      </c>
      <c r="F1005" s="205" t="str">
        <f>'G MTTS'!O1006</f>
        <v>Progressive KO 1/2</v>
      </c>
      <c r="G1005" s="206">
        <f>IF('G MTTS'!Q1006=0," ",'G MTTS'!Q1006*$A$3)</f>
        <v>508500</v>
      </c>
      <c r="H1005" s="207">
        <f>IF('G MTTS'!V1006=0," ",'G MTTS'!V1006*$A$3)</f>
        <v>150</v>
      </c>
      <c r="I1005" s="207">
        <f>IF('G MTTS'!W1006=0," ",'G MTTS'!W1006*$A$3)</f>
        <v>150</v>
      </c>
      <c r="J1005" s="207" t="str">
        <f>IF('G MTTS'!Z1006=0," ",'G MTTS'!Z1006*$A$3)</f>
        <v> </v>
      </c>
      <c r="K1005" s="208">
        <f>'G MTTS'!AF1006</f>
        <v>50000</v>
      </c>
      <c r="L1005" s="208">
        <f>'G MTTS'!X1006</f>
        <v>60000</v>
      </c>
      <c r="M1005" s="208" t="str">
        <f>'G MTTS'!AA1006</f>
        <v>REENTRY</v>
      </c>
      <c r="N1005" s="209">
        <f>'G MTTS'!AG1006</f>
        <v>15</v>
      </c>
      <c r="O1005" s="209">
        <f>'G MTTS'!AH1006</f>
        <v>12</v>
      </c>
      <c r="P1005" s="209">
        <f>'G MTTS'!AI1006</f>
        <v>12</v>
      </c>
      <c r="Q1005" s="210">
        <f>'G MTTS'!AJ1006</f>
        <v>15</v>
      </c>
      <c r="R1005" s="46">
        <f t="shared" si="101"/>
        <v>0.791678240740741</v>
      </c>
      <c r="S1005" s="47" t="str">
        <f>'G MTTS'!AQ1006</f>
        <v>MEDIUM</v>
      </c>
    </row>
    <row r="1006" ht="29.25" customHeight="1" outlineLevel="1" spans="1:19">
      <c r="A1006" s="201">
        <f>'G MTTS'!A1007</f>
        <v>0</v>
      </c>
      <c r="B1006" s="36">
        <f>'G MTTS'!B1007</f>
        <v>0</v>
      </c>
      <c r="C1006" s="37">
        <f>'G MTTS'!J1007</f>
        <v>0</v>
      </c>
      <c r="D1006" s="38">
        <f>'G MTTS'!M1007</f>
        <v>0</v>
      </c>
      <c r="E1006" s="39">
        <f>'G MTTS'!N1007</f>
        <v>0</v>
      </c>
      <c r="F1006" s="40">
        <f>'G MTTS'!O1007</f>
        <v>0</v>
      </c>
      <c r="G1006" s="41" t="str">
        <f>IF('G MTTS'!Q1007=0," ",'G MTTS'!Q1007*$A$3)</f>
        <v> </v>
      </c>
      <c r="H1006" s="42" t="str">
        <f>IF('G MTTS'!V1007=0," ",'G MTTS'!V1007*$A$3)</f>
        <v> </v>
      </c>
      <c r="I1006" s="42" t="str">
        <f>IF('G MTTS'!W1007=0," ",'G MTTS'!W1007*$A$3)</f>
        <v> </v>
      </c>
      <c r="J1006" s="42" t="str">
        <f>IF('G MTTS'!Z1007=0," ",'G MTTS'!Z1007*$A$3)</f>
        <v> </v>
      </c>
      <c r="K1006" s="43">
        <f>'G MTTS'!AF1007</f>
        <v>0</v>
      </c>
      <c r="L1006" s="43">
        <f>'G MTTS'!X1007</f>
        <v>0</v>
      </c>
      <c r="M1006" s="43">
        <f>'G MTTS'!AA1007</f>
        <v>0</v>
      </c>
      <c r="N1006" s="44">
        <f>'G MTTS'!AG1007</f>
        <v>0</v>
      </c>
      <c r="O1006" s="44">
        <f>'G MTTS'!AH1007</f>
        <v>0</v>
      </c>
      <c r="P1006" s="44">
        <f>'G MTTS'!AI1007</f>
        <v>0</v>
      </c>
      <c r="Q1006" s="45">
        <f>'G MTTS'!AJ1007</f>
        <v>0</v>
      </c>
      <c r="R1006" s="46" t="str">
        <f t="shared" si="101"/>
        <v> </v>
      </c>
      <c r="S1006" s="47" t="str">
        <f>'G MTTS'!AQ1007</f>
        <v> </v>
      </c>
    </row>
    <row r="1007" ht="29.25" customHeight="1" outlineLevel="1" spans="1:19">
      <c r="A1007" s="201">
        <f>'G MTTS'!A1008</f>
        <v>0</v>
      </c>
      <c r="B1007" s="36">
        <f>'G MTTS'!B1008</f>
        <v>0</v>
      </c>
      <c r="C1007" s="202">
        <f>'G MTTS'!J1008</f>
        <v>0</v>
      </c>
      <c r="D1007" s="203">
        <f>'G MTTS'!M1008</f>
        <v>0</v>
      </c>
      <c r="E1007" s="204">
        <f>'G MTTS'!N1008</f>
        <v>0</v>
      </c>
      <c r="F1007" s="205">
        <f>'G MTTS'!O1008</f>
        <v>0</v>
      </c>
      <c r="G1007" s="206" t="str">
        <f>IF('G MTTS'!Q1008=0," ",'G MTTS'!Q1008*$A$3)</f>
        <v> </v>
      </c>
      <c r="H1007" s="207" t="str">
        <f>IF('G MTTS'!V1008=0," ",'G MTTS'!V1008*$A$3)</f>
        <v> </v>
      </c>
      <c r="I1007" s="207" t="str">
        <f>IF('G MTTS'!W1008=0," ",'G MTTS'!W1008*$A$3)</f>
        <v> </v>
      </c>
      <c r="J1007" s="207" t="str">
        <f>IF('G MTTS'!Z1008=0," ",'G MTTS'!Z1008*$A$3)</f>
        <v> </v>
      </c>
      <c r="K1007" s="208">
        <f>'G MTTS'!AF1008</f>
        <v>0</v>
      </c>
      <c r="L1007" s="208">
        <f>'G MTTS'!X1008</f>
        <v>0</v>
      </c>
      <c r="M1007" s="208">
        <f>'G MTTS'!AA1008</f>
        <v>0</v>
      </c>
      <c r="N1007" s="209">
        <f>'G MTTS'!AG1008</f>
        <v>0</v>
      </c>
      <c r="O1007" s="209">
        <f>'G MTTS'!AH1008</f>
        <v>0</v>
      </c>
      <c r="P1007" s="209">
        <f>'G MTTS'!AI1008</f>
        <v>0</v>
      </c>
      <c r="Q1007" s="210">
        <f>'G MTTS'!AJ1008</f>
        <v>0</v>
      </c>
      <c r="R1007" s="46" t="str">
        <f t="shared" si="101"/>
        <v> </v>
      </c>
      <c r="S1007" s="47" t="str">
        <f>'G MTTS'!AQ1008</f>
        <v> </v>
      </c>
    </row>
    <row r="1008" ht="29.25" customHeight="1" outlineLevel="1" spans="1:19">
      <c r="A1008" s="201">
        <f>'G MTTS'!A1009</f>
        <v>0</v>
      </c>
      <c r="B1008" s="36">
        <f>'G MTTS'!B1009</f>
        <v>0</v>
      </c>
      <c r="C1008" s="37">
        <f>'G MTTS'!J1009</f>
        <v>0</v>
      </c>
      <c r="D1008" s="38">
        <f>'G MTTS'!M1009</f>
        <v>0</v>
      </c>
      <c r="E1008" s="39">
        <f>'G MTTS'!N1009</f>
        <v>0</v>
      </c>
      <c r="F1008" s="40">
        <f>'G MTTS'!O1009</f>
        <v>0</v>
      </c>
      <c r="G1008" s="41" t="str">
        <f>IF('G MTTS'!Q1009=0," ",'G MTTS'!Q1009*$A$3)</f>
        <v> </v>
      </c>
      <c r="H1008" s="42" t="str">
        <f>IF('G MTTS'!V1009=0," ",'G MTTS'!V1009*$A$3)</f>
        <v> </v>
      </c>
      <c r="I1008" s="42" t="str">
        <f>IF('G MTTS'!W1009=0," ",'G MTTS'!W1009*$A$3)</f>
        <v> </v>
      </c>
      <c r="J1008" s="42" t="str">
        <f>IF('G MTTS'!Z1009=0," ",'G MTTS'!Z1009*$A$3)</f>
        <v> </v>
      </c>
      <c r="K1008" s="43">
        <f>'G MTTS'!AF1009</f>
        <v>0</v>
      </c>
      <c r="L1008" s="43">
        <f>'G MTTS'!X1009</f>
        <v>0</v>
      </c>
      <c r="M1008" s="43">
        <f>'G MTTS'!AA1009</f>
        <v>0</v>
      </c>
      <c r="N1008" s="44">
        <f>'G MTTS'!AG1009</f>
        <v>0</v>
      </c>
      <c r="O1008" s="44">
        <f>'G MTTS'!AH1009</f>
        <v>0</v>
      </c>
      <c r="P1008" s="44">
        <f>'G MTTS'!AI1009</f>
        <v>0</v>
      </c>
      <c r="Q1008" s="45">
        <f>'G MTTS'!AJ1009</f>
        <v>0</v>
      </c>
      <c r="R1008" s="46" t="str">
        <f t="shared" si="101"/>
        <v> </v>
      </c>
      <c r="S1008" s="47" t="str">
        <f>'G MTTS'!AQ1009</f>
        <v> </v>
      </c>
    </row>
    <row r="1009" ht="29.25" customHeight="1" outlineLevel="1" spans="1:19">
      <c r="A1009" s="201">
        <f>'G MTTS'!A1010</f>
        <v>46222</v>
      </c>
      <c r="B1009" s="36">
        <f>'G MTTS'!B1010</f>
        <v>0.833344907407407</v>
      </c>
      <c r="C1009" s="202" t="str">
        <f>'G MTTS'!J1010</f>
        <v>30 Seats Supremo</v>
      </c>
      <c r="D1009" s="203" t="str">
        <f>'G MTTS'!M1010</f>
        <v>SAT</v>
      </c>
      <c r="E1009" s="204" t="str">
        <f>'G MTTS'!N1010</f>
        <v>NLH</v>
      </c>
      <c r="F1009" s="205" t="str">
        <f>'G MTTS'!O1010</f>
        <v>OFF</v>
      </c>
      <c r="G1009" s="206">
        <f>IF('G MTTS'!Q1010=0," ",'G MTTS'!Q1010*$A$3)</f>
        <v>30000</v>
      </c>
      <c r="H1009" s="207">
        <f>IF('G MTTS'!V1010=0," ",'G MTTS'!V1010*$A$3)</f>
        <v>75</v>
      </c>
      <c r="I1009" s="207">
        <f>IF('G MTTS'!W1010=0," ",'G MTTS'!W1010*$A$3)</f>
        <v>75</v>
      </c>
      <c r="J1009" s="207">
        <f>IF('G MTTS'!Z1010=0," ",'G MTTS'!Z1010*$A$3)</f>
        <v>75</v>
      </c>
      <c r="K1009" s="208">
        <f>'G MTTS'!AF1010</f>
        <v>40000</v>
      </c>
      <c r="L1009" s="208">
        <f>'G MTTS'!X1010</f>
        <v>50000</v>
      </c>
      <c r="M1009" s="208">
        <f>'G MTTS'!AA1010</f>
        <v>120000</v>
      </c>
      <c r="N1009" s="209">
        <f>'G MTTS'!AG1010</f>
        <v>8</v>
      </c>
      <c r="O1009" s="209">
        <f>'G MTTS'!AH1010</f>
        <v>6</v>
      </c>
      <c r="P1009" s="209">
        <f>'G MTTS'!AI1010</f>
        <v>6</v>
      </c>
      <c r="Q1009" s="210">
        <f>'G MTTS'!AJ1010</f>
        <v>15</v>
      </c>
      <c r="R1009" s="46">
        <f t="shared" si="101"/>
        <v>0.923622685185185</v>
      </c>
      <c r="S1009" s="47" t="str">
        <f>'G MTTS'!AQ1010</f>
        <v>LOW</v>
      </c>
    </row>
    <row r="1010" ht="29.25" customHeight="1" outlineLevel="1" spans="1:19">
      <c r="A1010" s="201">
        <f>'G MTTS'!A1011</f>
        <v>46250</v>
      </c>
      <c r="B1010" s="36">
        <f>'G MTTS'!B1011</f>
        <v>0.625011574074074</v>
      </c>
      <c r="C1010" s="37" t="str">
        <f>'G MTTS'!J1011</f>
        <v>SPS 76-M 5M Supremo</v>
      </c>
      <c r="D1010" s="38" t="str">
        <f>'G MTTS'!M1011</f>
        <v>Main Event</v>
      </c>
      <c r="E1010" s="39" t="str">
        <f>'G MTTS'!N1011</f>
        <v>NLH</v>
      </c>
      <c r="F1010" s="40" t="str">
        <f>'G MTTS'!O1011</f>
        <v>Progressive KO 1/2</v>
      </c>
      <c r="G1010" s="41">
        <f>IF('G MTTS'!Q1011=0," ",'G MTTS'!Q1011*$A$3)</f>
        <v>5000000</v>
      </c>
      <c r="H1010" s="42">
        <f>IF('G MTTS'!V1011=0," ",'G MTTS'!V1011*$A$3)</f>
        <v>1000</v>
      </c>
      <c r="I1010" s="42">
        <f>IF('G MTTS'!W1011=0," ",'G MTTS'!W1011*$A$3)</f>
        <v>1000</v>
      </c>
      <c r="J1010" s="42" t="str">
        <f>IF('G MTTS'!Z1011=0," ",'G MTTS'!Z1011*$A$3)</f>
        <v> </v>
      </c>
      <c r="K1010" s="43">
        <f>'G MTTS'!AF1011</f>
        <v>50000</v>
      </c>
      <c r="L1010" s="43">
        <f>'G MTTS'!X1011</f>
        <v>60000</v>
      </c>
      <c r="M1010" s="43" t="str">
        <f>'G MTTS'!AA1011</f>
        <v>REENTRY</v>
      </c>
      <c r="N1010" s="44">
        <f>'G MTTS'!AG1011</f>
        <v>20</v>
      </c>
      <c r="O1010" s="44">
        <f>'G MTTS'!AH1011</f>
        <v>15</v>
      </c>
      <c r="P1010" s="44">
        <f>'G MTTS'!AI1011</f>
        <v>15</v>
      </c>
      <c r="Q1010" s="45">
        <f>'G MTTS'!AJ1011</f>
        <v>14</v>
      </c>
      <c r="R1010" s="46">
        <f t="shared" si="101"/>
        <v>0.833344907407407</v>
      </c>
      <c r="S1010" s="47" t="str">
        <f>'G MTTS'!AQ1011</f>
        <v>HIGH</v>
      </c>
    </row>
    <row r="1011" ht="29.25" customHeight="1" outlineLevel="1" spans="1:19">
      <c r="A1011" s="201">
        <f>'G MTTS'!A1012</f>
        <v>0</v>
      </c>
      <c r="B1011" s="36">
        <f>'G MTTS'!B1012</f>
        <v>0</v>
      </c>
      <c r="C1011" s="202">
        <f>'G MTTS'!J1012</f>
        <v>0</v>
      </c>
      <c r="D1011" s="203">
        <f>'G MTTS'!M1012</f>
        <v>0</v>
      </c>
      <c r="E1011" s="204">
        <f>'G MTTS'!N1012</f>
        <v>0</v>
      </c>
      <c r="F1011" s="205">
        <f>'G MTTS'!O1012</f>
        <v>0</v>
      </c>
      <c r="G1011" s="206" t="str">
        <f>IF('G MTTS'!Q1012=0," ",'G MTTS'!Q1012*$A$3)</f>
        <v> </v>
      </c>
      <c r="H1011" s="207" t="str">
        <f>IF('G MTTS'!V1012=0," ",'G MTTS'!V1012*$A$3)</f>
        <v> </v>
      </c>
      <c r="I1011" s="207" t="str">
        <f>IF('G MTTS'!W1012=0," ",'G MTTS'!W1012*$A$3)</f>
        <v> </v>
      </c>
      <c r="J1011" s="207" t="str">
        <f>IF('G MTTS'!Z1012=0," ",'G MTTS'!Z1012*$A$3)</f>
        <v> </v>
      </c>
      <c r="K1011" s="208">
        <f>'G MTTS'!AF1012</f>
        <v>0</v>
      </c>
      <c r="L1011" s="208">
        <f>'G MTTS'!X1012</f>
        <v>0</v>
      </c>
      <c r="M1011" s="208">
        <f>'G MTTS'!AA1012</f>
        <v>0</v>
      </c>
      <c r="N1011" s="209">
        <f>'G MTTS'!AG1012</f>
        <v>0</v>
      </c>
      <c r="O1011" s="209">
        <f>'G MTTS'!AH1012</f>
        <v>0</v>
      </c>
      <c r="P1011" s="209">
        <f>'G MTTS'!AI1012</f>
        <v>0</v>
      </c>
      <c r="Q1011" s="210">
        <f>'G MTTS'!AJ1012</f>
        <v>0</v>
      </c>
      <c r="R1011" s="46" t="str">
        <f t="shared" si="101"/>
        <v> </v>
      </c>
      <c r="S1011" s="47" t="str">
        <f>'G MTTS'!AQ1012</f>
        <v> </v>
      </c>
    </row>
    <row r="1012" ht="29.25" customHeight="1" outlineLevel="1" spans="1:19">
      <c r="A1012" s="201">
        <f>'G MTTS'!A1013</f>
        <v>0</v>
      </c>
      <c r="B1012" s="36">
        <f>'G MTTS'!B1013</f>
        <v>0</v>
      </c>
      <c r="C1012" s="37">
        <f>'G MTTS'!J1013</f>
        <v>0</v>
      </c>
      <c r="D1012" s="38">
        <f>'G MTTS'!M1013</f>
        <v>0</v>
      </c>
      <c r="E1012" s="39">
        <f>'G MTTS'!N1013</f>
        <v>0</v>
      </c>
      <c r="F1012" s="40">
        <f>'G MTTS'!O1013</f>
        <v>0</v>
      </c>
      <c r="G1012" s="41" t="str">
        <f>IF('G MTTS'!Q1013=0," ",'G MTTS'!Q1013*$A$3)</f>
        <v> </v>
      </c>
      <c r="H1012" s="42" t="str">
        <f>IF('G MTTS'!V1013=0," ",'G MTTS'!V1013*$A$3)</f>
        <v> </v>
      </c>
      <c r="I1012" s="42" t="str">
        <f>IF('G MTTS'!W1013=0," ",'G MTTS'!W1013*$A$3)</f>
        <v> </v>
      </c>
      <c r="J1012" s="42" t="str">
        <f>IF('G MTTS'!Z1013=0," ",'G MTTS'!Z1013*$A$3)</f>
        <v> </v>
      </c>
      <c r="K1012" s="43">
        <f>'G MTTS'!AF1013</f>
        <v>0</v>
      </c>
      <c r="L1012" s="43">
        <f>'G MTTS'!X1013</f>
        <v>0</v>
      </c>
      <c r="M1012" s="43">
        <f>'G MTTS'!AA1013</f>
        <v>0</v>
      </c>
      <c r="N1012" s="44">
        <f>'G MTTS'!AG1013</f>
        <v>0</v>
      </c>
      <c r="O1012" s="44">
        <f>'G MTTS'!AH1013</f>
        <v>0</v>
      </c>
      <c r="P1012" s="44">
        <f>'G MTTS'!AI1013</f>
        <v>0</v>
      </c>
      <c r="Q1012" s="45">
        <f>'G MTTS'!AJ1013</f>
        <v>0</v>
      </c>
      <c r="R1012" s="46" t="str">
        <f t="shared" si="101"/>
        <v> </v>
      </c>
      <c r="S1012" s="47" t="str">
        <f>'G MTTS'!AQ1013</f>
        <v> </v>
      </c>
    </row>
    <row r="1013" ht="29.25" customHeight="1" outlineLevel="1" spans="1:19">
      <c r="A1013" s="201">
        <f>'G MTTS'!A1014</f>
        <v>0</v>
      </c>
      <c r="B1013" s="36">
        <f>'G MTTS'!B1014</f>
        <v>0</v>
      </c>
      <c r="C1013" s="202">
        <f>'G MTTS'!J1014</f>
        <v>0</v>
      </c>
      <c r="D1013" s="203">
        <f>'G MTTS'!M1014</f>
        <v>0</v>
      </c>
      <c r="E1013" s="204">
        <f>'G MTTS'!N1014</f>
        <v>0</v>
      </c>
      <c r="F1013" s="205">
        <f>'G MTTS'!O1014</f>
        <v>0</v>
      </c>
      <c r="G1013" s="206" t="str">
        <f>IF('G MTTS'!Q1014=0," ",'G MTTS'!Q1014*$A$3)</f>
        <v> </v>
      </c>
      <c r="H1013" s="207" t="str">
        <f>IF('G MTTS'!V1014=0," ",'G MTTS'!V1014*$A$3)</f>
        <v> </v>
      </c>
      <c r="I1013" s="207" t="str">
        <f>IF('G MTTS'!W1014=0," ",'G MTTS'!W1014*$A$3)</f>
        <v> </v>
      </c>
      <c r="J1013" s="207" t="str">
        <f>IF('G MTTS'!Z1014=0," ",'G MTTS'!Z1014*$A$3)</f>
        <v> </v>
      </c>
      <c r="K1013" s="208">
        <f>'G MTTS'!AF1014</f>
        <v>0</v>
      </c>
      <c r="L1013" s="208">
        <f>'G MTTS'!X1014</f>
        <v>0</v>
      </c>
      <c r="M1013" s="208">
        <f>'G MTTS'!AA1014</f>
        <v>0</v>
      </c>
      <c r="N1013" s="209">
        <f>'G MTTS'!AG1014</f>
        <v>0</v>
      </c>
      <c r="O1013" s="209">
        <f>'G MTTS'!AH1014</f>
        <v>0</v>
      </c>
      <c r="P1013" s="209">
        <f>'G MTTS'!AI1014</f>
        <v>0</v>
      </c>
      <c r="Q1013" s="210">
        <f>'G MTTS'!AJ1014</f>
        <v>0</v>
      </c>
      <c r="R1013" s="46" t="str">
        <f t="shared" si="101"/>
        <v> </v>
      </c>
      <c r="S1013" s="47" t="str">
        <f>'G MTTS'!AQ1014</f>
        <v> </v>
      </c>
    </row>
    <row r="1014" ht="29.25" customHeight="1" outlineLevel="1" spans="1:19">
      <c r="A1014" s="201">
        <f>'G MTTS'!A1015</f>
        <v>0</v>
      </c>
      <c r="B1014" s="36">
        <f>'G MTTS'!B1015</f>
        <v>0</v>
      </c>
      <c r="C1014" s="37">
        <f>'G MTTS'!J1015</f>
        <v>0</v>
      </c>
      <c r="D1014" s="38">
        <f>'G MTTS'!M1015</f>
        <v>0</v>
      </c>
      <c r="E1014" s="39">
        <f>'G MTTS'!N1015</f>
        <v>0</v>
      </c>
      <c r="F1014" s="40">
        <f>'G MTTS'!O1015</f>
        <v>0</v>
      </c>
      <c r="G1014" s="41" t="str">
        <f>IF('G MTTS'!Q1015=0," ",'G MTTS'!Q1015*$A$3)</f>
        <v> </v>
      </c>
      <c r="H1014" s="42" t="str">
        <f>IF('G MTTS'!V1015=0," ",'G MTTS'!V1015*$A$3)</f>
        <v> </v>
      </c>
      <c r="I1014" s="42" t="str">
        <f>IF('G MTTS'!W1015=0," ",'G MTTS'!W1015*$A$3)</f>
        <v> </v>
      </c>
      <c r="J1014" s="42" t="str">
        <f>IF('G MTTS'!Z1015=0," ",'G MTTS'!Z1015*$A$3)</f>
        <v> </v>
      </c>
      <c r="K1014" s="43">
        <f>'G MTTS'!AF1015</f>
        <v>0</v>
      </c>
      <c r="L1014" s="43">
        <f>'G MTTS'!X1015</f>
        <v>0</v>
      </c>
      <c r="M1014" s="43">
        <f>'G MTTS'!AA1015</f>
        <v>0</v>
      </c>
      <c r="N1014" s="44">
        <f>'G MTTS'!AG1015</f>
        <v>0</v>
      </c>
      <c r="O1014" s="44">
        <f>'G MTTS'!AH1015</f>
        <v>0</v>
      </c>
      <c r="P1014" s="44">
        <f>'G MTTS'!AI1015</f>
        <v>0</v>
      </c>
      <c r="Q1014" s="45">
        <f>'G MTTS'!AJ1015</f>
        <v>0</v>
      </c>
      <c r="R1014" s="46" t="str">
        <f t="shared" si="101"/>
        <v> </v>
      </c>
      <c r="S1014" s="47" t="str">
        <f>'G MTTS'!AQ1015</f>
        <v> </v>
      </c>
    </row>
    <row r="1015" ht="29.25" customHeight="1" outlineLevel="1" spans="1:19">
      <c r="A1015" s="201">
        <f>'G MTTS'!A1016</f>
        <v>0</v>
      </c>
      <c r="B1015" s="36">
        <f>'G MTTS'!B1016</f>
        <v>0</v>
      </c>
      <c r="C1015" s="202">
        <f>'G MTTS'!J1016</f>
        <v>0</v>
      </c>
      <c r="D1015" s="203">
        <f>'G MTTS'!M1016</f>
        <v>0</v>
      </c>
      <c r="E1015" s="204">
        <f>'G MTTS'!N1016</f>
        <v>0</v>
      </c>
      <c r="F1015" s="205">
        <f>'G MTTS'!O1016</f>
        <v>0</v>
      </c>
      <c r="G1015" s="206" t="str">
        <f>IF('G MTTS'!Q1016=0," ",'G MTTS'!Q1016*$A$3)</f>
        <v> </v>
      </c>
      <c r="H1015" s="207" t="str">
        <f>IF('G MTTS'!V1016=0," ",'G MTTS'!V1016*$A$3)</f>
        <v> </v>
      </c>
      <c r="I1015" s="207" t="str">
        <f>IF('G MTTS'!W1016=0," ",'G MTTS'!W1016*$A$3)</f>
        <v> </v>
      </c>
      <c r="J1015" s="207" t="str">
        <f>IF('G MTTS'!Z1016=0," ",'G MTTS'!Z1016*$A$3)</f>
        <v> </v>
      </c>
      <c r="K1015" s="208">
        <f>'G MTTS'!AF1016</f>
        <v>0</v>
      </c>
      <c r="L1015" s="208">
        <f>'G MTTS'!X1016</f>
        <v>0</v>
      </c>
      <c r="M1015" s="208">
        <f>'G MTTS'!AA1016</f>
        <v>0</v>
      </c>
      <c r="N1015" s="209">
        <f>'G MTTS'!AG1016</f>
        <v>0</v>
      </c>
      <c r="O1015" s="209">
        <f>'G MTTS'!AH1016</f>
        <v>0</v>
      </c>
      <c r="P1015" s="209">
        <f>'G MTTS'!AI1016</f>
        <v>0</v>
      </c>
      <c r="Q1015" s="210">
        <f>'G MTTS'!AJ1016</f>
        <v>0</v>
      </c>
      <c r="R1015" s="46" t="str">
        <f t="shared" si="101"/>
        <v> </v>
      </c>
      <c r="S1015" s="47" t="str">
        <f>'G MTTS'!AQ1016</f>
        <v> </v>
      </c>
    </row>
    <row r="1016" ht="29.25" customHeight="1" outlineLevel="1" spans="1:19">
      <c r="A1016" s="201">
        <f>'G MTTS'!A1017</f>
        <v>0</v>
      </c>
      <c r="B1016" s="36">
        <f>'G MTTS'!B1017</f>
        <v>0</v>
      </c>
      <c r="C1016" s="37">
        <f>'G MTTS'!J1017</f>
        <v>0</v>
      </c>
      <c r="D1016" s="38">
        <f>'G MTTS'!M1017</f>
        <v>0</v>
      </c>
      <c r="E1016" s="39">
        <f>'G MTTS'!N1017</f>
        <v>0</v>
      </c>
      <c r="F1016" s="40">
        <f>'G MTTS'!O1017</f>
        <v>0</v>
      </c>
      <c r="G1016" s="41" t="str">
        <f>IF('G MTTS'!Q1017=0," ",'G MTTS'!Q1017*$A$3)</f>
        <v> </v>
      </c>
      <c r="H1016" s="42" t="str">
        <f>IF('G MTTS'!V1017=0," ",'G MTTS'!V1017*$A$3)</f>
        <v> </v>
      </c>
      <c r="I1016" s="42" t="str">
        <f>IF('G MTTS'!W1017=0," ",'G MTTS'!W1017*$A$3)</f>
        <v> </v>
      </c>
      <c r="J1016" s="42" t="str">
        <f>IF('G MTTS'!Z1017=0," ",'G MTTS'!Z1017*$A$3)</f>
        <v> </v>
      </c>
      <c r="K1016" s="43">
        <f>'G MTTS'!AF1017</f>
        <v>0</v>
      </c>
      <c r="L1016" s="43">
        <f>'G MTTS'!X1017</f>
        <v>0</v>
      </c>
      <c r="M1016" s="43">
        <f>'G MTTS'!AA1017</f>
        <v>0</v>
      </c>
      <c r="N1016" s="44">
        <f>'G MTTS'!AG1017</f>
        <v>0</v>
      </c>
      <c r="O1016" s="44">
        <f>'G MTTS'!AH1017</f>
        <v>0</v>
      </c>
      <c r="P1016" s="44">
        <f>'G MTTS'!AI1017</f>
        <v>0</v>
      </c>
      <c r="Q1016" s="45">
        <f>'G MTTS'!AJ1017</f>
        <v>0</v>
      </c>
      <c r="R1016" s="46" t="str">
        <f t="shared" si="101"/>
        <v> </v>
      </c>
      <c r="S1016" s="47" t="str">
        <f>'G MTTS'!AQ1017</f>
        <v> </v>
      </c>
    </row>
    <row r="1017" ht="29.25" customHeight="1" outlineLevel="1" spans="1:19">
      <c r="A1017" s="201">
        <f>'G MTTS'!A1018</f>
        <v>0</v>
      </c>
      <c r="B1017" s="36">
        <f>'G MTTS'!B1018</f>
        <v>0</v>
      </c>
      <c r="C1017" s="202">
        <f>'G MTTS'!J1018</f>
        <v>0</v>
      </c>
      <c r="D1017" s="203">
        <f>'G MTTS'!M1018</f>
        <v>0</v>
      </c>
      <c r="E1017" s="204">
        <f>'G MTTS'!N1018</f>
        <v>0</v>
      </c>
      <c r="F1017" s="205">
        <f>'G MTTS'!O1018</f>
        <v>0</v>
      </c>
      <c r="G1017" s="206" t="str">
        <f>IF('G MTTS'!Q1018=0," ",'G MTTS'!Q1018*$A$3)</f>
        <v> </v>
      </c>
      <c r="H1017" s="207" t="str">
        <f>IF('G MTTS'!V1018=0," ",'G MTTS'!V1018*$A$3)</f>
        <v> </v>
      </c>
      <c r="I1017" s="207" t="str">
        <f>IF('G MTTS'!W1018=0," ",'G MTTS'!W1018*$A$3)</f>
        <v> </v>
      </c>
      <c r="J1017" s="207" t="str">
        <f>IF('G MTTS'!Z1018=0," ",'G MTTS'!Z1018*$A$3)</f>
        <v> </v>
      </c>
      <c r="K1017" s="208">
        <f>'G MTTS'!AF1018</f>
        <v>0</v>
      </c>
      <c r="L1017" s="208">
        <f>'G MTTS'!X1018</f>
        <v>0</v>
      </c>
      <c r="M1017" s="208">
        <f>'G MTTS'!AA1018</f>
        <v>0</v>
      </c>
      <c r="N1017" s="209">
        <f>'G MTTS'!AG1018</f>
        <v>0</v>
      </c>
      <c r="O1017" s="209">
        <f>'G MTTS'!AH1018</f>
        <v>0</v>
      </c>
      <c r="P1017" s="209">
        <f>'G MTTS'!AI1018</f>
        <v>0</v>
      </c>
      <c r="Q1017" s="210">
        <f>'G MTTS'!AJ1018</f>
        <v>0</v>
      </c>
      <c r="R1017" s="46" t="str">
        <f t="shared" si="101"/>
        <v> </v>
      </c>
      <c r="S1017" s="47" t="str">
        <f>'G MTTS'!AQ1018</f>
        <v> </v>
      </c>
    </row>
    <row r="1018" ht="29.25" customHeight="1" outlineLevel="1" spans="1:19">
      <c r="A1018" s="201">
        <f>'G MTTS'!A1019</f>
        <v>0</v>
      </c>
      <c r="B1018" s="36">
        <f>'G MTTS'!B1019</f>
        <v>0</v>
      </c>
      <c r="C1018" s="37">
        <f>'G MTTS'!J1019</f>
        <v>0</v>
      </c>
      <c r="D1018" s="38">
        <f>'G MTTS'!M1019</f>
        <v>0</v>
      </c>
      <c r="E1018" s="39">
        <f>'G MTTS'!N1019</f>
        <v>0</v>
      </c>
      <c r="F1018" s="40">
        <f>'G MTTS'!O1019</f>
        <v>0</v>
      </c>
      <c r="G1018" s="41" t="str">
        <f>IF('G MTTS'!Q1019=0," ",'G MTTS'!Q1019*$A$3)</f>
        <v> </v>
      </c>
      <c r="H1018" s="42" t="str">
        <f>IF('G MTTS'!V1019=0," ",'G MTTS'!V1019*$A$3)</f>
        <v> </v>
      </c>
      <c r="I1018" s="42" t="str">
        <f>IF('G MTTS'!W1019=0," ",'G MTTS'!W1019*$A$3)</f>
        <v> </v>
      </c>
      <c r="J1018" s="42" t="str">
        <f>IF('G MTTS'!Z1019=0," ",'G MTTS'!Z1019*$A$3)</f>
        <v> </v>
      </c>
      <c r="K1018" s="43">
        <f>'G MTTS'!AF1019</f>
        <v>0</v>
      </c>
      <c r="L1018" s="43">
        <f>'G MTTS'!X1019</f>
        <v>0</v>
      </c>
      <c r="M1018" s="43">
        <f>'G MTTS'!AA1019</f>
        <v>0</v>
      </c>
      <c r="N1018" s="44">
        <f>'G MTTS'!AG1019</f>
        <v>0</v>
      </c>
      <c r="O1018" s="44">
        <f>'G MTTS'!AH1019</f>
        <v>0</v>
      </c>
      <c r="P1018" s="44">
        <f>'G MTTS'!AI1019</f>
        <v>0</v>
      </c>
      <c r="Q1018" s="45">
        <f>'G MTTS'!AJ1019</f>
        <v>0</v>
      </c>
      <c r="R1018" s="46" t="str">
        <f t="shared" si="101"/>
        <v> </v>
      </c>
      <c r="S1018" s="47" t="str">
        <f>'G MTTS'!AQ1019</f>
        <v> </v>
      </c>
    </row>
    <row r="1019" ht="29.25" customHeight="1" outlineLevel="1" spans="1:19">
      <c r="A1019" s="201">
        <f>'G MTTS'!A1020</f>
        <v>0</v>
      </c>
      <c r="B1019" s="36">
        <f>'G MTTS'!B1020</f>
        <v>0</v>
      </c>
      <c r="C1019" s="202">
        <f>'G MTTS'!J1020</f>
        <v>0</v>
      </c>
      <c r="D1019" s="203">
        <f>'G MTTS'!M1020</f>
        <v>0</v>
      </c>
      <c r="E1019" s="204">
        <f>'G MTTS'!N1020</f>
        <v>0</v>
      </c>
      <c r="F1019" s="205">
        <f>'G MTTS'!O1020</f>
        <v>0</v>
      </c>
      <c r="G1019" s="206" t="str">
        <f>IF('G MTTS'!Q1020=0," ",'G MTTS'!Q1020*$A$3)</f>
        <v> </v>
      </c>
      <c r="H1019" s="207" t="str">
        <f>IF('G MTTS'!V1020=0," ",'G MTTS'!V1020*$A$3)</f>
        <v> </v>
      </c>
      <c r="I1019" s="207" t="str">
        <f>IF('G MTTS'!W1020=0," ",'G MTTS'!W1020*$A$3)</f>
        <v> </v>
      </c>
      <c r="J1019" s="207" t="str">
        <f>IF('G MTTS'!Z1020=0," ",'G MTTS'!Z1020*$A$3)</f>
        <v> </v>
      </c>
      <c r="K1019" s="208">
        <f>'G MTTS'!AF1020</f>
        <v>0</v>
      </c>
      <c r="L1019" s="208">
        <f>'G MTTS'!X1020</f>
        <v>0</v>
      </c>
      <c r="M1019" s="208">
        <f>'G MTTS'!AA1020</f>
        <v>0</v>
      </c>
      <c r="N1019" s="209">
        <f>'G MTTS'!AG1020</f>
        <v>0</v>
      </c>
      <c r="O1019" s="209">
        <f>'G MTTS'!AH1020</f>
        <v>0</v>
      </c>
      <c r="P1019" s="209">
        <f>'G MTTS'!AI1020</f>
        <v>0</v>
      </c>
      <c r="Q1019" s="210">
        <f>'G MTTS'!AJ1020</f>
        <v>0</v>
      </c>
      <c r="R1019" s="46" t="str">
        <f t="shared" si="101"/>
        <v> </v>
      </c>
      <c r="S1019" s="47" t="str">
        <f>'G MTTS'!AQ1020</f>
        <v> </v>
      </c>
    </row>
    <row r="1020" ht="29.25" customHeight="1" outlineLevel="1" spans="1:19">
      <c r="A1020" s="201">
        <f>'G MTTS'!A1021</f>
        <v>0</v>
      </c>
      <c r="B1020" s="36">
        <f>'G MTTS'!B1021</f>
        <v>0</v>
      </c>
      <c r="C1020" s="37">
        <f>'G MTTS'!J1021</f>
        <v>0</v>
      </c>
      <c r="D1020" s="38">
        <f>'G MTTS'!M1021</f>
        <v>0</v>
      </c>
      <c r="E1020" s="39">
        <f>'G MTTS'!N1021</f>
        <v>0</v>
      </c>
      <c r="F1020" s="40">
        <f>'G MTTS'!O1021</f>
        <v>0</v>
      </c>
      <c r="G1020" s="41" t="str">
        <f>IF('G MTTS'!Q1021=0," ",'G MTTS'!Q1021*$A$3)</f>
        <v> </v>
      </c>
      <c r="H1020" s="42" t="str">
        <f>IF('G MTTS'!V1021=0," ",'G MTTS'!V1021*$A$3)</f>
        <v> </v>
      </c>
      <c r="I1020" s="42" t="str">
        <f>IF('G MTTS'!W1021=0," ",'G MTTS'!W1021*$A$3)</f>
        <v> </v>
      </c>
      <c r="J1020" s="42" t="str">
        <f>IF('G MTTS'!Z1021=0," ",'G MTTS'!Z1021*$A$3)</f>
        <v> </v>
      </c>
      <c r="K1020" s="43">
        <f>'G MTTS'!AF1021</f>
        <v>0</v>
      </c>
      <c r="L1020" s="43">
        <f>'G MTTS'!X1021</f>
        <v>0</v>
      </c>
      <c r="M1020" s="43">
        <f>'G MTTS'!AA1021</f>
        <v>0</v>
      </c>
      <c r="N1020" s="44">
        <f>'G MTTS'!AG1021</f>
        <v>0</v>
      </c>
      <c r="O1020" s="44">
        <f>'G MTTS'!AH1021</f>
        <v>0</v>
      </c>
      <c r="P1020" s="44">
        <f>'G MTTS'!AI1021</f>
        <v>0</v>
      </c>
      <c r="Q1020" s="45">
        <f>'G MTTS'!AJ1021</f>
        <v>0</v>
      </c>
      <c r="R1020" s="46" t="str">
        <f t="shared" si="101"/>
        <v> </v>
      </c>
      <c r="S1020" s="47" t="str">
        <f>'G MTTS'!AQ1021</f>
        <v> </v>
      </c>
    </row>
    <row r="1021" ht="29.25" customHeight="1" outlineLevel="1" spans="1:19">
      <c r="A1021" s="201">
        <f>'G MTTS'!A1022</f>
        <v>0</v>
      </c>
      <c r="B1021" s="36">
        <f>'G MTTS'!B1022</f>
        <v>0</v>
      </c>
      <c r="C1021" s="202">
        <f>'G MTTS'!J1022</f>
        <v>0</v>
      </c>
      <c r="D1021" s="203">
        <f>'G MTTS'!M1022</f>
        <v>0</v>
      </c>
      <c r="E1021" s="204">
        <f>'G MTTS'!N1022</f>
        <v>0</v>
      </c>
      <c r="F1021" s="205">
        <f>'G MTTS'!O1022</f>
        <v>0</v>
      </c>
      <c r="G1021" s="206" t="str">
        <f>IF('G MTTS'!Q1022=0," ",'G MTTS'!Q1022*$A$3)</f>
        <v> </v>
      </c>
      <c r="H1021" s="207" t="str">
        <f>IF('G MTTS'!V1022=0," ",'G MTTS'!V1022*$A$3)</f>
        <v> </v>
      </c>
      <c r="I1021" s="207" t="str">
        <f>IF('G MTTS'!W1022=0," ",'G MTTS'!W1022*$A$3)</f>
        <v> </v>
      </c>
      <c r="J1021" s="207" t="str">
        <f>IF('G MTTS'!Z1022=0," ",'G MTTS'!Z1022*$A$3)</f>
        <v> </v>
      </c>
      <c r="K1021" s="208">
        <f>'G MTTS'!AF1022</f>
        <v>0</v>
      </c>
      <c r="L1021" s="208">
        <f>'G MTTS'!X1022</f>
        <v>0</v>
      </c>
      <c r="M1021" s="208">
        <f>'G MTTS'!AA1022</f>
        <v>0</v>
      </c>
      <c r="N1021" s="209">
        <f>'G MTTS'!AG1022</f>
        <v>0</v>
      </c>
      <c r="O1021" s="209">
        <f>'G MTTS'!AH1022</f>
        <v>0</v>
      </c>
      <c r="P1021" s="209">
        <f>'G MTTS'!AI1022</f>
        <v>0</v>
      </c>
      <c r="Q1021" s="210">
        <f>'G MTTS'!AJ1022</f>
        <v>0</v>
      </c>
      <c r="R1021" s="46" t="str">
        <f t="shared" si="101"/>
        <v> </v>
      </c>
      <c r="S1021" s="47" t="str">
        <f>'G MTTS'!AQ1022</f>
        <v> </v>
      </c>
    </row>
    <row r="1022" ht="29.25" customHeight="1" outlineLevel="1" spans="1:19">
      <c r="A1022" s="201">
        <f>'G MTTS'!A1023</f>
        <v>0</v>
      </c>
      <c r="B1022" s="36">
        <f>'G MTTS'!B1023</f>
        <v>0</v>
      </c>
      <c r="C1022" s="37">
        <f>'G MTTS'!J1023</f>
        <v>0</v>
      </c>
      <c r="D1022" s="38">
        <f>'G MTTS'!M1023</f>
        <v>0</v>
      </c>
      <c r="E1022" s="39">
        <f>'G MTTS'!N1023</f>
        <v>0</v>
      </c>
      <c r="F1022" s="40">
        <f>'G MTTS'!O1023</f>
        <v>0</v>
      </c>
      <c r="G1022" s="41" t="str">
        <f>IF('G MTTS'!Q1023=0," ",'G MTTS'!Q1023*$A$3)</f>
        <v> </v>
      </c>
      <c r="H1022" s="42" t="str">
        <f>IF('G MTTS'!V1023=0," ",'G MTTS'!V1023*$A$3)</f>
        <v> </v>
      </c>
      <c r="I1022" s="42" t="str">
        <f>IF('G MTTS'!W1023=0," ",'G MTTS'!W1023*$A$3)</f>
        <v> </v>
      </c>
      <c r="J1022" s="42" t="str">
        <f>IF('G MTTS'!Z1023=0," ",'G MTTS'!Z1023*$A$3)</f>
        <v> </v>
      </c>
      <c r="K1022" s="43">
        <f>'G MTTS'!AF1023</f>
        <v>0</v>
      </c>
      <c r="L1022" s="43">
        <f>'G MTTS'!X1023</f>
        <v>0</v>
      </c>
      <c r="M1022" s="43">
        <f>'G MTTS'!AA1023</f>
        <v>0</v>
      </c>
      <c r="N1022" s="44">
        <f>'G MTTS'!AG1023</f>
        <v>0</v>
      </c>
      <c r="O1022" s="44">
        <f>'G MTTS'!AH1023</f>
        <v>0</v>
      </c>
      <c r="P1022" s="44">
        <f>'G MTTS'!AI1023</f>
        <v>0</v>
      </c>
      <c r="Q1022" s="45">
        <f>'G MTTS'!AJ1023</f>
        <v>0</v>
      </c>
      <c r="R1022" s="46" t="str">
        <f t="shared" si="101"/>
        <v> </v>
      </c>
      <c r="S1022" s="47" t="str">
        <f>'G MTTS'!AQ1023</f>
        <v> </v>
      </c>
    </row>
    <row r="1023" ht="29.25" customHeight="1" outlineLevel="1" spans="1:19">
      <c r="A1023" s="201">
        <f>'G MTTS'!A1024</f>
        <v>0</v>
      </c>
      <c r="B1023" s="36">
        <f>'G MTTS'!B1024</f>
        <v>0</v>
      </c>
      <c r="C1023" s="202">
        <f>'G MTTS'!J1024</f>
        <v>0</v>
      </c>
      <c r="D1023" s="203">
        <f>'G MTTS'!M1024</f>
        <v>0</v>
      </c>
      <c r="E1023" s="204">
        <f>'G MTTS'!N1024</f>
        <v>0</v>
      </c>
      <c r="F1023" s="205">
        <f>'G MTTS'!O1024</f>
        <v>0</v>
      </c>
      <c r="G1023" s="206" t="str">
        <f>IF('G MTTS'!Q1024=0," ",'G MTTS'!Q1024*$A$3)</f>
        <v> </v>
      </c>
      <c r="H1023" s="207" t="str">
        <f>IF('G MTTS'!V1024=0," ",'G MTTS'!V1024*$A$3)</f>
        <v> </v>
      </c>
      <c r="I1023" s="207" t="str">
        <f>IF('G MTTS'!W1024=0," ",'G MTTS'!W1024*$A$3)</f>
        <v> </v>
      </c>
      <c r="J1023" s="207" t="str">
        <f>IF('G MTTS'!Z1024=0," ",'G MTTS'!Z1024*$A$3)</f>
        <v> </v>
      </c>
      <c r="K1023" s="208">
        <f>'G MTTS'!AF1024</f>
        <v>0</v>
      </c>
      <c r="L1023" s="208">
        <f>'G MTTS'!X1024</f>
        <v>0</v>
      </c>
      <c r="M1023" s="208">
        <f>'G MTTS'!AA1024</f>
        <v>0</v>
      </c>
      <c r="N1023" s="209">
        <f>'G MTTS'!AG1024</f>
        <v>0</v>
      </c>
      <c r="O1023" s="209">
        <f>'G MTTS'!AH1024</f>
        <v>0</v>
      </c>
      <c r="P1023" s="209">
        <f>'G MTTS'!AI1024</f>
        <v>0</v>
      </c>
      <c r="Q1023" s="210">
        <f>'G MTTS'!AJ1024</f>
        <v>0</v>
      </c>
      <c r="R1023" s="46" t="str">
        <f t="shared" si="101"/>
        <v> </v>
      </c>
      <c r="S1023" s="47" t="str">
        <f>'G MTTS'!AQ1024</f>
        <v> </v>
      </c>
    </row>
    <row r="1024" ht="29.25" customHeight="1" outlineLevel="1" spans="1:19">
      <c r="A1024" s="201">
        <f>'G MTTS'!A1025</f>
        <v>0</v>
      </c>
      <c r="B1024" s="36">
        <f>'G MTTS'!B1025</f>
        <v>0</v>
      </c>
      <c r="C1024" s="37">
        <f>'G MTTS'!J1025</f>
        <v>0</v>
      </c>
      <c r="D1024" s="38">
        <f>'G MTTS'!M1025</f>
        <v>0</v>
      </c>
      <c r="E1024" s="39">
        <f>'G MTTS'!N1025</f>
        <v>0</v>
      </c>
      <c r="F1024" s="40">
        <f>'G MTTS'!O1025</f>
        <v>0</v>
      </c>
      <c r="G1024" s="41" t="str">
        <f>IF('G MTTS'!Q1025=0," ",'G MTTS'!Q1025*$A$3)</f>
        <v> </v>
      </c>
      <c r="H1024" s="42" t="str">
        <f>IF('G MTTS'!V1025=0," ",'G MTTS'!V1025*$A$3)</f>
        <v> </v>
      </c>
      <c r="I1024" s="42" t="str">
        <f>IF('G MTTS'!W1025=0," ",'G MTTS'!W1025*$A$3)</f>
        <v> </v>
      </c>
      <c r="J1024" s="42" t="str">
        <f>IF('G MTTS'!Z1025=0," ",'G MTTS'!Z1025*$A$3)</f>
        <v> </v>
      </c>
      <c r="K1024" s="43">
        <f>'G MTTS'!AF1025</f>
        <v>0</v>
      </c>
      <c r="L1024" s="43">
        <f>'G MTTS'!X1025</f>
        <v>0</v>
      </c>
      <c r="M1024" s="43">
        <f>'G MTTS'!AA1025</f>
        <v>0</v>
      </c>
      <c r="N1024" s="44">
        <f>'G MTTS'!AG1025</f>
        <v>0</v>
      </c>
      <c r="O1024" s="44">
        <f>'G MTTS'!AH1025</f>
        <v>0</v>
      </c>
      <c r="P1024" s="44">
        <f>'G MTTS'!AI1025</f>
        <v>0</v>
      </c>
      <c r="Q1024" s="45">
        <f>'G MTTS'!AJ1025</f>
        <v>0</v>
      </c>
      <c r="R1024" s="46" t="str">
        <f t="shared" si="101"/>
        <v> </v>
      </c>
      <c r="S1024" s="47" t="str">
        <f>'G MTTS'!AQ1025</f>
        <v> </v>
      </c>
    </row>
    <row r="1025" ht="29.25" customHeight="1" outlineLevel="1" spans="1:19">
      <c r="A1025" s="201">
        <f>'G MTTS'!A1026</f>
        <v>0</v>
      </c>
      <c r="B1025" s="36">
        <f>'G MTTS'!B1026</f>
        <v>0</v>
      </c>
      <c r="C1025" s="202">
        <f>'G MTTS'!J1026</f>
        <v>0</v>
      </c>
      <c r="D1025" s="203">
        <f>'G MTTS'!M1026</f>
        <v>0</v>
      </c>
      <c r="E1025" s="204">
        <f>'G MTTS'!N1026</f>
        <v>0</v>
      </c>
      <c r="F1025" s="205">
        <f>'G MTTS'!O1026</f>
        <v>0</v>
      </c>
      <c r="G1025" s="206" t="str">
        <f>IF('G MTTS'!Q1026=0," ",'G MTTS'!Q1026*$A$3)</f>
        <v> </v>
      </c>
      <c r="H1025" s="207" t="str">
        <f>IF('G MTTS'!V1026=0," ",'G MTTS'!V1026*$A$3)</f>
        <v> </v>
      </c>
      <c r="I1025" s="207" t="str">
        <f>IF('G MTTS'!W1026=0," ",'G MTTS'!W1026*$A$3)</f>
        <v> </v>
      </c>
      <c r="J1025" s="207" t="str">
        <f>IF('G MTTS'!Z1026=0," ",'G MTTS'!Z1026*$A$3)</f>
        <v> </v>
      </c>
      <c r="K1025" s="208">
        <f>'G MTTS'!AF1026</f>
        <v>0</v>
      </c>
      <c r="L1025" s="208">
        <f>'G MTTS'!X1026</f>
        <v>0</v>
      </c>
      <c r="M1025" s="208">
        <f>'G MTTS'!AA1026</f>
        <v>0</v>
      </c>
      <c r="N1025" s="209">
        <f>'G MTTS'!AG1026</f>
        <v>0</v>
      </c>
      <c r="O1025" s="209">
        <f>'G MTTS'!AH1026</f>
        <v>0</v>
      </c>
      <c r="P1025" s="209">
        <f>'G MTTS'!AI1026</f>
        <v>0</v>
      </c>
      <c r="Q1025" s="210">
        <f>'G MTTS'!AJ1026</f>
        <v>0</v>
      </c>
      <c r="R1025" s="46" t="str">
        <f t="shared" si="101"/>
        <v> </v>
      </c>
      <c r="S1025" s="47" t="str">
        <f>'G MTTS'!AQ1026</f>
        <v> </v>
      </c>
    </row>
    <row r="1026" ht="29.25" customHeight="1" outlineLevel="1" spans="1:19">
      <c r="A1026" s="201">
        <f>'G MTTS'!A1027</f>
        <v>0</v>
      </c>
      <c r="B1026" s="36">
        <f>'G MTTS'!B1027</f>
        <v>0</v>
      </c>
      <c r="C1026" s="37">
        <f>'G MTTS'!J1027</f>
        <v>0</v>
      </c>
      <c r="D1026" s="38">
        <f>'G MTTS'!M1027</f>
        <v>0</v>
      </c>
      <c r="E1026" s="39">
        <f>'G MTTS'!N1027</f>
        <v>0</v>
      </c>
      <c r="F1026" s="40">
        <f>'G MTTS'!O1027</f>
        <v>0</v>
      </c>
      <c r="G1026" s="41" t="str">
        <f>IF('G MTTS'!Q1027=0," ",'G MTTS'!Q1027*$A$3)</f>
        <v> </v>
      </c>
      <c r="H1026" s="42" t="str">
        <f>IF('G MTTS'!V1027=0," ",'G MTTS'!V1027*$A$3)</f>
        <v> </v>
      </c>
      <c r="I1026" s="42" t="str">
        <f>IF('G MTTS'!W1027=0," ",'G MTTS'!W1027*$A$3)</f>
        <v> </v>
      </c>
      <c r="J1026" s="42" t="str">
        <f>IF('G MTTS'!Z1027=0," ",'G MTTS'!Z1027*$A$3)</f>
        <v> </v>
      </c>
      <c r="K1026" s="43">
        <f>'G MTTS'!AF1027</f>
        <v>0</v>
      </c>
      <c r="L1026" s="43">
        <f>'G MTTS'!X1027</f>
        <v>0</v>
      </c>
      <c r="M1026" s="43">
        <f>'G MTTS'!AA1027</f>
        <v>0</v>
      </c>
      <c r="N1026" s="44">
        <f>'G MTTS'!AG1027</f>
        <v>0</v>
      </c>
      <c r="O1026" s="44">
        <f>'G MTTS'!AH1027</f>
        <v>0</v>
      </c>
      <c r="P1026" s="44">
        <f>'G MTTS'!AI1027</f>
        <v>0</v>
      </c>
      <c r="Q1026" s="45">
        <f>'G MTTS'!AJ1027</f>
        <v>0</v>
      </c>
      <c r="R1026" s="46" t="str">
        <f t="shared" si="101"/>
        <v> </v>
      </c>
      <c r="S1026" s="47" t="str">
        <f>'G MTTS'!AQ1027</f>
        <v> </v>
      </c>
    </row>
    <row r="1027" ht="29.25" customHeight="1" outlineLevel="1" spans="1:19">
      <c r="A1027" s="201">
        <f>'G MTTS'!A1028</f>
        <v>0</v>
      </c>
      <c r="B1027" s="36">
        <f>'G MTTS'!B1028</f>
        <v>0</v>
      </c>
      <c r="C1027" s="202">
        <f>'G MTTS'!J1028</f>
        <v>0</v>
      </c>
      <c r="D1027" s="203">
        <f>'G MTTS'!M1028</f>
        <v>0</v>
      </c>
      <c r="E1027" s="204">
        <f>'G MTTS'!N1028</f>
        <v>0</v>
      </c>
      <c r="F1027" s="205">
        <f>'G MTTS'!O1028</f>
        <v>0</v>
      </c>
      <c r="G1027" s="206" t="str">
        <f>IF('G MTTS'!Q1028=0," ",'G MTTS'!Q1028*$A$3)</f>
        <v> </v>
      </c>
      <c r="H1027" s="207" t="str">
        <f>IF('G MTTS'!V1028=0," ",'G MTTS'!V1028*$A$3)</f>
        <v> </v>
      </c>
      <c r="I1027" s="207" t="str">
        <f>IF('G MTTS'!W1028=0," ",'G MTTS'!W1028*$A$3)</f>
        <v> </v>
      </c>
      <c r="J1027" s="207" t="str">
        <f>IF('G MTTS'!Z1028=0," ",'G MTTS'!Z1028*$A$3)</f>
        <v> </v>
      </c>
      <c r="K1027" s="208">
        <f>'G MTTS'!AF1028</f>
        <v>0</v>
      </c>
      <c r="L1027" s="208">
        <f>'G MTTS'!X1028</f>
        <v>0</v>
      </c>
      <c r="M1027" s="208">
        <f>'G MTTS'!AA1028</f>
        <v>0</v>
      </c>
      <c r="N1027" s="209">
        <f>'G MTTS'!AG1028</f>
        <v>0</v>
      </c>
      <c r="O1027" s="209">
        <f>'G MTTS'!AH1028</f>
        <v>0</v>
      </c>
      <c r="P1027" s="209">
        <f>'G MTTS'!AI1028</f>
        <v>0</v>
      </c>
      <c r="Q1027" s="210">
        <f>'G MTTS'!AJ1028</f>
        <v>0</v>
      </c>
      <c r="R1027" s="46" t="str">
        <f t="shared" si="101"/>
        <v> </v>
      </c>
      <c r="S1027" s="47" t="str">
        <f>'G MTTS'!AQ1028</f>
        <v> </v>
      </c>
    </row>
    <row r="1028" ht="29.25" customHeight="1" outlineLevel="1" spans="1:19">
      <c r="A1028" s="201">
        <f>'G MTTS'!A1029</f>
        <v>0</v>
      </c>
      <c r="B1028" s="36">
        <f>'G MTTS'!B1029</f>
        <v>0</v>
      </c>
      <c r="C1028" s="37">
        <f>'G MTTS'!J1029</f>
        <v>0</v>
      </c>
      <c r="D1028" s="38">
        <f>'G MTTS'!M1029</f>
        <v>0</v>
      </c>
      <c r="E1028" s="39">
        <f>'G MTTS'!N1029</f>
        <v>0</v>
      </c>
      <c r="F1028" s="40">
        <f>'G MTTS'!O1029</f>
        <v>0</v>
      </c>
      <c r="G1028" s="41" t="str">
        <f>IF('G MTTS'!Q1029=0," ",'G MTTS'!Q1029*$A$3)</f>
        <v> </v>
      </c>
      <c r="H1028" s="42" t="str">
        <f>IF('G MTTS'!V1029=0," ",'G MTTS'!V1029*$A$3)</f>
        <v> </v>
      </c>
      <c r="I1028" s="42" t="str">
        <f>IF('G MTTS'!W1029=0," ",'G MTTS'!W1029*$A$3)</f>
        <v> </v>
      </c>
      <c r="J1028" s="42" t="str">
        <f>IF('G MTTS'!Z1029=0," ",'G MTTS'!Z1029*$A$3)</f>
        <v> </v>
      </c>
      <c r="K1028" s="43">
        <f>'G MTTS'!AF1029</f>
        <v>0</v>
      </c>
      <c r="L1028" s="43">
        <f>'G MTTS'!X1029</f>
        <v>0</v>
      </c>
      <c r="M1028" s="43">
        <f>'G MTTS'!AA1029</f>
        <v>0</v>
      </c>
      <c r="N1028" s="44">
        <f>'G MTTS'!AG1029</f>
        <v>0</v>
      </c>
      <c r="O1028" s="44">
        <f>'G MTTS'!AH1029</f>
        <v>0</v>
      </c>
      <c r="P1028" s="44">
        <f>'G MTTS'!AI1029</f>
        <v>0</v>
      </c>
      <c r="Q1028" s="45">
        <f>'G MTTS'!AJ1029</f>
        <v>0</v>
      </c>
      <c r="R1028" s="46" t="str">
        <f t="shared" si="101"/>
        <v> </v>
      </c>
      <c r="S1028" s="47" t="str">
        <f>'G MTTS'!AQ1029</f>
        <v> </v>
      </c>
    </row>
    <row r="1029" ht="29.25" customHeight="1" outlineLevel="1" spans="1:19">
      <c r="A1029" s="201">
        <f>'G MTTS'!A1030</f>
        <v>0</v>
      </c>
      <c r="B1029" s="36">
        <f>'G MTTS'!B1030</f>
        <v>0</v>
      </c>
      <c r="C1029" s="202">
        <f>'G MTTS'!J1030</f>
        <v>0</v>
      </c>
      <c r="D1029" s="203">
        <f>'G MTTS'!M1030</f>
        <v>0</v>
      </c>
      <c r="E1029" s="204">
        <f>'G MTTS'!N1030</f>
        <v>0</v>
      </c>
      <c r="F1029" s="205">
        <f>'G MTTS'!O1030</f>
        <v>0</v>
      </c>
      <c r="G1029" s="206" t="str">
        <f>IF('G MTTS'!Q1030=0," ",'G MTTS'!Q1030*$A$3)</f>
        <v> </v>
      </c>
      <c r="H1029" s="207" t="str">
        <f>IF('G MTTS'!V1030=0," ",'G MTTS'!V1030*$A$3)</f>
        <v> </v>
      </c>
      <c r="I1029" s="207" t="str">
        <f>IF('G MTTS'!W1030=0," ",'G MTTS'!W1030*$A$3)</f>
        <v> </v>
      </c>
      <c r="J1029" s="207" t="str">
        <f>IF('G MTTS'!Z1030=0," ",'G MTTS'!Z1030*$A$3)</f>
        <v> </v>
      </c>
      <c r="K1029" s="208">
        <f>'G MTTS'!AF1030</f>
        <v>0</v>
      </c>
      <c r="L1029" s="208">
        <f>'G MTTS'!X1030</f>
        <v>0</v>
      </c>
      <c r="M1029" s="208">
        <f>'G MTTS'!AA1030</f>
        <v>0</v>
      </c>
      <c r="N1029" s="209">
        <f>'G MTTS'!AG1030</f>
        <v>0</v>
      </c>
      <c r="O1029" s="209">
        <f>'G MTTS'!AH1030</f>
        <v>0</v>
      </c>
      <c r="P1029" s="209">
        <f>'G MTTS'!AI1030</f>
        <v>0</v>
      </c>
      <c r="Q1029" s="210">
        <f>'G MTTS'!AJ1030</f>
        <v>0</v>
      </c>
      <c r="R1029" s="46" t="str">
        <f t="shared" si="101"/>
        <v> </v>
      </c>
      <c r="S1029" s="47" t="str">
        <f>'G MTTS'!AQ1030</f>
        <v> </v>
      </c>
    </row>
    <row r="1030" ht="29.25" customHeight="1" outlineLevel="1" spans="1:19">
      <c r="A1030" s="201">
        <f>'G MTTS'!A1031</f>
        <v>0</v>
      </c>
      <c r="B1030" s="36">
        <f>'G MTTS'!B1031</f>
        <v>0</v>
      </c>
      <c r="C1030" s="37">
        <f>'G MTTS'!J1031</f>
        <v>0</v>
      </c>
      <c r="D1030" s="38">
        <f>'G MTTS'!M1031</f>
        <v>0</v>
      </c>
      <c r="E1030" s="39">
        <f>'G MTTS'!N1031</f>
        <v>0</v>
      </c>
      <c r="F1030" s="40">
        <f>'G MTTS'!O1031</f>
        <v>0</v>
      </c>
      <c r="G1030" s="41" t="str">
        <f>IF('G MTTS'!Q1031=0," ",'G MTTS'!Q1031*$A$3)</f>
        <v> </v>
      </c>
      <c r="H1030" s="42" t="str">
        <f>IF('G MTTS'!V1031=0," ",'G MTTS'!V1031*$A$3)</f>
        <v> </v>
      </c>
      <c r="I1030" s="42" t="str">
        <f>IF('G MTTS'!W1031=0," ",'G MTTS'!W1031*$A$3)</f>
        <v> </v>
      </c>
      <c r="J1030" s="42" t="str">
        <f>IF('G MTTS'!Z1031=0," ",'G MTTS'!Z1031*$A$3)</f>
        <v> </v>
      </c>
      <c r="K1030" s="43">
        <f>'G MTTS'!AF1031</f>
        <v>0</v>
      </c>
      <c r="L1030" s="43">
        <f>'G MTTS'!X1031</f>
        <v>0</v>
      </c>
      <c r="M1030" s="43">
        <f>'G MTTS'!AA1031</f>
        <v>0</v>
      </c>
      <c r="N1030" s="44">
        <f>'G MTTS'!AG1031</f>
        <v>0</v>
      </c>
      <c r="O1030" s="44">
        <f>'G MTTS'!AH1031</f>
        <v>0</v>
      </c>
      <c r="P1030" s="44">
        <f>'G MTTS'!AI1031</f>
        <v>0</v>
      </c>
      <c r="Q1030" s="45">
        <f>'G MTTS'!AJ1031</f>
        <v>0</v>
      </c>
      <c r="R1030" s="46" t="str">
        <f t="shared" si="101"/>
        <v> </v>
      </c>
      <c r="S1030" s="47" t="str">
        <f>'G MTTS'!AQ1031</f>
        <v> </v>
      </c>
    </row>
    <row r="1031" ht="29.25" customHeight="1" outlineLevel="1" spans="1:19">
      <c r="A1031" s="201">
        <f>'G MTTS'!A1032</f>
        <v>0</v>
      </c>
      <c r="B1031" s="36">
        <f>'G MTTS'!B1032</f>
        <v>0</v>
      </c>
      <c r="C1031" s="202">
        <f>'G MTTS'!J1032</f>
        <v>0</v>
      </c>
      <c r="D1031" s="203">
        <f>'G MTTS'!M1032</f>
        <v>0</v>
      </c>
      <c r="E1031" s="204">
        <f>'G MTTS'!N1032</f>
        <v>0</v>
      </c>
      <c r="F1031" s="205">
        <f>'G MTTS'!O1032</f>
        <v>0</v>
      </c>
      <c r="G1031" s="206" t="str">
        <f>IF('G MTTS'!Q1032=0," ",'G MTTS'!Q1032*$A$3)</f>
        <v> </v>
      </c>
      <c r="H1031" s="207" t="str">
        <f>IF('G MTTS'!V1032=0," ",'G MTTS'!V1032*$A$3)</f>
        <v> </v>
      </c>
      <c r="I1031" s="207" t="str">
        <f>IF('G MTTS'!W1032=0," ",'G MTTS'!W1032*$A$3)</f>
        <v> </v>
      </c>
      <c r="J1031" s="207" t="str">
        <f>IF('G MTTS'!Z1032=0," ",'G MTTS'!Z1032*$A$3)</f>
        <v> </v>
      </c>
      <c r="K1031" s="208">
        <f>'G MTTS'!AF1032</f>
        <v>0</v>
      </c>
      <c r="L1031" s="208">
        <f>'G MTTS'!X1032</f>
        <v>0</v>
      </c>
      <c r="M1031" s="208">
        <f>'G MTTS'!AA1032</f>
        <v>0</v>
      </c>
      <c r="N1031" s="209">
        <f>'G MTTS'!AG1032</f>
        <v>0</v>
      </c>
      <c r="O1031" s="209">
        <f>'G MTTS'!AH1032</f>
        <v>0</v>
      </c>
      <c r="P1031" s="209">
        <f>'G MTTS'!AI1032</f>
        <v>0</v>
      </c>
      <c r="Q1031" s="210">
        <f>'G MTTS'!AJ1032</f>
        <v>0</v>
      </c>
      <c r="R1031" s="46" t="str">
        <f t="shared" si="101"/>
        <v> </v>
      </c>
      <c r="S1031" s="47" t="str">
        <f>'G MTTS'!AQ1032</f>
        <v> </v>
      </c>
    </row>
    <row r="1032" ht="29.25" customHeight="1" outlineLevel="1" spans="1:19">
      <c r="A1032" s="201">
        <f>'G MTTS'!A1033</f>
        <v>0</v>
      </c>
      <c r="B1032" s="36">
        <f>'G MTTS'!B1033</f>
        <v>0</v>
      </c>
      <c r="C1032" s="37">
        <f>'G MTTS'!J1033</f>
        <v>0</v>
      </c>
      <c r="D1032" s="38">
        <f>'G MTTS'!M1033</f>
        <v>0</v>
      </c>
      <c r="E1032" s="39">
        <f>'G MTTS'!N1033</f>
        <v>0</v>
      </c>
      <c r="F1032" s="40">
        <f>'G MTTS'!O1033</f>
        <v>0</v>
      </c>
      <c r="G1032" s="41" t="str">
        <f>IF('G MTTS'!Q1033=0," ",'G MTTS'!Q1033*$A$3)</f>
        <v> </v>
      </c>
      <c r="H1032" s="42" t="str">
        <f>IF('G MTTS'!V1033=0," ",'G MTTS'!V1033*$A$3)</f>
        <v> </v>
      </c>
      <c r="I1032" s="42" t="str">
        <f>IF('G MTTS'!W1033=0," ",'G MTTS'!W1033*$A$3)</f>
        <v> </v>
      </c>
      <c r="J1032" s="42" t="str">
        <f>IF('G MTTS'!Z1033=0," ",'G MTTS'!Z1033*$A$3)</f>
        <v> </v>
      </c>
      <c r="K1032" s="43">
        <f>'G MTTS'!AF1033</f>
        <v>0</v>
      </c>
      <c r="L1032" s="43">
        <f>'G MTTS'!X1033</f>
        <v>0</v>
      </c>
      <c r="M1032" s="43">
        <f>'G MTTS'!AA1033</f>
        <v>0</v>
      </c>
      <c r="N1032" s="44">
        <f>'G MTTS'!AG1033</f>
        <v>0</v>
      </c>
      <c r="O1032" s="44">
        <f>'G MTTS'!AH1033</f>
        <v>0</v>
      </c>
      <c r="P1032" s="44">
        <f>'G MTTS'!AI1033</f>
        <v>0</v>
      </c>
      <c r="Q1032" s="45">
        <f>'G MTTS'!AJ1033</f>
        <v>0</v>
      </c>
      <c r="R1032" s="46" t="str">
        <f t="shared" si="101"/>
        <v> </v>
      </c>
      <c r="S1032" s="47" t="str">
        <f>'G MTTS'!AQ1033</f>
        <v> </v>
      </c>
    </row>
    <row r="1033" ht="29.25" customHeight="1" outlineLevel="1" spans="1:19">
      <c r="A1033" s="201">
        <f>'G MTTS'!A1034</f>
        <v>0</v>
      </c>
      <c r="B1033" s="36">
        <f>'G MTTS'!B1034</f>
        <v>0</v>
      </c>
      <c r="C1033" s="202">
        <f>'G MTTS'!J1034</f>
        <v>0</v>
      </c>
      <c r="D1033" s="203">
        <f>'G MTTS'!M1034</f>
        <v>0</v>
      </c>
      <c r="E1033" s="204">
        <f>'G MTTS'!N1034</f>
        <v>0</v>
      </c>
      <c r="F1033" s="205">
        <f>'G MTTS'!O1034</f>
        <v>0</v>
      </c>
      <c r="G1033" s="206" t="str">
        <f>IF('G MTTS'!Q1034=0," ",'G MTTS'!Q1034*$A$3)</f>
        <v> </v>
      </c>
      <c r="H1033" s="207" t="str">
        <f>IF('G MTTS'!V1034=0," ",'G MTTS'!V1034*$A$3)</f>
        <v> </v>
      </c>
      <c r="I1033" s="207" t="str">
        <f>IF('G MTTS'!W1034=0," ",'G MTTS'!W1034*$A$3)</f>
        <v> </v>
      </c>
      <c r="J1033" s="207" t="str">
        <f>IF('G MTTS'!Z1034=0," ",'G MTTS'!Z1034*$A$3)</f>
        <v> </v>
      </c>
      <c r="K1033" s="208">
        <f>'G MTTS'!AF1034</f>
        <v>0</v>
      </c>
      <c r="L1033" s="208">
        <f>'G MTTS'!X1034</f>
        <v>0</v>
      </c>
      <c r="M1033" s="208">
        <f>'G MTTS'!AA1034</f>
        <v>0</v>
      </c>
      <c r="N1033" s="209">
        <f>'G MTTS'!AG1034</f>
        <v>0</v>
      </c>
      <c r="O1033" s="209">
        <f>'G MTTS'!AH1034</f>
        <v>0</v>
      </c>
      <c r="P1033" s="209">
        <f>'G MTTS'!AI1034</f>
        <v>0</v>
      </c>
      <c r="Q1033" s="210">
        <f>'G MTTS'!AJ1034</f>
        <v>0</v>
      </c>
      <c r="R1033" s="46" t="str">
        <f t="shared" si="101"/>
        <v> </v>
      </c>
      <c r="S1033" s="47" t="str">
        <f>'G MTTS'!AQ1034</f>
        <v> </v>
      </c>
    </row>
    <row r="1034" ht="29.25" customHeight="1" outlineLevel="1" spans="1:19">
      <c r="A1034" s="201">
        <f>'G MTTS'!A1035</f>
        <v>0</v>
      </c>
      <c r="B1034" s="36">
        <f>'G MTTS'!B1035</f>
        <v>0</v>
      </c>
      <c r="C1034" s="37">
        <f>'G MTTS'!J1035</f>
        <v>0</v>
      </c>
      <c r="D1034" s="38">
        <f>'G MTTS'!M1035</f>
        <v>0</v>
      </c>
      <c r="E1034" s="39">
        <f>'G MTTS'!N1035</f>
        <v>0</v>
      </c>
      <c r="F1034" s="40">
        <f>'G MTTS'!O1035</f>
        <v>0</v>
      </c>
      <c r="G1034" s="41" t="str">
        <f>IF('G MTTS'!Q1035=0," ",'G MTTS'!Q1035*$A$3)</f>
        <v> </v>
      </c>
      <c r="H1034" s="42" t="str">
        <f>IF('G MTTS'!V1035=0," ",'G MTTS'!V1035*$A$3)</f>
        <v> </v>
      </c>
      <c r="I1034" s="42" t="str">
        <f>IF('G MTTS'!W1035=0," ",'G MTTS'!W1035*$A$3)</f>
        <v> </v>
      </c>
      <c r="J1034" s="42" t="str">
        <f>IF('G MTTS'!Z1035=0," ",'G MTTS'!Z1035*$A$3)</f>
        <v> </v>
      </c>
      <c r="K1034" s="43">
        <f>'G MTTS'!AF1035</f>
        <v>0</v>
      </c>
      <c r="L1034" s="43">
        <f>'G MTTS'!X1035</f>
        <v>0</v>
      </c>
      <c r="M1034" s="43">
        <f>'G MTTS'!AA1035</f>
        <v>0</v>
      </c>
      <c r="N1034" s="44">
        <f>'G MTTS'!AG1035</f>
        <v>0</v>
      </c>
      <c r="O1034" s="44">
        <f>'G MTTS'!AH1035</f>
        <v>0</v>
      </c>
      <c r="P1034" s="44">
        <f>'G MTTS'!AI1035</f>
        <v>0</v>
      </c>
      <c r="Q1034" s="45">
        <f>'G MTTS'!AJ1035</f>
        <v>0</v>
      </c>
      <c r="R1034" s="46" t="str">
        <f t="shared" si="101"/>
        <v> </v>
      </c>
      <c r="S1034" s="47" t="str">
        <f>'G MTTS'!AQ1035</f>
        <v> </v>
      </c>
    </row>
    <row r="1035" ht="29.25" customHeight="1" outlineLevel="1" spans="1:19">
      <c r="A1035" s="201">
        <f>'G MTTS'!A1036</f>
        <v>0</v>
      </c>
      <c r="B1035" s="36">
        <f>'G MTTS'!B1036</f>
        <v>0</v>
      </c>
      <c r="C1035" s="202">
        <f>'G MTTS'!J1036</f>
        <v>0</v>
      </c>
      <c r="D1035" s="203">
        <f>'G MTTS'!M1036</f>
        <v>0</v>
      </c>
      <c r="E1035" s="204">
        <f>'G MTTS'!N1036</f>
        <v>0</v>
      </c>
      <c r="F1035" s="205">
        <f>'G MTTS'!O1036</f>
        <v>0</v>
      </c>
      <c r="G1035" s="206" t="str">
        <f>IF('G MTTS'!Q1036=0," ",'G MTTS'!Q1036*$A$3)</f>
        <v> </v>
      </c>
      <c r="H1035" s="207" t="str">
        <f>IF('G MTTS'!V1036=0," ",'G MTTS'!V1036*$A$3)</f>
        <v> </v>
      </c>
      <c r="I1035" s="207" t="str">
        <f>IF('G MTTS'!W1036=0," ",'G MTTS'!W1036*$A$3)</f>
        <v> </v>
      </c>
      <c r="J1035" s="207" t="str">
        <f>IF('G MTTS'!Z1036=0," ",'G MTTS'!Z1036*$A$3)</f>
        <v> </v>
      </c>
      <c r="K1035" s="208">
        <f>'G MTTS'!AF1036</f>
        <v>0</v>
      </c>
      <c r="L1035" s="208">
        <f>'G MTTS'!X1036</f>
        <v>0</v>
      </c>
      <c r="M1035" s="208">
        <f>'G MTTS'!AA1036</f>
        <v>0</v>
      </c>
      <c r="N1035" s="209">
        <f>'G MTTS'!AG1036</f>
        <v>0</v>
      </c>
      <c r="O1035" s="209">
        <f>'G MTTS'!AH1036</f>
        <v>0</v>
      </c>
      <c r="P1035" s="209">
        <f>'G MTTS'!AI1036</f>
        <v>0</v>
      </c>
      <c r="Q1035" s="210">
        <f>'G MTTS'!AJ1036</f>
        <v>0</v>
      </c>
      <c r="R1035" s="46" t="str">
        <f t="shared" si="101"/>
        <v> </v>
      </c>
      <c r="S1035" s="47" t="str">
        <f>'G MTTS'!AQ1036</f>
        <v> </v>
      </c>
    </row>
    <row r="1036" ht="29.25" customHeight="1" outlineLevel="1" spans="1:19">
      <c r="A1036" s="201">
        <f>'G MTTS'!A1037</f>
        <v>0</v>
      </c>
      <c r="B1036" s="36">
        <f>'G MTTS'!B1037</f>
        <v>0</v>
      </c>
      <c r="C1036" s="37">
        <f>'G MTTS'!J1037</f>
        <v>0</v>
      </c>
      <c r="D1036" s="38">
        <f>'G MTTS'!M1037</f>
        <v>0</v>
      </c>
      <c r="E1036" s="39">
        <f>'G MTTS'!N1037</f>
        <v>0</v>
      </c>
      <c r="F1036" s="40">
        <f>'G MTTS'!O1037</f>
        <v>0</v>
      </c>
      <c r="G1036" s="41" t="str">
        <f>IF('G MTTS'!Q1037=0," ",'G MTTS'!Q1037*$A$3)</f>
        <v> </v>
      </c>
      <c r="H1036" s="42" t="str">
        <f>IF('G MTTS'!V1037=0," ",'G MTTS'!V1037*$A$3)</f>
        <v> </v>
      </c>
      <c r="I1036" s="42" t="str">
        <f>IF('G MTTS'!W1037=0," ",'G MTTS'!W1037*$A$3)</f>
        <v> </v>
      </c>
      <c r="J1036" s="42" t="str">
        <f>IF('G MTTS'!Z1037=0," ",'G MTTS'!Z1037*$A$3)</f>
        <v> </v>
      </c>
      <c r="K1036" s="43">
        <f>'G MTTS'!AF1037</f>
        <v>0</v>
      </c>
      <c r="L1036" s="43">
        <f>'G MTTS'!X1037</f>
        <v>0</v>
      </c>
      <c r="M1036" s="43">
        <f>'G MTTS'!AA1037</f>
        <v>0</v>
      </c>
      <c r="N1036" s="44">
        <f>'G MTTS'!AG1037</f>
        <v>0</v>
      </c>
      <c r="O1036" s="44">
        <f>'G MTTS'!AH1037</f>
        <v>0</v>
      </c>
      <c r="P1036" s="44">
        <f>'G MTTS'!AI1037</f>
        <v>0</v>
      </c>
      <c r="Q1036" s="45">
        <f>'G MTTS'!AJ1037</f>
        <v>0</v>
      </c>
      <c r="R1036" s="46" t="str">
        <f t="shared" si="101"/>
        <v> </v>
      </c>
      <c r="S1036" s="47" t="str">
        <f>'G MTTS'!AQ1037</f>
        <v> </v>
      </c>
    </row>
    <row r="1037" ht="29.25" customHeight="1" outlineLevel="1" spans="1:19">
      <c r="A1037" s="201">
        <f>'G MTTS'!A1038</f>
        <v>0</v>
      </c>
      <c r="B1037" s="36">
        <f>'G MTTS'!B1038</f>
        <v>0</v>
      </c>
      <c r="C1037" s="202">
        <f>'G MTTS'!J1038</f>
        <v>0</v>
      </c>
      <c r="D1037" s="203">
        <f>'G MTTS'!M1038</f>
        <v>0</v>
      </c>
      <c r="E1037" s="204">
        <f>'G MTTS'!N1038</f>
        <v>0</v>
      </c>
      <c r="F1037" s="205">
        <f>'G MTTS'!O1038</f>
        <v>0</v>
      </c>
      <c r="G1037" s="206" t="str">
        <f>IF('G MTTS'!Q1038=0," ",'G MTTS'!Q1038*$A$3)</f>
        <v> </v>
      </c>
      <c r="H1037" s="207" t="str">
        <f>IF('G MTTS'!V1038=0," ",'G MTTS'!V1038*$A$3)</f>
        <v> </v>
      </c>
      <c r="I1037" s="207" t="str">
        <f>IF('G MTTS'!W1038=0," ",'G MTTS'!W1038*$A$3)</f>
        <v> </v>
      </c>
      <c r="J1037" s="207" t="str">
        <f>IF('G MTTS'!Z1038=0," ",'G MTTS'!Z1038*$A$3)</f>
        <v> </v>
      </c>
      <c r="K1037" s="208">
        <f>'G MTTS'!AF1038</f>
        <v>0</v>
      </c>
      <c r="L1037" s="208">
        <f>'G MTTS'!X1038</f>
        <v>0</v>
      </c>
      <c r="M1037" s="208">
        <f>'G MTTS'!AA1038</f>
        <v>0</v>
      </c>
      <c r="N1037" s="209">
        <f>'G MTTS'!AG1038</f>
        <v>0</v>
      </c>
      <c r="O1037" s="209">
        <f>'G MTTS'!AH1038</f>
        <v>0</v>
      </c>
      <c r="P1037" s="209">
        <f>'G MTTS'!AI1038</f>
        <v>0</v>
      </c>
      <c r="Q1037" s="210">
        <f>'G MTTS'!AJ1038</f>
        <v>0</v>
      </c>
      <c r="R1037" s="46" t="str">
        <f t="shared" si="101"/>
        <v> </v>
      </c>
      <c r="S1037" s="47" t="str">
        <f>'G MTTS'!AQ1038</f>
        <v> </v>
      </c>
    </row>
    <row r="1038" ht="29.25" customHeight="1" outlineLevel="1" spans="1:19">
      <c r="A1038" s="201">
        <f>'G MTTS'!A1039</f>
        <v>0</v>
      </c>
      <c r="B1038" s="36">
        <f>'G MTTS'!B1039</f>
        <v>0</v>
      </c>
      <c r="C1038" s="37">
        <f>'G MTTS'!J1039</f>
        <v>0</v>
      </c>
      <c r="D1038" s="38">
        <f>'G MTTS'!M1039</f>
        <v>0</v>
      </c>
      <c r="E1038" s="39">
        <f>'G MTTS'!N1039</f>
        <v>0</v>
      </c>
      <c r="F1038" s="40">
        <f>'G MTTS'!O1039</f>
        <v>0</v>
      </c>
      <c r="G1038" s="41" t="str">
        <f>IF('G MTTS'!Q1039=0," ",'G MTTS'!Q1039*$A$3)</f>
        <v> </v>
      </c>
      <c r="H1038" s="42" t="str">
        <f>IF('G MTTS'!V1039=0," ",'G MTTS'!V1039*$A$3)</f>
        <v> </v>
      </c>
      <c r="I1038" s="42" t="str">
        <f>IF('G MTTS'!W1039=0," ",'G MTTS'!W1039*$A$3)</f>
        <v> </v>
      </c>
      <c r="J1038" s="42" t="str">
        <f>IF('G MTTS'!Z1039=0," ",'G MTTS'!Z1039*$A$3)</f>
        <v> </v>
      </c>
      <c r="K1038" s="43">
        <f>'G MTTS'!AF1039</f>
        <v>0</v>
      </c>
      <c r="L1038" s="43">
        <f>'G MTTS'!X1039</f>
        <v>0</v>
      </c>
      <c r="M1038" s="43">
        <f>'G MTTS'!AA1039</f>
        <v>0</v>
      </c>
      <c r="N1038" s="44">
        <f>'G MTTS'!AG1039</f>
        <v>0</v>
      </c>
      <c r="O1038" s="44">
        <f>'G MTTS'!AH1039</f>
        <v>0</v>
      </c>
      <c r="P1038" s="44">
        <f>'G MTTS'!AI1039</f>
        <v>0</v>
      </c>
      <c r="Q1038" s="45">
        <f>'G MTTS'!AJ1039</f>
        <v>0</v>
      </c>
      <c r="R1038" s="46" t="str">
        <f t="shared" si="101"/>
        <v> </v>
      </c>
      <c r="S1038" s="47" t="str">
        <f>'G MTTS'!AQ1039</f>
        <v> </v>
      </c>
    </row>
    <row r="1039" ht="29.25" customHeight="1" outlineLevel="1" spans="1:19">
      <c r="A1039" s="201">
        <f>'G MTTS'!A1040</f>
        <v>0</v>
      </c>
      <c r="B1039" s="36">
        <f>'G MTTS'!B1040</f>
        <v>0</v>
      </c>
      <c r="C1039" s="202">
        <f>'G MTTS'!J1040</f>
        <v>0</v>
      </c>
      <c r="D1039" s="203">
        <f>'G MTTS'!M1040</f>
        <v>0</v>
      </c>
      <c r="E1039" s="204">
        <f>'G MTTS'!N1040</f>
        <v>0</v>
      </c>
      <c r="F1039" s="205">
        <f>'G MTTS'!O1040</f>
        <v>0</v>
      </c>
      <c r="G1039" s="206" t="str">
        <f>IF('G MTTS'!Q1040=0," ",'G MTTS'!Q1040*$A$3)</f>
        <v> </v>
      </c>
      <c r="H1039" s="207" t="str">
        <f>IF('G MTTS'!V1040=0," ",'G MTTS'!V1040*$A$3)</f>
        <v> </v>
      </c>
      <c r="I1039" s="207" t="str">
        <f>IF('G MTTS'!W1040=0," ",'G MTTS'!W1040*$A$3)</f>
        <v> </v>
      </c>
      <c r="J1039" s="207" t="str">
        <f>IF('G MTTS'!Z1040=0," ",'G MTTS'!Z1040*$A$3)</f>
        <v> </v>
      </c>
      <c r="K1039" s="208">
        <f>'G MTTS'!AF1040</f>
        <v>0</v>
      </c>
      <c r="L1039" s="208">
        <f>'G MTTS'!X1040</f>
        <v>0</v>
      </c>
      <c r="M1039" s="208">
        <f>'G MTTS'!AA1040</f>
        <v>0</v>
      </c>
      <c r="N1039" s="209">
        <f>'G MTTS'!AG1040</f>
        <v>0</v>
      </c>
      <c r="O1039" s="209">
        <f>'G MTTS'!AH1040</f>
        <v>0</v>
      </c>
      <c r="P1039" s="209">
        <f>'G MTTS'!AI1040</f>
        <v>0</v>
      </c>
      <c r="Q1039" s="210">
        <f>'G MTTS'!AJ1040</f>
        <v>0</v>
      </c>
      <c r="R1039" s="46" t="str">
        <f t="shared" si="101"/>
        <v> </v>
      </c>
      <c r="S1039" s="47" t="str">
        <f>'G MTTS'!AQ1040</f>
        <v> </v>
      </c>
    </row>
    <row r="1040" ht="29.25" customHeight="1" outlineLevel="1" spans="1:19">
      <c r="A1040" s="201">
        <f>'G MTTS'!A1041</f>
        <v>0</v>
      </c>
      <c r="B1040" s="36">
        <f>'G MTTS'!B1041</f>
        <v>0</v>
      </c>
      <c r="C1040" s="37">
        <f>'G MTTS'!J1041</f>
        <v>0</v>
      </c>
      <c r="D1040" s="38">
        <f>'G MTTS'!M1041</f>
        <v>0</v>
      </c>
      <c r="E1040" s="39">
        <f>'G MTTS'!N1041</f>
        <v>0</v>
      </c>
      <c r="F1040" s="40">
        <f>'G MTTS'!O1041</f>
        <v>0</v>
      </c>
      <c r="G1040" s="41" t="str">
        <f>IF('G MTTS'!Q1041=0," ",'G MTTS'!Q1041*$A$3)</f>
        <v> </v>
      </c>
      <c r="H1040" s="42" t="str">
        <f>IF('G MTTS'!V1041=0," ",'G MTTS'!V1041*$A$3)</f>
        <v> </v>
      </c>
      <c r="I1040" s="42" t="str">
        <f>IF('G MTTS'!W1041=0," ",'G MTTS'!W1041*$A$3)</f>
        <v> </v>
      </c>
      <c r="J1040" s="42" t="str">
        <f>IF('G MTTS'!Z1041=0," ",'G MTTS'!Z1041*$A$3)</f>
        <v> </v>
      </c>
      <c r="K1040" s="43">
        <f>'G MTTS'!AF1041</f>
        <v>0</v>
      </c>
      <c r="L1040" s="43">
        <f>'G MTTS'!X1041</f>
        <v>0</v>
      </c>
      <c r="M1040" s="43">
        <f>'G MTTS'!AA1041</f>
        <v>0</v>
      </c>
      <c r="N1040" s="44">
        <f>'G MTTS'!AG1041</f>
        <v>0</v>
      </c>
      <c r="O1040" s="44">
        <f>'G MTTS'!AH1041</f>
        <v>0</v>
      </c>
      <c r="P1040" s="44">
        <f>'G MTTS'!AI1041</f>
        <v>0</v>
      </c>
      <c r="Q1040" s="45">
        <f>'G MTTS'!AJ1041</f>
        <v>0</v>
      </c>
      <c r="R1040" s="46" t="str">
        <f t="shared" si="101"/>
        <v> </v>
      </c>
      <c r="S1040" s="47" t="str">
        <f>'G MTTS'!AQ1041</f>
        <v> </v>
      </c>
    </row>
    <row r="1041" ht="29.25" customHeight="1" outlineLevel="1" spans="1:19">
      <c r="A1041" s="201">
        <f>'G MTTS'!A1042</f>
        <v>0</v>
      </c>
      <c r="B1041" s="36">
        <f>'G MTTS'!B1042</f>
        <v>0</v>
      </c>
      <c r="C1041" s="202">
        <f>'G MTTS'!J1042</f>
        <v>0</v>
      </c>
      <c r="D1041" s="203">
        <f>'G MTTS'!M1042</f>
        <v>0</v>
      </c>
      <c r="E1041" s="204">
        <f>'G MTTS'!N1042</f>
        <v>0</v>
      </c>
      <c r="F1041" s="205">
        <f>'G MTTS'!O1042</f>
        <v>0</v>
      </c>
      <c r="G1041" s="206" t="str">
        <f>IF('G MTTS'!Q1042=0," ",'G MTTS'!Q1042*$A$3)</f>
        <v> </v>
      </c>
      <c r="H1041" s="207" t="str">
        <f>IF('G MTTS'!V1042=0," ",'G MTTS'!V1042*$A$3)</f>
        <v> </v>
      </c>
      <c r="I1041" s="207" t="str">
        <f>IF('G MTTS'!W1042=0," ",'G MTTS'!W1042*$A$3)</f>
        <v> </v>
      </c>
      <c r="J1041" s="207" t="str">
        <f>IF('G MTTS'!Z1042=0," ",'G MTTS'!Z1042*$A$3)</f>
        <v> </v>
      </c>
      <c r="K1041" s="208">
        <f>'G MTTS'!AF1042</f>
        <v>0</v>
      </c>
      <c r="L1041" s="208">
        <f>'G MTTS'!X1042</f>
        <v>0</v>
      </c>
      <c r="M1041" s="208">
        <f>'G MTTS'!AA1042</f>
        <v>0</v>
      </c>
      <c r="N1041" s="209">
        <f>'G MTTS'!AG1042</f>
        <v>0</v>
      </c>
      <c r="O1041" s="209">
        <f>'G MTTS'!AH1042</f>
        <v>0</v>
      </c>
      <c r="P1041" s="209">
        <f>'G MTTS'!AI1042</f>
        <v>0</v>
      </c>
      <c r="Q1041" s="210">
        <f>'G MTTS'!AJ1042</f>
        <v>0</v>
      </c>
      <c r="R1041" s="46" t="str">
        <f t="shared" si="101"/>
        <v> </v>
      </c>
      <c r="S1041" s="47" t="str">
        <f>'G MTTS'!AQ1042</f>
        <v> </v>
      </c>
    </row>
    <row r="1042" ht="29.25" customHeight="1" outlineLevel="1" spans="1:19">
      <c r="A1042" s="201">
        <f>'G MTTS'!A1043</f>
        <v>0</v>
      </c>
      <c r="B1042" s="36">
        <f>'G MTTS'!B1043</f>
        <v>0</v>
      </c>
      <c r="C1042" s="37">
        <f>'G MTTS'!J1043</f>
        <v>0</v>
      </c>
      <c r="D1042" s="38">
        <f>'G MTTS'!M1043</f>
        <v>0</v>
      </c>
      <c r="E1042" s="39">
        <f>'G MTTS'!N1043</f>
        <v>0</v>
      </c>
      <c r="F1042" s="40">
        <f>'G MTTS'!O1043</f>
        <v>0</v>
      </c>
      <c r="G1042" s="41" t="str">
        <f>IF('G MTTS'!Q1043=0," ",'G MTTS'!Q1043*$A$3)</f>
        <v> </v>
      </c>
      <c r="H1042" s="42" t="str">
        <f>IF('G MTTS'!V1043=0," ",'G MTTS'!V1043*$A$3)</f>
        <v> </v>
      </c>
      <c r="I1042" s="42" t="str">
        <f>IF('G MTTS'!W1043=0," ",'G MTTS'!W1043*$A$3)</f>
        <v> </v>
      </c>
      <c r="J1042" s="42" t="str">
        <f>IF('G MTTS'!Z1043=0," ",'G MTTS'!Z1043*$A$3)</f>
        <v> </v>
      </c>
      <c r="K1042" s="43">
        <f>'G MTTS'!AF1043</f>
        <v>0</v>
      </c>
      <c r="L1042" s="43">
        <f>'G MTTS'!X1043</f>
        <v>0</v>
      </c>
      <c r="M1042" s="43">
        <f>'G MTTS'!AA1043</f>
        <v>0</v>
      </c>
      <c r="N1042" s="44">
        <f>'G MTTS'!AG1043</f>
        <v>0</v>
      </c>
      <c r="O1042" s="44">
        <f>'G MTTS'!AH1043</f>
        <v>0</v>
      </c>
      <c r="P1042" s="44">
        <f>'G MTTS'!AI1043</f>
        <v>0</v>
      </c>
      <c r="Q1042" s="45">
        <f>'G MTTS'!AJ1043</f>
        <v>0</v>
      </c>
      <c r="R1042" s="46" t="str">
        <f t="shared" si="101"/>
        <v> </v>
      </c>
      <c r="S1042" s="47" t="str">
        <f>'G MTTS'!AQ1043</f>
        <v> </v>
      </c>
    </row>
    <row r="1043" ht="29.25" customHeight="1" outlineLevel="1" spans="1:19">
      <c r="A1043" s="201">
        <f>'G MTTS'!A1044</f>
        <v>0</v>
      </c>
      <c r="B1043" s="36">
        <f>'G MTTS'!B1044</f>
        <v>0</v>
      </c>
      <c r="C1043" s="202">
        <f>'G MTTS'!J1044</f>
        <v>0</v>
      </c>
      <c r="D1043" s="203">
        <f>'G MTTS'!M1044</f>
        <v>0</v>
      </c>
      <c r="E1043" s="204">
        <f>'G MTTS'!N1044</f>
        <v>0</v>
      </c>
      <c r="F1043" s="205">
        <f>'G MTTS'!O1044</f>
        <v>0</v>
      </c>
      <c r="G1043" s="206" t="str">
        <f>IF('G MTTS'!Q1044=0," ",'G MTTS'!Q1044*$A$3)</f>
        <v> </v>
      </c>
      <c r="H1043" s="207" t="str">
        <f>IF('G MTTS'!V1044=0," ",'G MTTS'!V1044*$A$3)</f>
        <v> </v>
      </c>
      <c r="I1043" s="207" t="str">
        <f>IF('G MTTS'!W1044=0," ",'G MTTS'!W1044*$A$3)</f>
        <v> </v>
      </c>
      <c r="J1043" s="207" t="str">
        <f>IF('G MTTS'!Z1044=0," ",'G MTTS'!Z1044*$A$3)</f>
        <v> </v>
      </c>
      <c r="K1043" s="208">
        <f>'G MTTS'!AF1044</f>
        <v>0</v>
      </c>
      <c r="L1043" s="208">
        <f>'G MTTS'!X1044</f>
        <v>0</v>
      </c>
      <c r="M1043" s="208">
        <f>'G MTTS'!AA1044</f>
        <v>0</v>
      </c>
      <c r="N1043" s="209">
        <f>'G MTTS'!AG1044</f>
        <v>0</v>
      </c>
      <c r="O1043" s="209">
        <f>'G MTTS'!AH1044</f>
        <v>0</v>
      </c>
      <c r="P1043" s="209">
        <f>'G MTTS'!AI1044</f>
        <v>0</v>
      </c>
      <c r="Q1043" s="210">
        <f>'G MTTS'!AJ1044</f>
        <v>0</v>
      </c>
      <c r="R1043" s="46" t="str">
        <f t="shared" si="101"/>
        <v> </v>
      </c>
      <c r="S1043" s="47" t="str">
        <f>'G MTTS'!AQ1044</f>
        <v> </v>
      </c>
    </row>
    <row r="1044" ht="29.25" customHeight="1" outlineLevel="1" spans="1:19">
      <c r="A1044" s="201">
        <f>'G MTTS'!A1045</f>
        <v>0</v>
      </c>
      <c r="B1044" s="36">
        <f>'G MTTS'!B1045</f>
        <v>0</v>
      </c>
      <c r="C1044" s="37">
        <f>'G MTTS'!J1045</f>
        <v>0</v>
      </c>
      <c r="D1044" s="38">
        <f>'G MTTS'!M1045</f>
        <v>0</v>
      </c>
      <c r="E1044" s="39">
        <f>'G MTTS'!N1045</f>
        <v>0</v>
      </c>
      <c r="F1044" s="40">
        <f>'G MTTS'!O1045</f>
        <v>0</v>
      </c>
      <c r="G1044" s="41" t="str">
        <f>IF('G MTTS'!Q1045=0," ",'G MTTS'!Q1045*$A$3)</f>
        <v> </v>
      </c>
      <c r="H1044" s="42" t="str">
        <f>IF('G MTTS'!V1045=0," ",'G MTTS'!V1045*$A$3)</f>
        <v> </v>
      </c>
      <c r="I1044" s="42" t="str">
        <f>IF('G MTTS'!W1045=0," ",'G MTTS'!W1045*$A$3)</f>
        <v> </v>
      </c>
      <c r="J1044" s="42" t="str">
        <f>IF('G MTTS'!Z1045=0," ",'G MTTS'!Z1045*$A$3)</f>
        <v> </v>
      </c>
      <c r="K1044" s="43">
        <f>'G MTTS'!AF1045</f>
        <v>0</v>
      </c>
      <c r="L1044" s="43">
        <f>'G MTTS'!X1045</f>
        <v>0</v>
      </c>
      <c r="M1044" s="43">
        <f>'G MTTS'!AA1045</f>
        <v>0</v>
      </c>
      <c r="N1044" s="44">
        <f>'G MTTS'!AG1045</f>
        <v>0</v>
      </c>
      <c r="O1044" s="44">
        <f>'G MTTS'!AH1045</f>
        <v>0</v>
      </c>
      <c r="P1044" s="44">
        <f>'G MTTS'!AI1045</f>
        <v>0</v>
      </c>
      <c r="Q1044" s="45">
        <f>'G MTTS'!AJ1045</f>
        <v>0</v>
      </c>
      <c r="R1044" s="46" t="str">
        <f t="shared" si="101"/>
        <v> </v>
      </c>
      <c r="S1044" s="47" t="str">
        <f>'G MTTS'!AQ1045</f>
        <v> </v>
      </c>
    </row>
    <row r="1045" ht="29.25" customHeight="1" outlineLevel="1" spans="1:19">
      <c r="A1045" s="201">
        <f>'G MTTS'!A1046</f>
        <v>0</v>
      </c>
      <c r="B1045" s="36">
        <f>'G MTTS'!B1046</f>
        <v>0</v>
      </c>
      <c r="C1045" s="202">
        <f>'G MTTS'!J1046</f>
        <v>0</v>
      </c>
      <c r="D1045" s="203">
        <f>'G MTTS'!M1046</f>
        <v>0</v>
      </c>
      <c r="E1045" s="204">
        <f>'G MTTS'!N1046</f>
        <v>0</v>
      </c>
      <c r="F1045" s="205">
        <f>'G MTTS'!O1046</f>
        <v>0</v>
      </c>
      <c r="G1045" s="206" t="str">
        <f>IF('G MTTS'!Q1046=0," ",'G MTTS'!Q1046*$A$3)</f>
        <v> </v>
      </c>
      <c r="H1045" s="207" t="str">
        <f>IF('G MTTS'!V1046=0," ",'G MTTS'!V1046*$A$3)</f>
        <v> </v>
      </c>
      <c r="I1045" s="207" t="str">
        <f>IF('G MTTS'!W1046=0," ",'G MTTS'!W1046*$A$3)</f>
        <v> </v>
      </c>
      <c r="J1045" s="207" t="str">
        <f>IF('G MTTS'!Z1046=0," ",'G MTTS'!Z1046*$A$3)</f>
        <v> </v>
      </c>
      <c r="K1045" s="208">
        <f>'G MTTS'!AF1046</f>
        <v>0</v>
      </c>
      <c r="L1045" s="208">
        <f>'G MTTS'!X1046</f>
        <v>0</v>
      </c>
      <c r="M1045" s="208">
        <f>'G MTTS'!AA1046</f>
        <v>0</v>
      </c>
      <c r="N1045" s="209">
        <f>'G MTTS'!AG1046</f>
        <v>0</v>
      </c>
      <c r="O1045" s="209">
        <f>'G MTTS'!AH1046</f>
        <v>0</v>
      </c>
      <c r="P1045" s="209">
        <f>'G MTTS'!AI1046</f>
        <v>0</v>
      </c>
      <c r="Q1045" s="210">
        <f>'G MTTS'!AJ1046</f>
        <v>0</v>
      </c>
      <c r="R1045" s="46" t="str">
        <f t="shared" si="101"/>
        <v> </v>
      </c>
      <c r="S1045" s="47" t="str">
        <f>'G MTTS'!AQ1046</f>
        <v> </v>
      </c>
    </row>
    <row r="1046" ht="29.25" customHeight="1" outlineLevel="1" spans="1:19">
      <c r="A1046" s="201">
        <f>'G MTTS'!A1047</f>
        <v>0</v>
      </c>
      <c r="B1046" s="36">
        <f>'G MTTS'!B1047</f>
        <v>0</v>
      </c>
      <c r="C1046" s="37">
        <f>'G MTTS'!J1047</f>
        <v>0</v>
      </c>
      <c r="D1046" s="38">
        <f>'G MTTS'!M1047</f>
        <v>0</v>
      </c>
      <c r="E1046" s="39">
        <f>'G MTTS'!N1047</f>
        <v>0</v>
      </c>
      <c r="F1046" s="40">
        <f>'G MTTS'!O1047</f>
        <v>0</v>
      </c>
      <c r="G1046" s="41" t="str">
        <f>IF('G MTTS'!Q1047=0," ",'G MTTS'!Q1047*$A$3)</f>
        <v> </v>
      </c>
      <c r="H1046" s="42" t="str">
        <f>IF('G MTTS'!V1047=0," ",'G MTTS'!V1047*$A$3)</f>
        <v> </v>
      </c>
      <c r="I1046" s="42" t="str">
        <f>IF('G MTTS'!W1047=0," ",'G MTTS'!W1047*$A$3)</f>
        <v> </v>
      </c>
      <c r="J1046" s="42" t="str">
        <f>IF('G MTTS'!Z1047=0," ",'G MTTS'!Z1047*$A$3)</f>
        <v> </v>
      </c>
      <c r="K1046" s="43">
        <f>'G MTTS'!AF1047</f>
        <v>0</v>
      </c>
      <c r="L1046" s="43">
        <f>'G MTTS'!X1047</f>
        <v>0</v>
      </c>
      <c r="M1046" s="43">
        <f>'G MTTS'!AA1047</f>
        <v>0</v>
      </c>
      <c r="N1046" s="44">
        <f>'G MTTS'!AG1047</f>
        <v>0</v>
      </c>
      <c r="O1046" s="44">
        <f>'G MTTS'!AH1047</f>
        <v>0</v>
      </c>
      <c r="P1046" s="44">
        <f>'G MTTS'!AI1047</f>
        <v>0</v>
      </c>
      <c r="Q1046" s="45">
        <f>'G MTTS'!AJ1047</f>
        <v>0</v>
      </c>
      <c r="R1046" s="46" t="str">
        <f t="shared" si="101"/>
        <v> </v>
      </c>
      <c r="S1046" s="47" t="str">
        <f>'G MTTS'!AQ1047</f>
        <v> </v>
      </c>
    </row>
    <row r="1047" ht="29.25" customHeight="1" outlineLevel="1" spans="1:19">
      <c r="A1047" s="201">
        <f>'G MTTS'!A1048</f>
        <v>0</v>
      </c>
      <c r="B1047" s="36">
        <f>'G MTTS'!B1048</f>
        <v>0</v>
      </c>
      <c r="C1047" s="202">
        <f>'G MTTS'!J1048</f>
        <v>0</v>
      </c>
      <c r="D1047" s="203">
        <f>'G MTTS'!M1048</f>
        <v>0</v>
      </c>
      <c r="E1047" s="204">
        <f>'G MTTS'!N1048</f>
        <v>0</v>
      </c>
      <c r="F1047" s="205">
        <f>'G MTTS'!O1048</f>
        <v>0</v>
      </c>
      <c r="G1047" s="206" t="str">
        <f>IF('G MTTS'!Q1048=0," ",'G MTTS'!Q1048*$A$3)</f>
        <v> </v>
      </c>
      <c r="H1047" s="207" t="str">
        <f>IF('G MTTS'!V1048=0," ",'G MTTS'!V1048*$A$3)</f>
        <v> </v>
      </c>
      <c r="I1047" s="207" t="str">
        <f>IF('G MTTS'!W1048=0," ",'G MTTS'!W1048*$A$3)</f>
        <v> </v>
      </c>
      <c r="J1047" s="207" t="str">
        <f>IF('G MTTS'!Z1048=0," ",'G MTTS'!Z1048*$A$3)</f>
        <v> </v>
      </c>
      <c r="K1047" s="208">
        <f>'G MTTS'!AF1048</f>
        <v>0</v>
      </c>
      <c r="L1047" s="208">
        <f>'G MTTS'!X1048</f>
        <v>0</v>
      </c>
      <c r="M1047" s="208">
        <f>'G MTTS'!AA1048</f>
        <v>0</v>
      </c>
      <c r="N1047" s="209">
        <f>'G MTTS'!AG1048</f>
        <v>0</v>
      </c>
      <c r="O1047" s="209">
        <f>'G MTTS'!AH1048</f>
        <v>0</v>
      </c>
      <c r="P1047" s="209">
        <f>'G MTTS'!AI1048</f>
        <v>0</v>
      </c>
      <c r="Q1047" s="210">
        <f>'G MTTS'!AJ1048</f>
        <v>0</v>
      </c>
      <c r="R1047" s="46" t="str">
        <f t="shared" si="101"/>
        <v> </v>
      </c>
      <c r="S1047" s="47" t="str">
        <f>'G MTTS'!AQ1048</f>
        <v> </v>
      </c>
    </row>
    <row r="1048" ht="29.25" customHeight="1" outlineLevel="1" spans="1:19">
      <c r="A1048" s="201">
        <f>'G MTTS'!A1049</f>
        <v>0</v>
      </c>
      <c r="B1048" s="36">
        <f>'G MTTS'!B1049</f>
        <v>0</v>
      </c>
      <c r="C1048" s="37">
        <f>'G MTTS'!J1049</f>
        <v>0</v>
      </c>
      <c r="D1048" s="38">
        <f>'G MTTS'!M1049</f>
        <v>0</v>
      </c>
      <c r="E1048" s="39">
        <f>'G MTTS'!N1049</f>
        <v>0</v>
      </c>
      <c r="F1048" s="40">
        <f>'G MTTS'!O1049</f>
        <v>0</v>
      </c>
      <c r="G1048" s="41" t="str">
        <f>IF('G MTTS'!Q1049=0," ",'G MTTS'!Q1049*$A$3)</f>
        <v> </v>
      </c>
      <c r="H1048" s="42" t="str">
        <f>IF('G MTTS'!V1049=0," ",'G MTTS'!V1049*$A$3)</f>
        <v> </v>
      </c>
      <c r="I1048" s="42" t="str">
        <f>IF('G MTTS'!W1049=0," ",'G MTTS'!W1049*$A$3)</f>
        <v> </v>
      </c>
      <c r="J1048" s="42" t="str">
        <f>IF('G MTTS'!Z1049=0," ",'G MTTS'!Z1049*$A$3)</f>
        <v> </v>
      </c>
      <c r="K1048" s="43">
        <f>'G MTTS'!AF1049</f>
        <v>0</v>
      </c>
      <c r="L1048" s="43">
        <f>'G MTTS'!X1049</f>
        <v>0</v>
      </c>
      <c r="M1048" s="43">
        <f>'G MTTS'!AA1049</f>
        <v>0</v>
      </c>
      <c r="N1048" s="44">
        <f>'G MTTS'!AG1049</f>
        <v>0</v>
      </c>
      <c r="O1048" s="44">
        <f>'G MTTS'!AH1049</f>
        <v>0</v>
      </c>
      <c r="P1048" s="44">
        <f>'G MTTS'!AI1049</f>
        <v>0</v>
      </c>
      <c r="Q1048" s="45">
        <f>'G MTTS'!AJ1049</f>
        <v>0</v>
      </c>
      <c r="R1048" s="46" t="str">
        <f t="shared" si="101"/>
        <v> </v>
      </c>
      <c r="S1048" s="47" t="str">
        <f>'G MTTS'!AQ1049</f>
        <v> </v>
      </c>
    </row>
    <row r="1049" ht="29.25" customHeight="1" outlineLevel="1" spans="1:19">
      <c r="A1049" s="201">
        <f>'G MTTS'!A1050</f>
        <v>0</v>
      </c>
      <c r="B1049" s="36">
        <f>'G MTTS'!B1050</f>
        <v>0</v>
      </c>
      <c r="C1049" s="202">
        <f>'G MTTS'!J1050</f>
        <v>0</v>
      </c>
      <c r="D1049" s="203">
        <f>'G MTTS'!M1050</f>
        <v>0</v>
      </c>
      <c r="E1049" s="204">
        <f>'G MTTS'!N1050</f>
        <v>0</v>
      </c>
      <c r="F1049" s="205">
        <f>'G MTTS'!O1050</f>
        <v>0</v>
      </c>
      <c r="G1049" s="206" t="str">
        <f>IF('G MTTS'!Q1050=0," ",'G MTTS'!Q1050*$A$3)</f>
        <v> </v>
      </c>
      <c r="H1049" s="207" t="str">
        <f>IF('G MTTS'!V1050=0," ",'G MTTS'!V1050*$A$3)</f>
        <v> </v>
      </c>
      <c r="I1049" s="207" t="str">
        <f>IF('G MTTS'!W1050=0," ",'G MTTS'!W1050*$A$3)</f>
        <v> </v>
      </c>
      <c r="J1049" s="207" t="str">
        <f>IF('G MTTS'!Z1050=0," ",'G MTTS'!Z1050*$A$3)</f>
        <v> </v>
      </c>
      <c r="K1049" s="208">
        <f>'G MTTS'!AF1050</f>
        <v>0</v>
      </c>
      <c r="L1049" s="208">
        <f>'G MTTS'!X1050</f>
        <v>0</v>
      </c>
      <c r="M1049" s="208">
        <f>'G MTTS'!AA1050</f>
        <v>0</v>
      </c>
      <c r="N1049" s="209">
        <f>'G MTTS'!AG1050</f>
        <v>0</v>
      </c>
      <c r="O1049" s="209">
        <f>'G MTTS'!AH1050</f>
        <v>0</v>
      </c>
      <c r="P1049" s="209">
        <f>'G MTTS'!AI1050</f>
        <v>0</v>
      </c>
      <c r="Q1049" s="210">
        <f>'G MTTS'!AJ1050</f>
        <v>0</v>
      </c>
      <c r="R1049" s="46" t="str">
        <f t="shared" si="101"/>
        <v> </v>
      </c>
      <c r="S1049" s="47" t="str">
        <f>'G MTTS'!AQ1050</f>
        <v> </v>
      </c>
    </row>
    <row r="1050" ht="29.25" customHeight="1" outlineLevel="1" spans="1:19">
      <c r="A1050" s="201">
        <f>'G MTTS'!A1051</f>
        <v>0</v>
      </c>
      <c r="B1050" s="36">
        <f>'G MTTS'!B1051</f>
        <v>0</v>
      </c>
      <c r="C1050" s="37">
        <f>'G MTTS'!J1051</f>
        <v>0</v>
      </c>
      <c r="D1050" s="38">
        <f>'G MTTS'!M1051</f>
        <v>0</v>
      </c>
      <c r="E1050" s="39">
        <f>'G MTTS'!N1051</f>
        <v>0</v>
      </c>
      <c r="F1050" s="40">
        <f>'G MTTS'!O1051</f>
        <v>0</v>
      </c>
      <c r="G1050" s="41" t="str">
        <f>IF('G MTTS'!Q1051=0," ",'G MTTS'!Q1051*$A$3)</f>
        <v> </v>
      </c>
      <c r="H1050" s="42" t="str">
        <f>IF('G MTTS'!V1051=0," ",'G MTTS'!V1051*$A$3)</f>
        <v> </v>
      </c>
      <c r="I1050" s="42" t="str">
        <f>IF('G MTTS'!W1051=0," ",'G MTTS'!W1051*$A$3)</f>
        <v> </v>
      </c>
      <c r="J1050" s="42" t="str">
        <f>IF('G MTTS'!Z1051=0," ",'G MTTS'!Z1051*$A$3)</f>
        <v> </v>
      </c>
      <c r="K1050" s="43">
        <f>'G MTTS'!AF1051</f>
        <v>0</v>
      </c>
      <c r="L1050" s="43">
        <f>'G MTTS'!X1051</f>
        <v>0</v>
      </c>
      <c r="M1050" s="43">
        <f>'G MTTS'!AA1051</f>
        <v>0</v>
      </c>
      <c r="N1050" s="44">
        <f>'G MTTS'!AG1051</f>
        <v>0</v>
      </c>
      <c r="O1050" s="44">
        <f>'G MTTS'!AH1051</f>
        <v>0</v>
      </c>
      <c r="P1050" s="44">
        <f>'G MTTS'!AI1051</f>
        <v>0</v>
      </c>
      <c r="Q1050" s="45">
        <f>'G MTTS'!AJ1051</f>
        <v>0</v>
      </c>
      <c r="R1050" s="46" t="str">
        <f t="shared" si="101"/>
        <v> </v>
      </c>
      <c r="S1050" s="47" t="str">
        <f>'G MTTS'!AQ1051</f>
        <v> </v>
      </c>
    </row>
    <row r="1051" ht="29.25" customHeight="1" outlineLevel="1" spans="1:19">
      <c r="A1051" s="201">
        <f>'G MTTS'!A1052</f>
        <v>0</v>
      </c>
      <c r="B1051" s="36">
        <f>'G MTTS'!B1052</f>
        <v>0</v>
      </c>
      <c r="C1051" s="202">
        <f>'G MTTS'!J1052</f>
        <v>0</v>
      </c>
      <c r="D1051" s="203">
        <f>'G MTTS'!M1052</f>
        <v>0</v>
      </c>
      <c r="E1051" s="204">
        <f>'G MTTS'!N1052</f>
        <v>0</v>
      </c>
      <c r="F1051" s="205">
        <f>'G MTTS'!O1052</f>
        <v>0</v>
      </c>
      <c r="G1051" s="206" t="str">
        <f>IF('G MTTS'!Q1052=0," ",'G MTTS'!Q1052*$A$3)</f>
        <v> </v>
      </c>
      <c r="H1051" s="207" t="str">
        <f>IF('G MTTS'!V1052=0," ",'G MTTS'!V1052*$A$3)</f>
        <v> </v>
      </c>
      <c r="I1051" s="207" t="str">
        <f>IF('G MTTS'!W1052=0," ",'G MTTS'!W1052*$A$3)</f>
        <v> </v>
      </c>
      <c r="J1051" s="207" t="str">
        <f>IF('G MTTS'!Z1052=0," ",'G MTTS'!Z1052*$A$3)</f>
        <v> </v>
      </c>
      <c r="K1051" s="208">
        <f>'G MTTS'!AF1052</f>
        <v>0</v>
      </c>
      <c r="L1051" s="208">
        <f>'G MTTS'!X1052</f>
        <v>0</v>
      </c>
      <c r="M1051" s="208">
        <f>'G MTTS'!AA1052</f>
        <v>0</v>
      </c>
      <c r="N1051" s="209">
        <f>'G MTTS'!AG1052</f>
        <v>0</v>
      </c>
      <c r="O1051" s="209">
        <f>'G MTTS'!AH1052</f>
        <v>0</v>
      </c>
      <c r="P1051" s="209">
        <f>'G MTTS'!AI1052</f>
        <v>0</v>
      </c>
      <c r="Q1051" s="210">
        <f>'G MTTS'!AJ1052</f>
        <v>0</v>
      </c>
      <c r="R1051" s="46" t="str">
        <f t="shared" si="101"/>
        <v> </v>
      </c>
      <c r="S1051" s="47" t="str">
        <f>'G MTTS'!AQ1052</f>
        <v> </v>
      </c>
    </row>
    <row r="1052" ht="29.25" customHeight="1" outlineLevel="1" spans="1:19">
      <c r="A1052" s="201">
        <f>'G MTTS'!A1053</f>
        <v>0</v>
      </c>
      <c r="B1052" s="36">
        <f>'G MTTS'!B1053</f>
        <v>0</v>
      </c>
      <c r="C1052" s="37">
        <f>'G MTTS'!J1053</f>
        <v>0</v>
      </c>
      <c r="D1052" s="38">
        <f>'G MTTS'!M1053</f>
        <v>0</v>
      </c>
      <c r="E1052" s="39">
        <f>'G MTTS'!N1053</f>
        <v>0</v>
      </c>
      <c r="F1052" s="40">
        <f>'G MTTS'!O1053</f>
        <v>0</v>
      </c>
      <c r="G1052" s="41" t="str">
        <f>IF('G MTTS'!Q1053=0," ",'G MTTS'!Q1053*$A$3)</f>
        <v> </v>
      </c>
      <c r="H1052" s="42" t="str">
        <f>IF('G MTTS'!V1053=0," ",'G MTTS'!V1053*$A$3)</f>
        <v> </v>
      </c>
      <c r="I1052" s="42" t="str">
        <f>IF('G MTTS'!W1053=0," ",'G MTTS'!W1053*$A$3)</f>
        <v> </v>
      </c>
      <c r="J1052" s="42" t="str">
        <f>IF('G MTTS'!Z1053=0," ",'G MTTS'!Z1053*$A$3)</f>
        <v> </v>
      </c>
      <c r="K1052" s="43">
        <f>'G MTTS'!AF1053</f>
        <v>0</v>
      </c>
      <c r="L1052" s="43">
        <f>'G MTTS'!X1053</f>
        <v>0</v>
      </c>
      <c r="M1052" s="43">
        <f>'G MTTS'!AA1053</f>
        <v>0</v>
      </c>
      <c r="N1052" s="44">
        <f>'G MTTS'!AG1053</f>
        <v>0</v>
      </c>
      <c r="O1052" s="44">
        <f>'G MTTS'!AH1053</f>
        <v>0</v>
      </c>
      <c r="P1052" s="44">
        <f>'G MTTS'!AI1053</f>
        <v>0</v>
      </c>
      <c r="Q1052" s="45">
        <f>'G MTTS'!AJ1053</f>
        <v>0</v>
      </c>
      <c r="R1052" s="46" t="str">
        <f t="shared" si="101"/>
        <v> </v>
      </c>
      <c r="S1052" s="47" t="str">
        <f>'G MTTS'!AQ1053</f>
        <v> </v>
      </c>
    </row>
    <row r="1053" ht="29.25" customHeight="1" outlineLevel="1" spans="1:19">
      <c r="A1053" s="201">
        <f>'G MTTS'!A1054</f>
        <v>0</v>
      </c>
      <c r="B1053" s="36">
        <f>'G MTTS'!B1054</f>
        <v>0</v>
      </c>
      <c r="C1053" s="202">
        <f>'G MTTS'!J1054</f>
        <v>0</v>
      </c>
      <c r="D1053" s="203">
        <f>'G MTTS'!M1054</f>
        <v>0</v>
      </c>
      <c r="E1053" s="204">
        <f>'G MTTS'!N1054</f>
        <v>0</v>
      </c>
      <c r="F1053" s="205">
        <f>'G MTTS'!O1054</f>
        <v>0</v>
      </c>
      <c r="G1053" s="206" t="str">
        <f>IF('G MTTS'!Q1054=0," ",'G MTTS'!Q1054*$A$3)</f>
        <v> </v>
      </c>
      <c r="H1053" s="207" t="str">
        <f>IF('G MTTS'!V1054=0," ",'G MTTS'!V1054*$A$3)</f>
        <v> </v>
      </c>
      <c r="I1053" s="207" t="str">
        <f>IF('G MTTS'!W1054=0," ",'G MTTS'!W1054*$A$3)</f>
        <v> </v>
      </c>
      <c r="J1053" s="207" t="str">
        <f>IF('G MTTS'!Z1054=0," ",'G MTTS'!Z1054*$A$3)</f>
        <v> </v>
      </c>
      <c r="K1053" s="208">
        <f>'G MTTS'!AF1054</f>
        <v>0</v>
      </c>
      <c r="L1053" s="208">
        <f>'G MTTS'!X1054</f>
        <v>0</v>
      </c>
      <c r="M1053" s="208">
        <f>'G MTTS'!AA1054</f>
        <v>0</v>
      </c>
      <c r="N1053" s="209">
        <f>'G MTTS'!AG1054</f>
        <v>0</v>
      </c>
      <c r="O1053" s="209">
        <f>'G MTTS'!AH1054</f>
        <v>0</v>
      </c>
      <c r="P1053" s="209">
        <f>'G MTTS'!AI1054</f>
        <v>0</v>
      </c>
      <c r="Q1053" s="210">
        <f>'G MTTS'!AJ1054</f>
        <v>0</v>
      </c>
      <c r="R1053" s="46" t="str">
        <f t="shared" si="101"/>
        <v> </v>
      </c>
      <c r="S1053" s="47" t="str">
        <f>'G MTTS'!AQ1054</f>
        <v> </v>
      </c>
    </row>
    <row r="1054" ht="29.25" customHeight="1" outlineLevel="1" spans="1:19">
      <c r="A1054" s="201">
        <f>'G MTTS'!A1055</f>
        <v>0</v>
      </c>
      <c r="B1054" s="36">
        <f>'G MTTS'!B1055</f>
        <v>0</v>
      </c>
      <c r="C1054" s="37">
        <f>'G MTTS'!J1055</f>
        <v>0</v>
      </c>
      <c r="D1054" s="38">
        <f>'G MTTS'!M1055</f>
        <v>0</v>
      </c>
      <c r="E1054" s="39">
        <f>'G MTTS'!N1055</f>
        <v>0</v>
      </c>
      <c r="F1054" s="40">
        <f>'G MTTS'!O1055</f>
        <v>0</v>
      </c>
      <c r="G1054" s="41" t="str">
        <f>IF('G MTTS'!Q1055=0," ",'G MTTS'!Q1055*$A$3)</f>
        <v> </v>
      </c>
      <c r="H1054" s="42" t="str">
        <f>IF('G MTTS'!V1055=0," ",'G MTTS'!V1055*$A$3)</f>
        <v> </v>
      </c>
      <c r="I1054" s="42" t="str">
        <f>IF('G MTTS'!W1055=0," ",'G MTTS'!W1055*$A$3)</f>
        <v> </v>
      </c>
      <c r="J1054" s="42" t="str">
        <f>IF('G MTTS'!Z1055=0," ",'G MTTS'!Z1055*$A$3)</f>
        <v> </v>
      </c>
      <c r="K1054" s="43">
        <f>'G MTTS'!AF1055</f>
        <v>0</v>
      </c>
      <c r="L1054" s="43">
        <f>'G MTTS'!X1055</f>
        <v>0</v>
      </c>
      <c r="M1054" s="43">
        <f>'G MTTS'!AA1055</f>
        <v>0</v>
      </c>
      <c r="N1054" s="44">
        <f>'G MTTS'!AG1055</f>
        <v>0</v>
      </c>
      <c r="O1054" s="44">
        <f>'G MTTS'!AH1055</f>
        <v>0</v>
      </c>
      <c r="P1054" s="44">
        <f>'G MTTS'!AI1055</f>
        <v>0</v>
      </c>
      <c r="Q1054" s="45">
        <f>'G MTTS'!AJ1055</f>
        <v>0</v>
      </c>
      <c r="R1054" s="46" t="str">
        <f t="shared" si="101"/>
        <v> </v>
      </c>
      <c r="S1054" s="47" t="str">
        <f>'G MTTS'!AQ1055</f>
        <v> </v>
      </c>
    </row>
    <row r="1055" ht="29.25" customHeight="1" outlineLevel="1" spans="1:19">
      <c r="A1055" s="201">
        <f>'G MTTS'!A1056</f>
        <v>0</v>
      </c>
      <c r="B1055" s="36">
        <f>'G MTTS'!B1056</f>
        <v>0</v>
      </c>
      <c r="C1055" s="202">
        <f>'G MTTS'!J1056</f>
        <v>0</v>
      </c>
      <c r="D1055" s="203">
        <f>'G MTTS'!M1056</f>
        <v>0</v>
      </c>
      <c r="E1055" s="204">
        <f>'G MTTS'!N1056</f>
        <v>0</v>
      </c>
      <c r="F1055" s="205">
        <f>'G MTTS'!O1056</f>
        <v>0</v>
      </c>
      <c r="G1055" s="206" t="str">
        <f>IF('G MTTS'!Q1056=0," ",'G MTTS'!Q1056*$A$3)</f>
        <v> </v>
      </c>
      <c r="H1055" s="207" t="str">
        <f>IF('G MTTS'!V1056=0," ",'G MTTS'!V1056*$A$3)</f>
        <v> </v>
      </c>
      <c r="I1055" s="207" t="str">
        <f>IF('G MTTS'!W1056=0," ",'G MTTS'!W1056*$A$3)</f>
        <v> </v>
      </c>
      <c r="J1055" s="207" t="str">
        <f>IF('G MTTS'!Z1056=0," ",'G MTTS'!Z1056*$A$3)</f>
        <v> </v>
      </c>
      <c r="K1055" s="208">
        <f>'G MTTS'!AF1056</f>
        <v>0</v>
      </c>
      <c r="L1055" s="208">
        <f>'G MTTS'!X1056</f>
        <v>0</v>
      </c>
      <c r="M1055" s="208">
        <f>'G MTTS'!AA1056</f>
        <v>0</v>
      </c>
      <c r="N1055" s="209">
        <f>'G MTTS'!AG1056</f>
        <v>0</v>
      </c>
      <c r="O1055" s="209">
        <f>'G MTTS'!AH1056</f>
        <v>0</v>
      </c>
      <c r="P1055" s="209">
        <f>'G MTTS'!AI1056</f>
        <v>0</v>
      </c>
      <c r="Q1055" s="210">
        <f>'G MTTS'!AJ1056</f>
        <v>0</v>
      </c>
      <c r="R1055" s="46" t="str">
        <f t="shared" si="101"/>
        <v> </v>
      </c>
      <c r="S1055" s="47" t="str">
        <f>'G MTTS'!AQ1056</f>
        <v> </v>
      </c>
    </row>
    <row r="1056" ht="29.25" customHeight="1" outlineLevel="1" spans="1:19">
      <c r="A1056" s="201">
        <f>'G MTTS'!A1057</f>
        <v>0</v>
      </c>
      <c r="B1056" s="36">
        <f>'G MTTS'!B1057</f>
        <v>0</v>
      </c>
      <c r="C1056" s="37">
        <f>'G MTTS'!J1057</f>
        <v>0</v>
      </c>
      <c r="D1056" s="38">
        <f>'G MTTS'!M1057</f>
        <v>0</v>
      </c>
      <c r="E1056" s="39">
        <f>'G MTTS'!N1057</f>
        <v>0</v>
      </c>
      <c r="F1056" s="40">
        <f>'G MTTS'!O1057</f>
        <v>0</v>
      </c>
      <c r="G1056" s="41" t="str">
        <f>IF('G MTTS'!Q1057=0," ",'G MTTS'!Q1057*$A$3)</f>
        <v> </v>
      </c>
      <c r="H1056" s="42" t="str">
        <f>IF('G MTTS'!V1057=0," ",'G MTTS'!V1057*$A$3)</f>
        <v> </v>
      </c>
      <c r="I1056" s="42" t="str">
        <f>IF('G MTTS'!W1057=0," ",'G MTTS'!W1057*$A$3)</f>
        <v> </v>
      </c>
      <c r="J1056" s="42" t="str">
        <f>IF('G MTTS'!Z1057=0," ",'G MTTS'!Z1057*$A$3)</f>
        <v> </v>
      </c>
      <c r="K1056" s="43">
        <f>'G MTTS'!AF1057</f>
        <v>0</v>
      </c>
      <c r="L1056" s="43">
        <f>'G MTTS'!X1057</f>
        <v>0</v>
      </c>
      <c r="M1056" s="43">
        <f>'G MTTS'!AA1057</f>
        <v>0</v>
      </c>
      <c r="N1056" s="44">
        <f>'G MTTS'!AG1057</f>
        <v>0</v>
      </c>
      <c r="O1056" s="44">
        <f>'G MTTS'!AH1057</f>
        <v>0</v>
      </c>
      <c r="P1056" s="44">
        <f>'G MTTS'!AI1057</f>
        <v>0</v>
      </c>
      <c r="Q1056" s="45">
        <f>'G MTTS'!AJ1057</f>
        <v>0</v>
      </c>
      <c r="R1056" s="46" t="str">
        <f t="shared" si="101"/>
        <v> </v>
      </c>
      <c r="S1056" s="47" t="str">
        <f>'G MTTS'!AQ1057</f>
        <v> </v>
      </c>
    </row>
    <row r="1057" ht="29.25" customHeight="1" outlineLevel="1" spans="1:19">
      <c r="A1057" s="201">
        <f>'G MTTS'!A1058</f>
        <v>0</v>
      </c>
      <c r="B1057" s="36">
        <f>'G MTTS'!B1058</f>
        <v>0</v>
      </c>
      <c r="C1057" s="202">
        <f>'G MTTS'!J1058</f>
        <v>0</v>
      </c>
      <c r="D1057" s="203">
        <f>'G MTTS'!M1058</f>
        <v>0</v>
      </c>
      <c r="E1057" s="204">
        <f>'G MTTS'!N1058</f>
        <v>0</v>
      </c>
      <c r="F1057" s="205">
        <f>'G MTTS'!O1058</f>
        <v>0</v>
      </c>
      <c r="G1057" s="206" t="str">
        <f>IF('G MTTS'!Q1058=0," ",'G MTTS'!Q1058*$A$3)</f>
        <v> </v>
      </c>
      <c r="H1057" s="207" t="str">
        <f>IF('G MTTS'!V1058=0," ",'G MTTS'!V1058*$A$3)</f>
        <v> </v>
      </c>
      <c r="I1057" s="207" t="str">
        <f>IF('G MTTS'!W1058=0," ",'G MTTS'!W1058*$A$3)</f>
        <v> </v>
      </c>
      <c r="J1057" s="207" t="str">
        <f>IF('G MTTS'!Z1058=0," ",'G MTTS'!Z1058*$A$3)</f>
        <v> </v>
      </c>
      <c r="K1057" s="208">
        <f>'G MTTS'!AF1058</f>
        <v>0</v>
      </c>
      <c r="L1057" s="208">
        <f>'G MTTS'!X1058</f>
        <v>0</v>
      </c>
      <c r="M1057" s="208">
        <f>'G MTTS'!AA1058</f>
        <v>0</v>
      </c>
      <c r="N1057" s="209">
        <f>'G MTTS'!AG1058</f>
        <v>0</v>
      </c>
      <c r="O1057" s="209">
        <f>'G MTTS'!AH1058</f>
        <v>0</v>
      </c>
      <c r="P1057" s="209">
        <f>'G MTTS'!AI1058</f>
        <v>0</v>
      </c>
      <c r="Q1057" s="210">
        <f>'G MTTS'!AJ1058</f>
        <v>0</v>
      </c>
      <c r="R1057" s="46" t="str">
        <f t="shared" si="101"/>
        <v> </v>
      </c>
      <c r="S1057" s="47" t="str">
        <f>'G MTTS'!AQ1058</f>
        <v> </v>
      </c>
    </row>
    <row r="1058" ht="29.25" customHeight="1" outlineLevel="1" spans="1:19">
      <c r="A1058" s="201">
        <f>'G MTTS'!A1059</f>
        <v>0</v>
      </c>
      <c r="B1058" s="36">
        <f>'G MTTS'!B1059</f>
        <v>0</v>
      </c>
      <c r="C1058" s="37">
        <f>'G MTTS'!J1059</f>
        <v>0</v>
      </c>
      <c r="D1058" s="38">
        <f>'G MTTS'!M1059</f>
        <v>0</v>
      </c>
      <c r="E1058" s="39">
        <f>'G MTTS'!N1059</f>
        <v>0</v>
      </c>
      <c r="F1058" s="40">
        <f>'G MTTS'!O1059</f>
        <v>0</v>
      </c>
      <c r="G1058" s="41" t="str">
        <f>IF('G MTTS'!Q1059=0," ",'G MTTS'!Q1059*$A$3)</f>
        <v> </v>
      </c>
      <c r="H1058" s="42" t="str">
        <f>IF('G MTTS'!V1059=0," ",'G MTTS'!V1059*$A$3)</f>
        <v> </v>
      </c>
      <c r="I1058" s="42" t="str">
        <f>IF('G MTTS'!W1059=0," ",'G MTTS'!W1059*$A$3)</f>
        <v> </v>
      </c>
      <c r="J1058" s="42" t="str">
        <f>IF('G MTTS'!Z1059=0," ",'G MTTS'!Z1059*$A$3)</f>
        <v> </v>
      </c>
      <c r="K1058" s="43">
        <f>'G MTTS'!AF1059</f>
        <v>0</v>
      </c>
      <c r="L1058" s="43">
        <f>'G MTTS'!X1059</f>
        <v>0</v>
      </c>
      <c r="M1058" s="43">
        <f>'G MTTS'!AA1059</f>
        <v>0</v>
      </c>
      <c r="N1058" s="44">
        <f>'G MTTS'!AG1059</f>
        <v>0</v>
      </c>
      <c r="O1058" s="44">
        <f>'G MTTS'!AH1059</f>
        <v>0</v>
      </c>
      <c r="P1058" s="44">
        <f>'G MTTS'!AI1059</f>
        <v>0</v>
      </c>
      <c r="Q1058" s="45">
        <f>'G MTTS'!AJ1059</f>
        <v>0</v>
      </c>
      <c r="R1058" s="46" t="str">
        <f t="shared" si="101"/>
        <v> </v>
      </c>
      <c r="S1058" s="47" t="str">
        <f>'G MTTS'!AQ1059</f>
        <v> </v>
      </c>
    </row>
    <row r="1059" ht="29.25" customHeight="1" outlineLevel="1" spans="1:19">
      <c r="A1059" s="201">
        <f>'G MTTS'!A1060</f>
        <v>0</v>
      </c>
      <c r="B1059" s="36">
        <f>'G MTTS'!B1060</f>
        <v>0</v>
      </c>
      <c r="C1059" s="202">
        <f>'G MTTS'!J1060</f>
        <v>0</v>
      </c>
      <c r="D1059" s="203">
        <f>'G MTTS'!M1060</f>
        <v>0</v>
      </c>
      <c r="E1059" s="204">
        <f>'G MTTS'!N1060</f>
        <v>0</v>
      </c>
      <c r="F1059" s="205">
        <f>'G MTTS'!O1060</f>
        <v>0</v>
      </c>
      <c r="G1059" s="206" t="str">
        <f>IF('G MTTS'!Q1060=0," ",'G MTTS'!Q1060*$A$3)</f>
        <v> </v>
      </c>
      <c r="H1059" s="207" t="str">
        <f>IF('G MTTS'!V1060=0," ",'G MTTS'!V1060*$A$3)</f>
        <v> </v>
      </c>
      <c r="I1059" s="207" t="str">
        <f>IF('G MTTS'!W1060=0," ",'G MTTS'!W1060*$A$3)</f>
        <v> </v>
      </c>
      <c r="J1059" s="207" t="str">
        <f>IF('G MTTS'!Z1060=0," ",'G MTTS'!Z1060*$A$3)</f>
        <v> </v>
      </c>
      <c r="K1059" s="208">
        <f>'G MTTS'!AF1060</f>
        <v>0</v>
      </c>
      <c r="L1059" s="208">
        <f>'G MTTS'!X1060</f>
        <v>0</v>
      </c>
      <c r="M1059" s="208">
        <f>'G MTTS'!AA1060</f>
        <v>0</v>
      </c>
      <c r="N1059" s="209">
        <f>'G MTTS'!AG1060</f>
        <v>0</v>
      </c>
      <c r="O1059" s="209">
        <f>'G MTTS'!AH1060</f>
        <v>0</v>
      </c>
      <c r="P1059" s="209">
        <f>'G MTTS'!AI1060</f>
        <v>0</v>
      </c>
      <c r="Q1059" s="210">
        <f>'G MTTS'!AJ1060</f>
        <v>0</v>
      </c>
      <c r="R1059" s="46" t="str">
        <f t="shared" si="101"/>
        <v> </v>
      </c>
      <c r="S1059" s="47" t="str">
        <f>'G MTTS'!AQ1060</f>
        <v> </v>
      </c>
    </row>
    <row r="1060" ht="29.25" customHeight="1" outlineLevel="1" spans="1:19">
      <c r="A1060" s="201">
        <f>'G MTTS'!A1061</f>
        <v>0</v>
      </c>
      <c r="B1060" s="36">
        <f>'G MTTS'!B1061</f>
        <v>0</v>
      </c>
      <c r="C1060" s="37">
        <f>'G MTTS'!J1061</f>
        <v>0</v>
      </c>
      <c r="D1060" s="38">
        <f>'G MTTS'!M1061</f>
        <v>0</v>
      </c>
      <c r="E1060" s="39">
        <f>'G MTTS'!N1061</f>
        <v>0</v>
      </c>
      <c r="F1060" s="40">
        <f>'G MTTS'!O1061</f>
        <v>0</v>
      </c>
      <c r="G1060" s="41" t="str">
        <f>IF('G MTTS'!Q1061=0," ",'G MTTS'!Q1061*$A$3)</f>
        <v> </v>
      </c>
      <c r="H1060" s="42" t="str">
        <f>IF('G MTTS'!V1061=0," ",'G MTTS'!V1061*$A$3)</f>
        <v> </v>
      </c>
      <c r="I1060" s="42" t="str">
        <f>IF('G MTTS'!W1061=0," ",'G MTTS'!W1061*$A$3)</f>
        <v> </v>
      </c>
      <c r="J1060" s="42" t="str">
        <f>IF('G MTTS'!Z1061=0," ",'G MTTS'!Z1061*$A$3)</f>
        <v> </v>
      </c>
      <c r="K1060" s="43">
        <f>'G MTTS'!AF1061</f>
        <v>0</v>
      </c>
      <c r="L1060" s="43">
        <f>'G MTTS'!X1061</f>
        <v>0</v>
      </c>
      <c r="M1060" s="43">
        <f>'G MTTS'!AA1061</f>
        <v>0</v>
      </c>
      <c r="N1060" s="44">
        <f>'G MTTS'!AG1061</f>
        <v>0</v>
      </c>
      <c r="O1060" s="44">
        <f>'G MTTS'!AH1061</f>
        <v>0</v>
      </c>
      <c r="P1060" s="44">
        <f>'G MTTS'!AI1061</f>
        <v>0</v>
      </c>
      <c r="Q1060" s="45">
        <f>'G MTTS'!AJ1061</f>
        <v>0</v>
      </c>
      <c r="R1060" s="46" t="str">
        <f t="shared" si="101"/>
        <v> </v>
      </c>
      <c r="S1060" s="47" t="str">
        <f>'G MTTS'!AQ1061</f>
        <v> </v>
      </c>
    </row>
    <row r="1061" ht="29.25" customHeight="1" outlineLevel="1" spans="1:19">
      <c r="A1061" s="201">
        <f>'G MTTS'!A1062</f>
        <v>0</v>
      </c>
      <c r="B1061" s="36">
        <f>'G MTTS'!B1062</f>
        <v>0</v>
      </c>
      <c r="C1061" s="202">
        <f>'G MTTS'!J1062</f>
        <v>0</v>
      </c>
      <c r="D1061" s="203">
        <f>'G MTTS'!M1062</f>
        <v>0</v>
      </c>
      <c r="E1061" s="204">
        <f>'G MTTS'!N1062</f>
        <v>0</v>
      </c>
      <c r="F1061" s="205">
        <f>'G MTTS'!O1062</f>
        <v>0</v>
      </c>
      <c r="G1061" s="206" t="str">
        <f>IF('G MTTS'!Q1062=0," ",'G MTTS'!Q1062*$A$3)</f>
        <v> </v>
      </c>
      <c r="H1061" s="207" t="str">
        <f>IF('G MTTS'!V1062=0," ",'G MTTS'!V1062*$A$3)</f>
        <v> </v>
      </c>
      <c r="I1061" s="207" t="str">
        <f>IF('G MTTS'!W1062=0," ",'G MTTS'!W1062*$A$3)</f>
        <v> </v>
      </c>
      <c r="J1061" s="207" t="str">
        <f>IF('G MTTS'!Z1062=0," ",'G MTTS'!Z1062*$A$3)</f>
        <v> </v>
      </c>
      <c r="K1061" s="208">
        <f>'G MTTS'!AF1062</f>
        <v>0</v>
      </c>
      <c r="L1061" s="208">
        <f>'G MTTS'!X1062</f>
        <v>0</v>
      </c>
      <c r="M1061" s="208">
        <f>'G MTTS'!AA1062</f>
        <v>0</v>
      </c>
      <c r="N1061" s="209">
        <f>'G MTTS'!AG1062</f>
        <v>0</v>
      </c>
      <c r="O1061" s="209">
        <f>'G MTTS'!AH1062</f>
        <v>0</v>
      </c>
      <c r="P1061" s="209">
        <f>'G MTTS'!AI1062</f>
        <v>0</v>
      </c>
      <c r="Q1061" s="210">
        <f>'G MTTS'!AJ1062</f>
        <v>0</v>
      </c>
      <c r="R1061" s="46" t="str">
        <f t="shared" si="101"/>
        <v> </v>
      </c>
      <c r="S1061" s="47" t="str">
        <f>'G MTTS'!AQ1062</f>
        <v> </v>
      </c>
    </row>
    <row r="1062" ht="29.25" customHeight="1" outlineLevel="1" spans="1:19">
      <c r="A1062" s="201">
        <f>'G MTTS'!A1063</f>
        <v>0</v>
      </c>
      <c r="B1062" s="36">
        <f>'G MTTS'!B1063</f>
        <v>0</v>
      </c>
      <c r="C1062" s="37">
        <f>'G MTTS'!J1063</f>
        <v>0</v>
      </c>
      <c r="D1062" s="38">
        <f>'G MTTS'!M1063</f>
        <v>0</v>
      </c>
      <c r="E1062" s="39">
        <f>'G MTTS'!N1063</f>
        <v>0</v>
      </c>
      <c r="F1062" s="40">
        <f>'G MTTS'!O1063</f>
        <v>0</v>
      </c>
      <c r="G1062" s="41" t="str">
        <f>IF('G MTTS'!Q1063=0," ",'G MTTS'!Q1063*$A$3)</f>
        <v> </v>
      </c>
      <c r="H1062" s="42" t="str">
        <f>IF('G MTTS'!V1063=0," ",'G MTTS'!V1063*$A$3)</f>
        <v> </v>
      </c>
      <c r="I1062" s="42" t="str">
        <f>IF('G MTTS'!W1063=0," ",'G MTTS'!W1063*$A$3)</f>
        <v> </v>
      </c>
      <c r="J1062" s="42" t="str">
        <f>IF('G MTTS'!Z1063=0," ",'G MTTS'!Z1063*$A$3)</f>
        <v> </v>
      </c>
      <c r="K1062" s="43">
        <f>'G MTTS'!AF1063</f>
        <v>0</v>
      </c>
      <c r="L1062" s="43">
        <f>'G MTTS'!X1063</f>
        <v>0</v>
      </c>
      <c r="M1062" s="43">
        <f>'G MTTS'!AA1063</f>
        <v>0</v>
      </c>
      <c r="N1062" s="44">
        <f>'G MTTS'!AG1063</f>
        <v>0</v>
      </c>
      <c r="O1062" s="44">
        <f>'G MTTS'!AH1063</f>
        <v>0</v>
      </c>
      <c r="P1062" s="44">
        <f>'G MTTS'!AI1063</f>
        <v>0</v>
      </c>
      <c r="Q1062" s="45">
        <f>'G MTTS'!AJ1063</f>
        <v>0</v>
      </c>
      <c r="R1062" s="46" t="str">
        <f t="shared" si="101"/>
        <v> </v>
      </c>
      <c r="S1062" s="47" t="str">
        <f>'G MTTS'!AQ1063</f>
        <v> </v>
      </c>
    </row>
    <row r="1063" ht="29.25" customHeight="1" outlineLevel="1" spans="1:19">
      <c r="A1063" s="201">
        <f>'G MTTS'!A1064</f>
        <v>0</v>
      </c>
      <c r="B1063" s="36">
        <f>'G MTTS'!B1064</f>
        <v>0</v>
      </c>
      <c r="C1063" s="202">
        <f>'G MTTS'!J1064</f>
        <v>0</v>
      </c>
      <c r="D1063" s="203">
        <f>'G MTTS'!M1064</f>
        <v>0</v>
      </c>
      <c r="E1063" s="204">
        <f>'G MTTS'!N1064</f>
        <v>0</v>
      </c>
      <c r="F1063" s="205">
        <f>'G MTTS'!O1064</f>
        <v>0</v>
      </c>
      <c r="G1063" s="206" t="str">
        <f>IF('G MTTS'!Q1064=0," ",'G MTTS'!Q1064*$A$3)</f>
        <v> </v>
      </c>
      <c r="H1063" s="207" t="str">
        <f>IF('G MTTS'!V1064=0," ",'G MTTS'!V1064*$A$3)</f>
        <v> </v>
      </c>
      <c r="I1063" s="207" t="str">
        <f>IF('G MTTS'!W1064=0," ",'G MTTS'!W1064*$A$3)</f>
        <v> </v>
      </c>
      <c r="J1063" s="207" t="str">
        <f>IF('G MTTS'!Z1064=0," ",'G MTTS'!Z1064*$A$3)</f>
        <v> </v>
      </c>
      <c r="K1063" s="208">
        <f>'G MTTS'!AF1064</f>
        <v>0</v>
      </c>
      <c r="L1063" s="208">
        <f>'G MTTS'!X1064</f>
        <v>0</v>
      </c>
      <c r="M1063" s="208">
        <f>'G MTTS'!AA1064</f>
        <v>0</v>
      </c>
      <c r="N1063" s="209">
        <f>'G MTTS'!AG1064</f>
        <v>0</v>
      </c>
      <c r="O1063" s="209">
        <f>'G MTTS'!AH1064</f>
        <v>0</v>
      </c>
      <c r="P1063" s="209">
        <f>'G MTTS'!AI1064</f>
        <v>0</v>
      </c>
      <c r="Q1063" s="210">
        <f>'G MTTS'!AJ1064</f>
        <v>0</v>
      </c>
      <c r="R1063" s="46" t="str">
        <f t="shared" si="101"/>
        <v> </v>
      </c>
      <c r="S1063" s="47" t="str">
        <f>'G MTTS'!AQ1064</f>
        <v> </v>
      </c>
    </row>
    <row r="1064" ht="29.25" customHeight="1" outlineLevel="1" spans="1:19">
      <c r="A1064" s="201">
        <f>'G MTTS'!A1065</f>
        <v>0</v>
      </c>
      <c r="B1064" s="36">
        <f>'G MTTS'!B1065</f>
        <v>0</v>
      </c>
      <c r="C1064" s="37">
        <f>'G MTTS'!J1065</f>
        <v>0</v>
      </c>
      <c r="D1064" s="38">
        <f>'G MTTS'!M1065</f>
        <v>0</v>
      </c>
      <c r="E1064" s="39">
        <f>'G MTTS'!N1065</f>
        <v>0</v>
      </c>
      <c r="F1064" s="40">
        <f>'G MTTS'!O1065</f>
        <v>0</v>
      </c>
      <c r="G1064" s="41" t="str">
        <f>IF('G MTTS'!Q1065=0," ",'G MTTS'!Q1065*$A$3)</f>
        <v> </v>
      </c>
      <c r="H1064" s="42" t="str">
        <f>IF('G MTTS'!V1065=0," ",'G MTTS'!V1065*$A$3)</f>
        <v> </v>
      </c>
      <c r="I1064" s="42" t="str">
        <f>IF('G MTTS'!W1065=0," ",'G MTTS'!W1065*$A$3)</f>
        <v> </v>
      </c>
      <c r="J1064" s="42" t="str">
        <f>IF('G MTTS'!Z1065=0," ",'G MTTS'!Z1065*$A$3)</f>
        <v> </v>
      </c>
      <c r="K1064" s="43">
        <f>'G MTTS'!AF1065</f>
        <v>0</v>
      </c>
      <c r="L1064" s="43">
        <f>'G MTTS'!X1065</f>
        <v>0</v>
      </c>
      <c r="M1064" s="43">
        <f>'G MTTS'!AA1065</f>
        <v>0</v>
      </c>
      <c r="N1064" s="44">
        <f>'G MTTS'!AG1065</f>
        <v>0</v>
      </c>
      <c r="O1064" s="44">
        <f>'G MTTS'!AH1065</f>
        <v>0</v>
      </c>
      <c r="P1064" s="44">
        <f>'G MTTS'!AI1065</f>
        <v>0</v>
      </c>
      <c r="Q1064" s="45">
        <f>'G MTTS'!AJ1065</f>
        <v>0</v>
      </c>
      <c r="R1064" s="46" t="str">
        <f t="shared" si="101"/>
        <v> </v>
      </c>
      <c r="S1064" s="47" t="str">
        <f>'G MTTS'!AQ1065</f>
        <v> </v>
      </c>
    </row>
    <row r="1065" ht="29.25" customHeight="1" outlineLevel="1" spans="1:19">
      <c r="A1065" s="201">
        <f>'G MTTS'!A1066</f>
        <v>0</v>
      </c>
      <c r="B1065" s="36">
        <f>'G MTTS'!B1066</f>
        <v>0</v>
      </c>
      <c r="C1065" s="202">
        <f>'G MTTS'!J1066</f>
        <v>0</v>
      </c>
      <c r="D1065" s="203">
        <f>'G MTTS'!M1066</f>
        <v>0</v>
      </c>
      <c r="E1065" s="204">
        <f>'G MTTS'!N1066</f>
        <v>0</v>
      </c>
      <c r="F1065" s="205">
        <f>'G MTTS'!O1066</f>
        <v>0</v>
      </c>
      <c r="G1065" s="206" t="str">
        <f>IF('G MTTS'!Q1066=0," ",'G MTTS'!Q1066*$A$3)</f>
        <v> </v>
      </c>
      <c r="H1065" s="207" t="str">
        <f>IF('G MTTS'!V1066=0," ",'G MTTS'!V1066*$A$3)</f>
        <v> </v>
      </c>
      <c r="I1065" s="207" t="str">
        <f>IF('G MTTS'!W1066=0," ",'G MTTS'!W1066*$A$3)</f>
        <v> </v>
      </c>
      <c r="J1065" s="207" t="str">
        <f>IF('G MTTS'!Z1066=0," ",'G MTTS'!Z1066*$A$3)</f>
        <v> </v>
      </c>
      <c r="K1065" s="208">
        <f>'G MTTS'!AF1066</f>
        <v>0</v>
      </c>
      <c r="L1065" s="208">
        <f>'G MTTS'!X1066</f>
        <v>0</v>
      </c>
      <c r="M1065" s="208">
        <f>'G MTTS'!AA1066</f>
        <v>0</v>
      </c>
      <c r="N1065" s="209">
        <f>'G MTTS'!AG1066</f>
        <v>0</v>
      </c>
      <c r="O1065" s="209">
        <f>'G MTTS'!AH1066</f>
        <v>0</v>
      </c>
      <c r="P1065" s="209">
        <f>'G MTTS'!AI1066</f>
        <v>0</v>
      </c>
      <c r="Q1065" s="210">
        <f>'G MTTS'!AJ1066</f>
        <v>0</v>
      </c>
      <c r="R1065" s="46" t="str">
        <f t="shared" si="101"/>
        <v> </v>
      </c>
      <c r="S1065" s="47" t="str">
        <f>'G MTTS'!AQ1066</f>
        <v> </v>
      </c>
    </row>
    <row r="1066" ht="29.25" customHeight="1" outlineLevel="1" spans="1:19">
      <c r="A1066" s="201">
        <f>'G MTTS'!A1067</f>
        <v>0</v>
      </c>
      <c r="B1066" s="36">
        <f>'G MTTS'!B1067</f>
        <v>0</v>
      </c>
      <c r="C1066" s="37">
        <f>'G MTTS'!J1067</f>
        <v>0</v>
      </c>
      <c r="D1066" s="38">
        <f>'G MTTS'!M1067</f>
        <v>0</v>
      </c>
      <c r="E1066" s="39">
        <f>'G MTTS'!N1067</f>
        <v>0</v>
      </c>
      <c r="F1066" s="40">
        <f>'G MTTS'!O1067</f>
        <v>0</v>
      </c>
      <c r="G1066" s="41" t="str">
        <f>IF('G MTTS'!Q1067=0," ",'G MTTS'!Q1067*$A$3)</f>
        <v> </v>
      </c>
      <c r="H1066" s="42" t="str">
        <f>IF('G MTTS'!V1067=0," ",'G MTTS'!V1067*$A$3)</f>
        <v> </v>
      </c>
      <c r="I1066" s="42" t="str">
        <f>IF('G MTTS'!W1067=0," ",'G MTTS'!W1067*$A$3)</f>
        <v> </v>
      </c>
      <c r="J1066" s="42" t="str">
        <f>IF('G MTTS'!Z1067=0," ",'G MTTS'!Z1067*$A$3)</f>
        <v> </v>
      </c>
      <c r="K1066" s="43">
        <f>'G MTTS'!AF1067</f>
        <v>0</v>
      </c>
      <c r="L1066" s="43">
        <f>'G MTTS'!X1067</f>
        <v>0</v>
      </c>
      <c r="M1066" s="43">
        <f>'G MTTS'!AA1067</f>
        <v>0</v>
      </c>
      <c r="N1066" s="44">
        <f>'G MTTS'!AG1067</f>
        <v>0</v>
      </c>
      <c r="O1066" s="44">
        <f>'G MTTS'!AH1067</f>
        <v>0</v>
      </c>
      <c r="P1066" s="44">
        <f>'G MTTS'!AI1067</f>
        <v>0</v>
      </c>
      <c r="Q1066" s="45">
        <f>'G MTTS'!AJ1067</f>
        <v>0</v>
      </c>
      <c r="R1066" s="46" t="str">
        <f t="shared" si="101"/>
        <v> </v>
      </c>
      <c r="S1066" s="47" t="str">
        <f>'G MTTS'!AQ1067</f>
        <v> </v>
      </c>
    </row>
    <row r="1067" ht="29.25" customHeight="1" outlineLevel="1" spans="1:19">
      <c r="A1067" s="201">
        <f>'G MTTS'!A1068</f>
        <v>0</v>
      </c>
      <c r="B1067" s="36">
        <f>'G MTTS'!B1068</f>
        <v>0</v>
      </c>
      <c r="C1067" s="202">
        <f>'G MTTS'!J1068</f>
        <v>0</v>
      </c>
      <c r="D1067" s="203">
        <f>'G MTTS'!M1068</f>
        <v>0</v>
      </c>
      <c r="E1067" s="204">
        <f>'G MTTS'!N1068</f>
        <v>0</v>
      </c>
      <c r="F1067" s="205">
        <f>'G MTTS'!O1068</f>
        <v>0</v>
      </c>
      <c r="G1067" s="206" t="str">
        <f>IF('G MTTS'!Q1068=0," ",'G MTTS'!Q1068*$A$3)</f>
        <v> </v>
      </c>
      <c r="H1067" s="207" t="str">
        <f>IF('G MTTS'!V1068=0," ",'G MTTS'!V1068*$A$3)</f>
        <v> </v>
      </c>
      <c r="I1067" s="207" t="str">
        <f>IF('G MTTS'!W1068=0," ",'G MTTS'!W1068*$A$3)</f>
        <v> </v>
      </c>
      <c r="J1067" s="207" t="str">
        <f>IF('G MTTS'!Z1068=0," ",'G MTTS'!Z1068*$A$3)</f>
        <v> </v>
      </c>
      <c r="K1067" s="208">
        <f>'G MTTS'!AF1068</f>
        <v>0</v>
      </c>
      <c r="L1067" s="208">
        <f>'G MTTS'!X1068</f>
        <v>0</v>
      </c>
      <c r="M1067" s="208">
        <f>'G MTTS'!AA1068</f>
        <v>0</v>
      </c>
      <c r="N1067" s="209">
        <f>'G MTTS'!AG1068</f>
        <v>0</v>
      </c>
      <c r="O1067" s="209">
        <f>'G MTTS'!AH1068</f>
        <v>0</v>
      </c>
      <c r="P1067" s="209">
        <f>'G MTTS'!AI1068</f>
        <v>0</v>
      </c>
      <c r="Q1067" s="210">
        <f>'G MTTS'!AJ1068</f>
        <v>0</v>
      </c>
      <c r="R1067" s="46" t="str">
        <f t="shared" si="101"/>
        <v> </v>
      </c>
      <c r="S1067" s="47" t="str">
        <f>'G MTTS'!AQ1068</f>
        <v> </v>
      </c>
    </row>
    <row r="1068" ht="29.25" customHeight="1" outlineLevel="1" spans="1:19">
      <c r="A1068" s="201">
        <f>'G MTTS'!A1069</f>
        <v>0</v>
      </c>
      <c r="B1068" s="36">
        <f>'G MTTS'!B1069</f>
        <v>0</v>
      </c>
      <c r="C1068" s="37">
        <f>'G MTTS'!J1069</f>
        <v>0</v>
      </c>
      <c r="D1068" s="38">
        <f>'G MTTS'!M1069</f>
        <v>0</v>
      </c>
      <c r="E1068" s="39">
        <f>'G MTTS'!N1069</f>
        <v>0</v>
      </c>
      <c r="F1068" s="40">
        <f>'G MTTS'!O1069</f>
        <v>0</v>
      </c>
      <c r="G1068" s="41" t="str">
        <f>IF('G MTTS'!Q1069=0," ",'G MTTS'!Q1069*$A$3)</f>
        <v> </v>
      </c>
      <c r="H1068" s="42" t="str">
        <f>IF('G MTTS'!V1069=0," ",'G MTTS'!V1069*$A$3)</f>
        <v> </v>
      </c>
      <c r="I1068" s="42" t="str">
        <f>IF('G MTTS'!W1069=0," ",'G MTTS'!W1069*$A$3)</f>
        <v> </v>
      </c>
      <c r="J1068" s="42" t="str">
        <f>IF('G MTTS'!Z1069=0," ",'G MTTS'!Z1069*$A$3)</f>
        <v> </v>
      </c>
      <c r="K1068" s="43">
        <f>'G MTTS'!AF1069</f>
        <v>0</v>
      </c>
      <c r="L1068" s="43">
        <f>'G MTTS'!X1069</f>
        <v>0</v>
      </c>
      <c r="M1068" s="43">
        <f>'G MTTS'!AA1069</f>
        <v>0</v>
      </c>
      <c r="N1068" s="44">
        <f>'G MTTS'!AG1069</f>
        <v>0</v>
      </c>
      <c r="O1068" s="44">
        <f>'G MTTS'!AH1069</f>
        <v>0</v>
      </c>
      <c r="P1068" s="44">
        <f>'G MTTS'!AI1069</f>
        <v>0</v>
      </c>
      <c r="Q1068" s="45">
        <f>'G MTTS'!AJ1069</f>
        <v>0</v>
      </c>
      <c r="R1068" s="46" t="str">
        <f t="shared" si="101"/>
        <v> </v>
      </c>
      <c r="S1068" s="47" t="str">
        <f>'G MTTS'!AQ1069</f>
        <v> </v>
      </c>
    </row>
    <row r="1069" ht="29.25" customHeight="1" outlineLevel="1" spans="1:19">
      <c r="A1069" s="201">
        <f>'G MTTS'!A1070</f>
        <v>0</v>
      </c>
      <c r="B1069" s="36">
        <f>'G MTTS'!B1070</f>
        <v>0</v>
      </c>
      <c r="C1069" s="202">
        <f>'G MTTS'!J1070</f>
        <v>0</v>
      </c>
      <c r="D1069" s="203">
        <f>'G MTTS'!M1070</f>
        <v>0</v>
      </c>
      <c r="E1069" s="204">
        <f>'G MTTS'!N1070</f>
        <v>0</v>
      </c>
      <c r="F1069" s="205">
        <f>'G MTTS'!O1070</f>
        <v>0</v>
      </c>
      <c r="G1069" s="206" t="str">
        <f>IF('G MTTS'!Q1070=0," ",'G MTTS'!Q1070*$A$3)</f>
        <v> </v>
      </c>
      <c r="H1069" s="207" t="str">
        <f>IF('G MTTS'!V1070=0," ",'G MTTS'!V1070*$A$3)</f>
        <v> </v>
      </c>
      <c r="I1069" s="207" t="str">
        <f>IF('G MTTS'!W1070=0," ",'G MTTS'!W1070*$A$3)</f>
        <v> </v>
      </c>
      <c r="J1069" s="207" t="str">
        <f>IF('G MTTS'!Z1070=0," ",'G MTTS'!Z1070*$A$3)</f>
        <v> </v>
      </c>
      <c r="K1069" s="208">
        <f>'G MTTS'!AF1070</f>
        <v>0</v>
      </c>
      <c r="L1069" s="208">
        <f>'G MTTS'!X1070</f>
        <v>0</v>
      </c>
      <c r="M1069" s="208">
        <f>'G MTTS'!AA1070</f>
        <v>0</v>
      </c>
      <c r="N1069" s="209">
        <f>'G MTTS'!AG1070</f>
        <v>0</v>
      </c>
      <c r="O1069" s="209">
        <f>'G MTTS'!AH1070</f>
        <v>0</v>
      </c>
      <c r="P1069" s="209">
        <f>'G MTTS'!AI1070</f>
        <v>0</v>
      </c>
      <c r="Q1069" s="210">
        <f>'G MTTS'!AJ1070</f>
        <v>0</v>
      </c>
      <c r="R1069" s="46" t="str">
        <f t="shared" si="101"/>
        <v> </v>
      </c>
      <c r="S1069" s="47" t="str">
        <f>'G MTTS'!AQ1070</f>
        <v> </v>
      </c>
    </row>
    <row r="1070" ht="29.25" customHeight="1" outlineLevel="1" spans="1:19">
      <c r="A1070" s="201">
        <f>'G MTTS'!A1071</f>
        <v>0</v>
      </c>
      <c r="B1070" s="36">
        <f>'G MTTS'!B1071</f>
        <v>0</v>
      </c>
      <c r="C1070" s="37">
        <f>'G MTTS'!J1071</f>
        <v>0</v>
      </c>
      <c r="D1070" s="38">
        <f>'G MTTS'!M1071</f>
        <v>0</v>
      </c>
      <c r="E1070" s="39">
        <f>'G MTTS'!N1071</f>
        <v>0</v>
      </c>
      <c r="F1070" s="40">
        <f>'G MTTS'!O1071</f>
        <v>0</v>
      </c>
      <c r="G1070" s="41" t="str">
        <f>IF('G MTTS'!Q1071=0," ",'G MTTS'!Q1071*$A$3)</f>
        <v> </v>
      </c>
      <c r="H1070" s="42" t="str">
        <f>IF('G MTTS'!V1071=0," ",'G MTTS'!V1071*$A$3)</f>
        <v> </v>
      </c>
      <c r="I1070" s="42" t="str">
        <f>IF('G MTTS'!W1071=0," ",'G MTTS'!W1071*$A$3)</f>
        <v> </v>
      </c>
      <c r="J1070" s="42" t="str">
        <f>IF('G MTTS'!Z1071=0," ",'G MTTS'!Z1071*$A$3)</f>
        <v> </v>
      </c>
      <c r="K1070" s="43">
        <f>'G MTTS'!AF1071</f>
        <v>0</v>
      </c>
      <c r="L1070" s="43">
        <f>'G MTTS'!X1071</f>
        <v>0</v>
      </c>
      <c r="M1070" s="43">
        <f>'G MTTS'!AA1071</f>
        <v>0</v>
      </c>
      <c r="N1070" s="44">
        <f>'G MTTS'!AG1071</f>
        <v>0</v>
      </c>
      <c r="O1070" s="44">
        <f>'G MTTS'!AH1071</f>
        <v>0</v>
      </c>
      <c r="P1070" s="44">
        <f>'G MTTS'!AI1071</f>
        <v>0</v>
      </c>
      <c r="Q1070" s="45">
        <f>'G MTTS'!AJ1071</f>
        <v>0</v>
      </c>
      <c r="R1070" s="46" t="str">
        <f t="shared" si="101"/>
        <v> </v>
      </c>
      <c r="S1070" s="47" t="str">
        <f>'G MTTS'!AQ1071</f>
        <v> </v>
      </c>
    </row>
    <row r="1071" ht="29.25" customHeight="1" outlineLevel="1" spans="1:19">
      <c r="A1071" s="201">
        <f>'G MTTS'!A1072</f>
        <v>0</v>
      </c>
      <c r="B1071" s="36">
        <f>'G MTTS'!B1072</f>
        <v>0</v>
      </c>
      <c r="C1071" s="202">
        <f>'G MTTS'!J1072</f>
        <v>0</v>
      </c>
      <c r="D1071" s="203">
        <f>'G MTTS'!M1072</f>
        <v>0</v>
      </c>
      <c r="E1071" s="204">
        <f>'G MTTS'!N1072</f>
        <v>0</v>
      </c>
      <c r="F1071" s="205">
        <f>'G MTTS'!O1072</f>
        <v>0</v>
      </c>
      <c r="G1071" s="206" t="str">
        <f>IF('G MTTS'!Q1072=0," ",'G MTTS'!Q1072*$A$3)</f>
        <v> </v>
      </c>
      <c r="H1071" s="207" t="str">
        <f>IF('G MTTS'!V1072=0," ",'G MTTS'!V1072*$A$3)</f>
        <v> </v>
      </c>
      <c r="I1071" s="207" t="str">
        <f>IF('G MTTS'!W1072=0," ",'G MTTS'!W1072*$A$3)</f>
        <v> </v>
      </c>
      <c r="J1071" s="207" t="str">
        <f>IF('G MTTS'!Z1072=0," ",'G MTTS'!Z1072*$A$3)</f>
        <v> </v>
      </c>
      <c r="K1071" s="208">
        <f>'G MTTS'!AF1072</f>
        <v>0</v>
      </c>
      <c r="L1071" s="208">
        <f>'G MTTS'!X1072</f>
        <v>0</v>
      </c>
      <c r="M1071" s="208">
        <f>'G MTTS'!AA1072</f>
        <v>0</v>
      </c>
      <c r="N1071" s="209">
        <f>'G MTTS'!AG1072</f>
        <v>0</v>
      </c>
      <c r="O1071" s="209">
        <f>'G MTTS'!AH1072</f>
        <v>0</v>
      </c>
      <c r="P1071" s="209">
        <f>'G MTTS'!AI1072</f>
        <v>0</v>
      </c>
      <c r="Q1071" s="210">
        <f>'G MTTS'!AJ1072</f>
        <v>0</v>
      </c>
      <c r="R1071" s="46" t="str">
        <f t="shared" si="101"/>
        <v> </v>
      </c>
      <c r="S1071" s="47" t="str">
        <f>'G MTTS'!AQ1072</f>
        <v> </v>
      </c>
    </row>
    <row r="1072" ht="29.25" customHeight="1" outlineLevel="1" spans="1:19">
      <c r="A1072" s="201">
        <f>'G MTTS'!A1073</f>
        <v>0</v>
      </c>
      <c r="B1072" s="36">
        <f>'G MTTS'!B1073</f>
        <v>0</v>
      </c>
      <c r="C1072" s="37">
        <f>'G MTTS'!J1073</f>
        <v>0</v>
      </c>
      <c r="D1072" s="38">
        <f>'G MTTS'!M1073</f>
        <v>0</v>
      </c>
      <c r="E1072" s="39">
        <f>'G MTTS'!N1073</f>
        <v>0</v>
      </c>
      <c r="F1072" s="40">
        <f>'G MTTS'!O1073</f>
        <v>0</v>
      </c>
      <c r="G1072" s="41" t="str">
        <f>IF('G MTTS'!Q1073=0," ",'G MTTS'!Q1073*$A$3)</f>
        <v> </v>
      </c>
      <c r="H1072" s="42" t="str">
        <f>IF('G MTTS'!V1073=0," ",'G MTTS'!V1073*$A$3)</f>
        <v> </v>
      </c>
      <c r="I1072" s="42" t="str">
        <f>IF('G MTTS'!W1073=0," ",'G MTTS'!W1073*$A$3)</f>
        <v> </v>
      </c>
      <c r="J1072" s="42" t="str">
        <f>IF('G MTTS'!Z1073=0," ",'G MTTS'!Z1073*$A$3)</f>
        <v> </v>
      </c>
      <c r="K1072" s="43">
        <f>'G MTTS'!AF1073</f>
        <v>0</v>
      </c>
      <c r="L1072" s="43">
        <f>'G MTTS'!X1073</f>
        <v>0</v>
      </c>
      <c r="M1072" s="43">
        <f>'G MTTS'!AA1073</f>
        <v>0</v>
      </c>
      <c r="N1072" s="44">
        <f>'G MTTS'!AG1073</f>
        <v>0</v>
      </c>
      <c r="O1072" s="44">
        <f>'G MTTS'!AH1073</f>
        <v>0</v>
      </c>
      <c r="P1072" s="44">
        <f>'G MTTS'!AI1073</f>
        <v>0</v>
      </c>
      <c r="Q1072" s="45">
        <f>'G MTTS'!AJ1073</f>
        <v>0</v>
      </c>
      <c r="R1072" s="46" t="str">
        <f t="shared" si="101"/>
        <v> </v>
      </c>
      <c r="S1072" s="47" t="str">
        <f>'G MTTS'!AQ1073</f>
        <v> </v>
      </c>
    </row>
    <row r="1073" ht="29.25" customHeight="1" outlineLevel="1" spans="1:19">
      <c r="A1073" s="201">
        <f>'G MTTS'!A1074</f>
        <v>0</v>
      </c>
      <c r="B1073" s="36">
        <f>'G MTTS'!B1074</f>
        <v>0</v>
      </c>
      <c r="C1073" s="202">
        <f>'G MTTS'!J1074</f>
        <v>0</v>
      </c>
      <c r="D1073" s="203">
        <f>'G MTTS'!M1074</f>
        <v>0</v>
      </c>
      <c r="E1073" s="204">
        <f>'G MTTS'!N1074</f>
        <v>0</v>
      </c>
      <c r="F1073" s="205">
        <f>'G MTTS'!O1074</f>
        <v>0</v>
      </c>
      <c r="G1073" s="206" t="str">
        <f>IF('G MTTS'!Q1074=0," ",'G MTTS'!Q1074*$A$3)</f>
        <v> </v>
      </c>
      <c r="H1073" s="207" t="str">
        <f>IF('G MTTS'!V1074=0," ",'G MTTS'!V1074*$A$3)</f>
        <v> </v>
      </c>
      <c r="I1073" s="207" t="str">
        <f>IF('G MTTS'!W1074=0," ",'G MTTS'!W1074*$A$3)</f>
        <v> </v>
      </c>
      <c r="J1073" s="207" t="str">
        <f>IF('G MTTS'!Z1074=0," ",'G MTTS'!Z1074*$A$3)</f>
        <v> </v>
      </c>
      <c r="K1073" s="208">
        <f>'G MTTS'!AF1074</f>
        <v>0</v>
      </c>
      <c r="L1073" s="208">
        <f>'G MTTS'!X1074</f>
        <v>0</v>
      </c>
      <c r="M1073" s="208">
        <f>'G MTTS'!AA1074</f>
        <v>0</v>
      </c>
      <c r="N1073" s="209">
        <f>'G MTTS'!AG1074</f>
        <v>0</v>
      </c>
      <c r="O1073" s="209">
        <f>'G MTTS'!AH1074</f>
        <v>0</v>
      </c>
      <c r="P1073" s="209">
        <f>'G MTTS'!AI1074</f>
        <v>0</v>
      </c>
      <c r="Q1073" s="210">
        <f>'G MTTS'!AJ1074</f>
        <v>0</v>
      </c>
      <c r="R1073" s="46" t="str">
        <f t="shared" si="101"/>
        <v> </v>
      </c>
      <c r="S1073" s="47" t="str">
        <f>'G MTTS'!AQ1074</f>
        <v> </v>
      </c>
    </row>
    <row r="1074" ht="29.25" customHeight="1" outlineLevel="1" spans="1:19">
      <c r="A1074" s="201">
        <f>'G MTTS'!A1075</f>
        <v>0</v>
      </c>
      <c r="B1074" s="36">
        <f>'G MTTS'!B1075</f>
        <v>0</v>
      </c>
      <c r="C1074" s="37">
        <f>'G MTTS'!J1075</f>
        <v>0</v>
      </c>
      <c r="D1074" s="38">
        <f>'G MTTS'!M1075</f>
        <v>0</v>
      </c>
      <c r="E1074" s="39">
        <f>'G MTTS'!N1075</f>
        <v>0</v>
      </c>
      <c r="F1074" s="40">
        <f>'G MTTS'!O1075</f>
        <v>0</v>
      </c>
      <c r="G1074" s="41" t="str">
        <f>IF('G MTTS'!Q1075=0," ",'G MTTS'!Q1075*$A$3)</f>
        <v> </v>
      </c>
      <c r="H1074" s="42" t="str">
        <f>IF('G MTTS'!V1075=0," ",'G MTTS'!V1075*$A$3)</f>
        <v> </v>
      </c>
      <c r="I1074" s="42" t="str">
        <f>IF('G MTTS'!W1075=0," ",'G MTTS'!W1075*$A$3)</f>
        <v> </v>
      </c>
      <c r="J1074" s="42" t="str">
        <f>IF('G MTTS'!Z1075=0," ",'G MTTS'!Z1075*$A$3)</f>
        <v> </v>
      </c>
      <c r="K1074" s="43">
        <f>'G MTTS'!AF1075</f>
        <v>0</v>
      </c>
      <c r="L1074" s="43">
        <f>'G MTTS'!X1075</f>
        <v>0</v>
      </c>
      <c r="M1074" s="43">
        <f>'G MTTS'!AA1075</f>
        <v>0</v>
      </c>
      <c r="N1074" s="44">
        <f>'G MTTS'!AG1075</f>
        <v>0</v>
      </c>
      <c r="O1074" s="44">
        <f>'G MTTS'!AH1075</f>
        <v>0</v>
      </c>
      <c r="P1074" s="44">
        <f>'G MTTS'!AI1075</f>
        <v>0</v>
      </c>
      <c r="Q1074" s="45">
        <f>'G MTTS'!AJ1075</f>
        <v>0</v>
      </c>
      <c r="R1074" s="46" t="str">
        <f t="shared" si="101"/>
        <v> </v>
      </c>
      <c r="S1074" s="47" t="str">
        <f>'G MTTS'!AQ1075</f>
        <v> </v>
      </c>
    </row>
    <row r="1075" ht="29.25" customHeight="1" outlineLevel="1" spans="1:19">
      <c r="A1075" s="201">
        <f>'G MTTS'!A1076</f>
        <v>0</v>
      </c>
      <c r="B1075" s="36">
        <f>'G MTTS'!B1076</f>
        <v>0</v>
      </c>
      <c r="C1075" s="202">
        <f>'G MTTS'!J1076</f>
        <v>0</v>
      </c>
      <c r="D1075" s="203">
        <f>'G MTTS'!M1076</f>
        <v>0</v>
      </c>
      <c r="E1075" s="204">
        <f>'G MTTS'!N1076</f>
        <v>0</v>
      </c>
      <c r="F1075" s="205">
        <f>'G MTTS'!O1076</f>
        <v>0</v>
      </c>
      <c r="G1075" s="206" t="str">
        <f>IF('G MTTS'!Q1076=0," ",'G MTTS'!Q1076*$A$3)</f>
        <v> </v>
      </c>
      <c r="H1075" s="207" t="str">
        <f>IF('G MTTS'!V1076=0," ",'G MTTS'!V1076*$A$3)</f>
        <v> </v>
      </c>
      <c r="I1075" s="207" t="str">
        <f>IF('G MTTS'!W1076=0," ",'G MTTS'!W1076*$A$3)</f>
        <v> </v>
      </c>
      <c r="J1075" s="207" t="str">
        <f>IF('G MTTS'!Z1076=0," ",'G MTTS'!Z1076*$A$3)</f>
        <v> </v>
      </c>
      <c r="K1075" s="208">
        <f>'G MTTS'!AF1076</f>
        <v>0</v>
      </c>
      <c r="L1075" s="208">
        <f>'G MTTS'!X1076</f>
        <v>0</v>
      </c>
      <c r="M1075" s="208">
        <f>'G MTTS'!AA1076</f>
        <v>0</v>
      </c>
      <c r="N1075" s="209">
        <f>'G MTTS'!AG1076</f>
        <v>0</v>
      </c>
      <c r="O1075" s="209">
        <f>'G MTTS'!AH1076</f>
        <v>0</v>
      </c>
      <c r="P1075" s="209">
        <f>'G MTTS'!AI1076</f>
        <v>0</v>
      </c>
      <c r="Q1075" s="210">
        <f>'G MTTS'!AJ1076</f>
        <v>0</v>
      </c>
      <c r="R1075" s="46" t="str">
        <f t="shared" si="101"/>
        <v> </v>
      </c>
      <c r="S1075" s="47" t="str">
        <f>'G MTTS'!AQ1076</f>
        <v> </v>
      </c>
    </row>
    <row r="1076" ht="29.25" customHeight="1" outlineLevel="1" spans="1:19">
      <c r="A1076" s="201">
        <f>'G MTTS'!A1077</f>
        <v>0</v>
      </c>
      <c r="B1076" s="36">
        <f>'G MTTS'!B1077</f>
        <v>0</v>
      </c>
      <c r="C1076" s="37">
        <f>'G MTTS'!J1077</f>
        <v>0</v>
      </c>
      <c r="D1076" s="38">
        <f>'G MTTS'!M1077</f>
        <v>0</v>
      </c>
      <c r="E1076" s="39">
        <f>'G MTTS'!N1077</f>
        <v>0</v>
      </c>
      <c r="F1076" s="40">
        <f>'G MTTS'!O1077</f>
        <v>0</v>
      </c>
      <c r="G1076" s="41" t="str">
        <f>IF('G MTTS'!Q1077=0," ",'G MTTS'!Q1077*$A$3)</f>
        <v> </v>
      </c>
      <c r="H1076" s="42" t="str">
        <f>IF('G MTTS'!V1077=0," ",'G MTTS'!V1077*$A$3)</f>
        <v> </v>
      </c>
      <c r="I1076" s="42" t="str">
        <f>IF('G MTTS'!W1077=0," ",'G MTTS'!W1077*$A$3)</f>
        <v> </v>
      </c>
      <c r="J1076" s="42" t="str">
        <f>IF('G MTTS'!Z1077=0," ",'G MTTS'!Z1077*$A$3)</f>
        <v> </v>
      </c>
      <c r="K1076" s="43">
        <f>'G MTTS'!AF1077</f>
        <v>0</v>
      </c>
      <c r="L1076" s="43">
        <f>'G MTTS'!X1077</f>
        <v>0</v>
      </c>
      <c r="M1076" s="43">
        <f>'G MTTS'!AA1077</f>
        <v>0</v>
      </c>
      <c r="N1076" s="44">
        <f>'G MTTS'!AG1077</f>
        <v>0</v>
      </c>
      <c r="O1076" s="44">
        <f>'G MTTS'!AH1077</f>
        <v>0</v>
      </c>
      <c r="P1076" s="44">
        <f>'G MTTS'!AI1077</f>
        <v>0</v>
      </c>
      <c r="Q1076" s="45">
        <f>'G MTTS'!AJ1077</f>
        <v>0</v>
      </c>
      <c r="R1076" s="46" t="str">
        <f t="shared" si="101"/>
        <v> </v>
      </c>
      <c r="S1076" s="47" t="str">
        <f>'G MTTS'!AQ1077</f>
        <v> </v>
      </c>
    </row>
    <row r="1077" ht="29.25" customHeight="1" outlineLevel="1" spans="1:19">
      <c r="A1077" s="201">
        <f>'G MTTS'!A1078</f>
        <v>0</v>
      </c>
      <c r="B1077" s="36">
        <f>'G MTTS'!B1078</f>
        <v>0</v>
      </c>
      <c r="C1077" s="202">
        <f>'G MTTS'!J1078</f>
        <v>0</v>
      </c>
      <c r="D1077" s="203">
        <f>'G MTTS'!M1078</f>
        <v>0</v>
      </c>
      <c r="E1077" s="204">
        <f>'G MTTS'!N1078</f>
        <v>0</v>
      </c>
      <c r="F1077" s="205">
        <f>'G MTTS'!O1078</f>
        <v>0</v>
      </c>
      <c r="G1077" s="206" t="str">
        <f>IF('G MTTS'!Q1078=0," ",'G MTTS'!Q1078*$A$3)</f>
        <v> </v>
      </c>
      <c r="H1077" s="207" t="str">
        <f>IF('G MTTS'!V1078=0," ",'G MTTS'!V1078*$A$3)</f>
        <v> </v>
      </c>
      <c r="I1077" s="207" t="str">
        <f>IF('G MTTS'!W1078=0," ",'G MTTS'!W1078*$A$3)</f>
        <v> </v>
      </c>
      <c r="J1077" s="207" t="str">
        <f>IF('G MTTS'!Z1078=0," ",'G MTTS'!Z1078*$A$3)</f>
        <v> </v>
      </c>
      <c r="K1077" s="208">
        <f>'G MTTS'!AF1078</f>
        <v>0</v>
      </c>
      <c r="L1077" s="208">
        <f>'G MTTS'!X1078</f>
        <v>0</v>
      </c>
      <c r="M1077" s="208">
        <f>'G MTTS'!AA1078</f>
        <v>0</v>
      </c>
      <c r="N1077" s="209">
        <f>'G MTTS'!AG1078</f>
        <v>0</v>
      </c>
      <c r="O1077" s="209">
        <f>'G MTTS'!AH1078</f>
        <v>0</v>
      </c>
      <c r="P1077" s="209">
        <f>'G MTTS'!AI1078</f>
        <v>0</v>
      </c>
      <c r="Q1077" s="210">
        <f>'G MTTS'!AJ1078</f>
        <v>0</v>
      </c>
      <c r="R1077" s="46" t="str">
        <f t="shared" si="101"/>
        <v> </v>
      </c>
      <c r="S1077" s="47" t="str">
        <f>'G MTTS'!AQ1078</f>
        <v> </v>
      </c>
    </row>
    <row r="1078" ht="29.25" customHeight="1" outlineLevel="1" spans="1:19">
      <c r="A1078" s="201">
        <f>'G MTTS'!A1079</f>
        <v>0</v>
      </c>
      <c r="B1078" s="36">
        <f>'G MTTS'!B1079</f>
        <v>0</v>
      </c>
      <c r="C1078" s="37">
        <f>'G MTTS'!J1079</f>
        <v>0</v>
      </c>
      <c r="D1078" s="38">
        <f>'G MTTS'!M1079</f>
        <v>0</v>
      </c>
      <c r="E1078" s="39">
        <f>'G MTTS'!N1079</f>
        <v>0</v>
      </c>
      <c r="F1078" s="40">
        <f>'G MTTS'!O1079</f>
        <v>0</v>
      </c>
      <c r="G1078" s="41" t="str">
        <f>IF('G MTTS'!Q1079=0," ",'G MTTS'!Q1079*$A$3)</f>
        <v> </v>
      </c>
      <c r="H1078" s="42" t="str">
        <f>IF('G MTTS'!V1079=0," ",'G MTTS'!V1079*$A$3)</f>
        <v> </v>
      </c>
      <c r="I1078" s="42" t="str">
        <f>IF('G MTTS'!W1079=0," ",'G MTTS'!W1079*$A$3)</f>
        <v> </v>
      </c>
      <c r="J1078" s="42" t="str">
        <f>IF('G MTTS'!Z1079=0," ",'G MTTS'!Z1079*$A$3)</f>
        <v> </v>
      </c>
      <c r="K1078" s="43">
        <f>'G MTTS'!AF1079</f>
        <v>0</v>
      </c>
      <c r="L1078" s="43">
        <f>'G MTTS'!X1079</f>
        <v>0</v>
      </c>
      <c r="M1078" s="43">
        <f>'G MTTS'!AA1079</f>
        <v>0</v>
      </c>
      <c r="N1078" s="44">
        <f>'G MTTS'!AG1079</f>
        <v>0</v>
      </c>
      <c r="O1078" s="44">
        <f>'G MTTS'!AH1079</f>
        <v>0</v>
      </c>
      <c r="P1078" s="44">
        <f>'G MTTS'!AI1079</f>
        <v>0</v>
      </c>
      <c r="Q1078" s="45">
        <f>'G MTTS'!AJ1079</f>
        <v>0</v>
      </c>
      <c r="R1078" s="46" t="str">
        <f t="shared" si="101"/>
        <v> </v>
      </c>
      <c r="S1078" s="47" t="str">
        <f>'G MTTS'!AQ1079</f>
        <v> </v>
      </c>
    </row>
    <row r="1079" ht="29.25" customHeight="1" outlineLevel="1" spans="1:19">
      <c r="A1079" s="201">
        <f>'G MTTS'!A1080</f>
        <v>0</v>
      </c>
      <c r="B1079" s="36">
        <f>'G MTTS'!B1080</f>
        <v>0</v>
      </c>
      <c r="C1079" s="202">
        <f>'G MTTS'!J1080</f>
        <v>0</v>
      </c>
      <c r="D1079" s="203">
        <f>'G MTTS'!M1080</f>
        <v>0</v>
      </c>
      <c r="E1079" s="204">
        <f>'G MTTS'!N1080</f>
        <v>0</v>
      </c>
      <c r="F1079" s="205">
        <f>'G MTTS'!O1080</f>
        <v>0</v>
      </c>
      <c r="G1079" s="206" t="str">
        <f>IF('G MTTS'!Q1080=0," ",'G MTTS'!Q1080*$A$3)</f>
        <v> </v>
      </c>
      <c r="H1079" s="207" t="str">
        <f>IF('G MTTS'!V1080=0," ",'G MTTS'!V1080*$A$3)</f>
        <v> </v>
      </c>
      <c r="I1079" s="207" t="str">
        <f>IF('G MTTS'!W1080=0," ",'G MTTS'!W1080*$A$3)</f>
        <v> </v>
      </c>
      <c r="J1079" s="207" t="str">
        <f>IF('G MTTS'!Z1080=0," ",'G MTTS'!Z1080*$A$3)</f>
        <v> </v>
      </c>
      <c r="K1079" s="208">
        <f>'G MTTS'!AF1080</f>
        <v>0</v>
      </c>
      <c r="L1079" s="208">
        <f>'G MTTS'!X1080</f>
        <v>0</v>
      </c>
      <c r="M1079" s="208">
        <f>'G MTTS'!AA1080</f>
        <v>0</v>
      </c>
      <c r="N1079" s="209">
        <f>'G MTTS'!AG1080</f>
        <v>0</v>
      </c>
      <c r="O1079" s="209">
        <f>'G MTTS'!AH1080</f>
        <v>0</v>
      </c>
      <c r="P1079" s="209">
        <f>'G MTTS'!AI1080</f>
        <v>0</v>
      </c>
      <c r="Q1079" s="210">
        <f>'G MTTS'!AJ1080</f>
        <v>0</v>
      </c>
      <c r="R1079" s="46" t="str">
        <f t="shared" si="101"/>
        <v> </v>
      </c>
      <c r="S1079" s="47" t="str">
        <f>'G MTTS'!AQ1080</f>
        <v> </v>
      </c>
    </row>
    <row r="1080" ht="29.25" customHeight="1" outlineLevel="1" spans="1:19">
      <c r="A1080" s="201">
        <f>'G MTTS'!A1081</f>
        <v>0</v>
      </c>
      <c r="B1080" s="36">
        <f>'G MTTS'!B1081</f>
        <v>0</v>
      </c>
      <c r="C1080" s="37">
        <f>'G MTTS'!J1081</f>
        <v>0</v>
      </c>
      <c r="D1080" s="38">
        <f>'G MTTS'!M1081</f>
        <v>0</v>
      </c>
      <c r="E1080" s="39">
        <f>'G MTTS'!N1081</f>
        <v>0</v>
      </c>
      <c r="F1080" s="40">
        <f>'G MTTS'!O1081</f>
        <v>0</v>
      </c>
      <c r="G1080" s="41" t="str">
        <f>IF('G MTTS'!Q1081=0," ",'G MTTS'!Q1081*$A$3)</f>
        <v> </v>
      </c>
      <c r="H1080" s="42" t="str">
        <f>IF('G MTTS'!V1081=0," ",'G MTTS'!V1081*$A$3)</f>
        <v> </v>
      </c>
      <c r="I1080" s="42" t="str">
        <f>IF('G MTTS'!W1081=0," ",'G MTTS'!W1081*$A$3)</f>
        <v> </v>
      </c>
      <c r="J1080" s="42" t="str">
        <f>IF('G MTTS'!Z1081=0," ",'G MTTS'!Z1081*$A$3)</f>
        <v> </v>
      </c>
      <c r="K1080" s="43">
        <f>'G MTTS'!AF1081</f>
        <v>0</v>
      </c>
      <c r="L1080" s="43">
        <f>'G MTTS'!X1081</f>
        <v>0</v>
      </c>
      <c r="M1080" s="43">
        <f>'G MTTS'!AA1081</f>
        <v>0</v>
      </c>
      <c r="N1080" s="44">
        <f>'G MTTS'!AG1081</f>
        <v>0</v>
      </c>
      <c r="O1080" s="44">
        <f>'G MTTS'!AH1081</f>
        <v>0</v>
      </c>
      <c r="P1080" s="44">
        <f>'G MTTS'!AI1081</f>
        <v>0</v>
      </c>
      <c r="Q1080" s="45">
        <f>'G MTTS'!AJ1081</f>
        <v>0</v>
      </c>
      <c r="R1080" s="46" t="str">
        <f t="shared" si="101"/>
        <v> </v>
      </c>
      <c r="S1080" s="47" t="str">
        <f>'G MTTS'!AQ1081</f>
        <v> </v>
      </c>
    </row>
    <row r="1081" ht="29.25" customHeight="1" outlineLevel="1" spans="1:19">
      <c r="A1081" s="201">
        <f>'G MTTS'!A1082</f>
        <v>0</v>
      </c>
      <c r="B1081" s="36">
        <f>'G MTTS'!B1082</f>
        <v>0</v>
      </c>
      <c r="C1081" s="202">
        <f>'G MTTS'!J1082</f>
        <v>0</v>
      </c>
      <c r="D1081" s="203">
        <f>'G MTTS'!M1082</f>
        <v>0</v>
      </c>
      <c r="E1081" s="204">
        <f>'G MTTS'!N1082</f>
        <v>0</v>
      </c>
      <c r="F1081" s="205">
        <f>'G MTTS'!O1082</f>
        <v>0</v>
      </c>
      <c r="G1081" s="206" t="str">
        <f>IF('G MTTS'!Q1082=0," ",'G MTTS'!Q1082*$A$3)</f>
        <v> </v>
      </c>
      <c r="H1081" s="207" t="str">
        <f>IF('G MTTS'!V1082=0," ",'G MTTS'!V1082*$A$3)</f>
        <v> </v>
      </c>
      <c r="I1081" s="207" t="str">
        <f>IF('G MTTS'!W1082=0," ",'G MTTS'!W1082*$A$3)</f>
        <v> </v>
      </c>
      <c r="J1081" s="207" t="str">
        <f>IF('G MTTS'!Z1082=0," ",'G MTTS'!Z1082*$A$3)</f>
        <v> </v>
      </c>
      <c r="K1081" s="208">
        <f>'G MTTS'!AF1082</f>
        <v>0</v>
      </c>
      <c r="L1081" s="208">
        <f>'G MTTS'!X1082</f>
        <v>0</v>
      </c>
      <c r="M1081" s="208">
        <f>'G MTTS'!AA1082</f>
        <v>0</v>
      </c>
      <c r="N1081" s="209">
        <f>'G MTTS'!AG1082</f>
        <v>0</v>
      </c>
      <c r="O1081" s="209">
        <f>'G MTTS'!AH1082</f>
        <v>0</v>
      </c>
      <c r="P1081" s="209">
        <f>'G MTTS'!AI1082</f>
        <v>0</v>
      </c>
      <c r="Q1081" s="210">
        <f>'G MTTS'!AJ1082</f>
        <v>0</v>
      </c>
      <c r="R1081" s="46" t="str">
        <f t="shared" si="101"/>
        <v> </v>
      </c>
      <c r="S1081" s="47" t="str">
        <f>'G MTTS'!AQ1082</f>
        <v> </v>
      </c>
    </row>
    <row r="1082" ht="29.25" customHeight="1" outlineLevel="1" spans="1:19">
      <c r="A1082" s="201">
        <f>'G MTTS'!A1083</f>
        <v>0</v>
      </c>
      <c r="B1082" s="36">
        <f>'G MTTS'!B1083</f>
        <v>0</v>
      </c>
      <c r="C1082" s="37">
        <f>'G MTTS'!J1083</f>
        <v>0</v>
      </c>
      <c r="D1082" s="38">
        <f>'G MTTS'!M1083</f>
        <v>0</v>
      </c>
      <c r="E1082" s="39">
        <f>'G MTTS'!N1083</f>
        <v>0</v>
      </c>
      <c r="F1082" s="40">
        <f>'G MTTS'!O1083</f>
        <v>0</v>
      </c>
      <c r="G1082" s="41" t="str">
        <f>IF('G MTTS'!Q1083=0," ",'G MTTS'!Q1083*$A$3)</f>
        <v> </v>
      </c>
      <c r="H1082" s="42" t="str">
        <f>IF('G MTTS'!V1083=0," ",'G MTTS'!V1083*$A$3)</f>
        <v> </v>
      </c>
      <c r="I1082" s="42" t="str">
        <f>IF('G MTTS'!W1083=0," ",'G MTTS'!W1083*$A$3)</f>
        <v> </v>
      </c>
      <c r="J1082" s="42" t="str">
        <f>IF('G MTTS'!Z1083=0," ",'G MTTS'!Z1083*$A$3)</f>
        <v> </v>
      </c>
      <c r="K1082" s="43">
        <f>'G MTTS'!AF1083</f>
        <v>0</v>
      </c>
      <c r="L1082" s="43">
        <f>'G MTTS'!X1083</f>
        <v>0</v>
      </c>
      <c r="M1082" s="43">
        <f>'G MTTS'!AA1083</f>
        <v>0</v>
      </c>
      <c r="N1082" s="44">
        <f>'G MTTS'!AG1083</f>
        <v>0</v>
      </c>
      <c r="O1082" s="44">
        <f>'G MTTS'!AH1083</f>
        <v>0</v>
      </c>
      <c r="P1082" s="44">
        <f>'G MTTS'!AI1083</f>
        <v>0</v>
      </c>
      <c r="Q1082" s="45">
        <f>'G MTTS'!AJ1083</f>
        <v>0</v>
      </c>
      <c r="R1082" s="46" t="str">
        <f t="shared" si="101"/>
        <v> </v>
      </c>
      <c r="S1082" s="47" t="str">
        <f>'G MTTS'!AQ1083</f>
        <v> </v>
      </c>
    </row>
    <row r="1083" ht="29.25" customHeight="1" outlineLevel="1" spans="1:19">
      <c r="A1083" s="201">
        <f>'G MTTS'!A1084</f>
        <v>0</v>
      </c>
      <c r="B1083" s="36">
        <f>'G MTTS'!B1084</f>
        <v>0</v>
      </c>
      <c r="C1083" s="202">
        <f>'G MTTS'!J1084</f>
        <v>0</v>
      </c>
      <c r="D1083" s="203">
        <f>'G MTTS'!M1084</f>
        <v>0</v>
      </c>
      <c r="E1083" s="204">
        <f>'G MTTS'!N1084</f>
        <v>0</v>
      </c>
      <c r="F1083" s="205">
        <f>'G MTTS'!O1084</f>
        <v>0</v>
      </c>
      <c r="G1083" s="206" t="str">
        <f>IF('G MTTS'!Q1084=0," ",'G MTTS'!Q1084*$A$3)</f>
        <v> </v>
      </c>
      <c r="H1083" s="207" t="str">
        <f>IF('G MTTS'!V1084=0," ",'G MTTS'!V1084*$A$3)</f>
        <v> </v>
      </c>
      <c r="I1083" s="207" t="str">
        <f>IF('G MTTS'!W1084=0," ",'G MTTS'!W1084*$A$3)</f>
        <v> </v>
      </c>
      <c r="J1083" s="207" t="str">
        <f>IF('G MTTS'!Z1084=0," ",'G MTTS'!Z1084*$A$3)</f>
        <v> </v>
      </c>
      <c r="K1083" s="208">
        <f>'G MTTS'!AF1084</f>
        <v>0</v>
      </c>
      <c r="L1083" s="208">
        <f>'G MTTS'!X1084</f>
        <v>0</v>
      </c>
      <c r="M1083" s="208">
        <f>'G MTTS'!AA1084</f>
        <v>0</v>
      </c>
      <c r="N1083" s="209">
        <f>'G MTTS'!AG1084</f>
        <v>0</v>
      </c>
      <c r="O1083" s="209">
        <f>'G MTTS'!AH1084</f>
        <v>0</v>
      </c>
      <c r="P1083" s="209">
        <f>'G MTTS'!AI1084</f>
        <v>0</v>
      </c>
      <c r="Q1083" s="210">
        <f>'G MTTS'!AJ1084</f>
        <v>0</v>
      </c>
      <c r="R1083" s="46" t="str">
        <f t="shared" si="101"/>
        <v> </v>
      </c>
      <c r="S1083" s="47" t="str">
        <f>'G MTTS'!AQ1084</f>
        <v> </v>
      </c>
    </row>
    <row r="1084" ht="29.25" customHeight="1" outlineLevel="1" spans="1:19">
      <c r="A1084" s="201">
        <f>'G MTTS'!A1085</f>
        <v>0</v>
      </c>
      <c r="B1084" s="36">
        <f>'G MTTS'!B1085</f>
        <v>0</v>
      </c>
      <c r="C1084" s="37">
        <f>'G MTTS'!J1085</f>
        <v>0</v>
      </c>
      <c r="D1084" s="38">
        <f>'G MTTS'!M1085</f>
        <v>0</v>
      </c>
      <c r="E1084" s="39">
        <f>'G MTTS'!N1085</f>
        <v>0</v>
      </c>
      <c r="F1084" s="40">
        <f>'G MTTS'!O1085</f>
        <v>0</v>
      </c>
      <c r="G1084" s="41" t="str">
        <f>IF('G MTTS'!Q1085=0," ",'G MTTS'!Q1085*$A$3)</f>
        <v> </v>
      </c>
      <c r="H1084" s="42" t="str">
        <f>IF('G MTTS'!V1085=0," ",'G MTTS'!V1085*$A$3)</f>
        <v> </v>
      </c>
      <c r="I1084" s="42" t="str">
        <f>IF('G MTTS'!W1085=0," ",'G MTTS'!W1085*$A$3)</f>
        <v> </v>
      </c>
      <c r="J1084" s="42" t="str">
        <f>IF('G MTTS'!Z1085=0," ",'G MTTS'!Z1085*$A$3)</f>
        <v> </v>
      </c>
      <c r="K1084" s="43">
        <f>'G MTTS'!AF1085</f>
        <v>0</v>
      </c>
      <c r="L1084" s="43">
        <f>'G MTTS'!X1085</f>
        <v>0</v>
      </c>
      <c r="M1084" s="43">
        <f>'G MTTS'!AA1085</f>
        <v>0</v>
      </c>
      <c r="N1084" s="44">
        <f>'G MTTS'!AG1085</f>
        <v>0</v>
      </c>
      <c r="O1084" s="44">
        <f>'G MTTS'!AH1085</f>
        <v>0</v>
      </c>
      <c r="P1084" s="44">
        <f>'G MTTS'!AI1085</f>
        <v>0</v>
      </c>
      <c r="Q1084" s="45">
        <f>'G MTTS'!AJ1085</f>
        <v>0</v>
      </c>
      <c r="R1084" s="46" t="str">
        <f t="shared" si="101"/>
        <v> </v>
      </c>
      <c r="S1084" s="47" t="str">
        <f>'G MTTS'!AQ1085</f>
        <v> </v>
      </c>
    </row>
    <row r="1085" ht="29.25" customHeight="1" outlineLevel="1" spans="1:19">
      <c r="A1085" s="201">
        <f>'G MTTS'!A1086</f>
        <v>0</v>
      </c>
      <c r="B1085" s="36">
        <f>'G MTTS'!B1086</f>
        <v>0</v>
      </c>
      <c r="C1085" s="202">
        <f>'G MTTS'!J1086</f>
        <v>0</v>
      </c>
      <c r="D1085" s="203">
        <f>'G MTTS'!M1086</f>
        <v>0</v>
      </c>
      <c r="E1085" s="204">
        <f>'G MTTS'!N1086</f>
        <v>0</v>
      </c>
      <c r="F1085" s="205">
        <f>'G MTTS'!O1086</f>
        <v>0</v>
      </c>
      <c r="G1085" s="206" t="str">
        <f>IF('G MTTS'!Q1086=0," ",'G MTTS'!Q1086*$A$3)</f>
        <v> </v>
      </c>
      <c r="H1085" s="207" t="str">
        <f>IF('G MTTS'!V1086=0," ",'G MTTS'!V1086*$A$3)</f>
        <v> </v>
      </c>
      <c r="I1085" s="207" t="str">
        <f>IF('G MTTS'!W1086=0," ",'G MTTS'!W1086*$A$3)</f>
        <v> </v>
      </c>
      <c r="J1085" s="207" t="str">
        <f>IF('G MTTS'!Z1086=0," ",'G MTTS'!Z1086*$A$3)</f>
        <v> </v>
      </c>
      <c r="K1085" s="208">
        <f>'G MTTS'!AF1086</f>
        <v>0</v>
      </c>
      <c r="L1085" s="208">
        <f>'G MTTS'!X1086</f>
        <v>0</v>
      </c>
      <c r="M1085" s="208">
        <f>'G MTTS'!AA1086</f>
        <v>0</v>
      </c>
      <c r="N1085" s="209">
        <f>'G MTTS'!AG1086</f>
        <v>0</v>
      </c>
      <c r="O1085" s="209">
        <f>'G MTTS'!AH1086</f>
        <v>0</v>
      </c>
      <c r="P1085" s="209">
        <f>'G MTTS'!AI1086</f>
        <v>0</v>
      </c>
      <c r="Q1085" s="210">
        <f>'G MTTS'!AJ1086</f>
        <v>0</v>
      </c>
      <c r="R1085" s="46" t="str">
        <f t="shared" si="101"/>
        <v> </v>
      </c>
      <c r="S1085" s="47" t="str">
        <f>'G MTTS'!AQ1086</f>
        <v> </v>
      </c>
    </row>
    <row r="1086" ht="29.25" customHeight="1" outlineLevel="1" spans="1:19">
      <c r="A1086" s="201">
        <f>'G MTTS'!A1087</f>
        <v>0</v>
      </c>
      <c r="B1086" s="36">
        <f>'G MTTS'!B1087</f>
        <v>0</v>
      </c>
      <c r="C1086" s="37">
        <f>'G MTTS'!J1087</f>
        <v>0</v>
      </c>
      <c r="D1086" s="38">
        <f>'G MTTS'!M1087</f>
        <v>0</v>
      </c>
      <c r="E1086" s="39">
        <f>'G MTTS'!N1087</f>
        <v>0</v>
      </c>
      <c r="F1086" s="40">
        <f>'G MTTS'!O1087</f>
        <v>0</v>
      </c>
      <c r="G1086" s="41" t="str">
        <f>IF('G MTTS'!Q1087=0," ",'G MTTS'!Q1087*$A$3)</f>
        <v> </v>
      </c>
      <c r="H1086" s="42" t="str">
        <f>IF('G MTTS'!V1087=0," ",'G MTTS'!V1087*$A$3)</f>
        <v> </v>
      </c>
      <c r="I1086" s="42" t="str">
        <f>IF('G MTTS'!W1087=0," ",'G MTTS'!W1087*$A$3)</f>
        <v> </v>
      </c>
      <c r="J1086" s="42" t="str">
        <f>IF('G MTTS'!Z1087=0," ",'G MTTS'!Z1087*$A$3)</f>
        <v> </v>
      </c>
      <c r="K1086" s="43">
        <f>'G MTTS'!AF1087</f>
        <v>0</v>
      </c>
      <c r="L1086" s="43">
        <f>'G MTTS'!X1087</f>
        <v>0</v>
      </c>
      <c r="M1086" s="43">
        <f>'G MTTS'!AA1087</f>
        <v>0</v>
      </c>
      <c r="N1086" s="44">
        <f>'G MTTS'!AG1087</f>
        <v>0</v>
      </c>
      <c r="O1086" s="44">
        <f>'G MTTS'!AH1087</f>
        <v>0</v>
      </c>
      <c r="P1086" s="44">
        <f>'G MTTS'!AI1087</f>
        <v>0</v>
      </c>
      <c r="Q1086" s="45">
        <f>'G MTTS'!AJ1087</f>
        <v>0</v>
      </c>
      <c r="R1086" s="46" t="str">
        <f t="shared" si="101"/>
        <v> </v>
      </c>
      <c r="S1086" s="47" t="str">
        <f>'G MTTS'!AQ1087</f>
        <v> </v>
      </c>
    </row>
    <row r="1087" ht="29.25" customHeight="1" outlineLevel="1" spans="1:19">
      <c r="A1087" s="201">
        <f>'G MTTS'!A1088</f>
        <v>0</v>
      </c>
      <c r="B1087" s="36">
        <f>'G MTTS'!B1088</f>
        <v>0</v>
      </c>
      <c r="C1087" s="202">
        <f>'G MTTS'!J1088</f>
        <v>0</v>
      </c>
      <c r="D1087" s="203">
        <f>'G MTTS'!M1088</f>
        <v>0</v>
      </c>
      <c r="E1087" s="204">
        <f>'G MTTS'!N1088</f>
        <v>0</v>
      </c>
      <c r="F1087" s="205">
        <f>'G MTTS'!O1088</f>
        <v>0</v>
      </c>
      <c r="G1087" s="206" t="str">
        <f>IF('G MTTS'!Q1088=0," ",'G MTTS'!Q1088*$A$3)</f>
        <v> </v>
      </c>
      <c r="H1087" s="207" t="str">
        <f>IF('G MTTS'!V1088=0," ",'G MTTS'!V1088*$A$3)</f>
        <v> </v>
      </c>
      <c r="I1087" s="207" t="str">
        <f>IF('G MTTS'!W1088=0," ",'G MTTS'!W1088*$A$3)</f>
        <v> </v>
      </c>
      <c r="J1087" s="207" t="str">
        <f>IF('G MTTS'!Z1088=0," ",'G MTTS'!Z1088*$A$3)</f>
        <v> </v>
      </c>
      <c r="K1087" s="208">
        <f>'G MTTS'!AF1088</f>
        <v>0</v>
      </c>
      <c r="L1087" s="208">
        <f>'G MTTS'!X1088</f>
        <v>0</v>
      </c>
      <c r="M1087" s="208">
        <f>'G MTTS'!AA1088</f>
        <v>0</v>
      </c>
      <c r="N1087" s="209">
        <f>'G MTTS'!AG1088</f>
        <v>0</v>
      </c>
      <c r="O1087" s="209">
        <f>'G MTTS'!AH1088</f>
        <v>0</v>
      </c>
      <c r="P1087" s="209">
        <f>'G MTTS'!AI1088</f>
        <v>0</v>
      </c>
      <c r="Q1087" s="210">
        <f>'G MTTS'!AJ1088</f>
        <v>0</v>
      </c>
      <c r="R1087" s="46" t="str">
        <f t="shared" si="101"/>
        <v> </v>
      </c>
      <c r="S1087" s="47" t="str">
        <f>'G MTTS'!AQ1088</f>
        <v> </v>
      </c>
    </row>
    <row r="1088" ht="29.25" customHeight="1" outlineLevel="1" spans="1:19">
      <c r="A1088" s="201">
        <f>'G MTTS'!A1089</f>
        <v>0</v>
      </c>
      <c r="B1088" s="36">
        <f>'G MTTS'!B1089</f>
        <v>0</v>
      </c>
      <c r="C1088" s="37">
        <f>'G MTTS'!J1089</f>
        <v>0</v>
      </c>
      <c r="D1088" s="38">
        <f>'G MTTS'!M1089</f>
        <v>0</v>
      </c>
      <c r="E1088" s="39">
        <f>'G MTTS'!N1089</f>
        <v>0</v>
      </c>
      <c r="F1088" s="40">
        <f>'G MTTS'!O1089</f>
        <v>0</v>
      </c>
      <c r="G1088" s="41" t="str">
        <f>IF('G MTTS'!Q1089=0," ",'G MTTS'!Q1089*$A$3)</f>
        <v> </v>
      </c>
      <c r="H1088" s="42" t="str">
        <f>IF('G MTTS'!V1089=0," ",'G MTTS'!V1089*$A$3)</f>
        <v> </v>
      </c>
      <c r="I1088" s="42" t="str">
        <f>IF('G MTTS'!W1089=0," ",'G MTTS'!W1089*$A$3)</f>
        <v> </v>
      </c>
      <c r="J1088" s="42" t="str">
        <f>IF('G MTTS'!Z1089=0," ",'G MTTS'!Z1089*$A$3)</f>
        <v> </v>
      </c>
      <c r="K1088" s="43">
        <f>'G MTTS'!AF1089</f>
        <v>0</v>
      </c>
      <c r="L1088" s="43">
        <f>'G MTTS'!X1089</f>
        <v>0</v>
      </c>
      <c r="M1088" s="43">
        <f>'G MTTS'!AA1089</f>
        <v>0</v>
      </c>
      <c r="N1088" s="44">
        <f>'G MTTS'!AG1089</f>
        <v>0</v>
      </c>
      <c r="O1088" s="44">
        <f>'G MTTS'!AH1089</f>
        <v>0</v>
      </c>
      <c r="P1088" s="44">
        <f>'G MTTS'!AI1089</f>
        <v>0</v>
      </c>
      <c r="Q1088" s="45">
        <f>'G MTTS'!AJ1089</f>
        <v>0</v>
      </c>
      <c r="R1088" s="46" t="str">
        <f t="shared" si="101"/>
        <v> </v>
      </c>
      <c r="S1088" s="47" t="str">
        <f>'G MTTS'!AQ1089</f>
        <v> </v>
      </c>
    </row>
    <row r="1089" ht="29.25" customHeight="1" outlineLevel="1" spans="1:19">
      <c r="A1089" s="201">
        <f>'G MTTS'!A1090</f>
        <v>0</v>
      </c>
      <c r="B1089" s="36">
        <f>'G MTTS'!B1090</f>
        <v>0</v>
      </c>
      <c r="C1089" s="202">
        <f>'G MTTS'!J1090</f>
        <v>0</v>
      </c>
      <c r="D1089" s="203">
        <f>'G MTTS'!M1090</f>
        <v>0</v>
      </c>
      <c r="E1089" s="204">
        <f>'G MTTS'!N1090</f>
        <v>0</v>
      </c>
      <c r="F1089" s="205">
        <f>'G MTTS'!O1090</f>
        <v>0</v>
      </c>
      <c r="G1089" s="206" t="str">
        <f>IF('G MTTS'!Q1090=0," ",'G MTTS'!Q1090*$A$3)</f>
        <v> </v>
      </c>
      <c r="H1089" s="207" t="str">
        <f>IF('G MTTS'!V1090=0," ",'G MTTS'!V1090*$A$3)</f>
        <v> </v>
      </c>
      <c r="I1089" s="207" t="str">
        <f>IF('G MTTS'!W1090=0," ",'G MTTS'!W1090*$A$3)</f>
        <v> </v>
      </c>
      <c r="J1089" s="207" t="str">
        <f>IF('G MTTS'!Z1090=0," ",'G MTTS'!Z1090*$A$3)</f>
        <v> </v>
      </c>
      <c r="K1089" s="208">
        <f>'G MTTS'!AF1090</f>
        <v>0</v>
      </c>
      <c r="L1089" s="208">
        <f>'G MTTS'!X1090</f>
        <v>0</v>
      </c>
      <c r="M1089" s="208">
        <f>'G MTTS'!AA1090</f>
        <v>0</v>
      </c>
      <c r="N1089" s="209">
        <f>'G MTTS'!AG1090</f>
        <v>0</v>
      </c>
      <c r="O1089" s="209">
        <f>'G MTTS'!AH1090</f>
        <v>0</v>
      </c>
      <c r="P1089" s="209">
        <f>'G MTTS'!AI1090</f>
        <v>0</v>
      </c>
      <c r="Q1089" s="210">
        <f>'G MTTS'!AJ1090</f>
        <v>0</v>
      </c>
      <c r="R1089" s="46" t="str">
        <f t="shared" si="101"/>
        <v> </v>
      </c>
      <c r="S1089" s="47" t="str">
        <f>'G MTTS'!AQ1090</f>
        <v> </v>
      </c>
    </row>
    <row r="1090" ht="29.25" customHeight="1" outlineLevel="1" spans="1:19">
      <c r="A1090" s="201">
        <f>'G MTTS'!A1091</f>
        <v>0</v>
      </c>
      <c r="B1090" s="36">
        <f>'G MTTS'!B1091</f>
        <v>0</v>
      </c>
      <c r="C1090" s="37">
        <f>'G MTTS'!J1091</f>
        <v>0</v>
      </c>
      <c r="D1090" s="38">
        <f>'G MTTS'!M1091</f>
        <v>0</v>
      </c>
      <c r="E1090" s="39">
        <f>'G MTTS'!N1091</f>
        <v>0</v>
      </c>
      <c r="F1090" s="40">
        <f>'G MTTS'!O1091</f>
        <v>0</v>
      </c>
      <c r="G1090" s="41" t="str">
        <f>IF('G MTTS'!Q1091=0," ",'G MTTS'!Q1091*$A$3)</f>
        <v> </v>
      </c>
      <c r="H1090" s="42" t="str">
        <f>IF('G MTTS'!V1091=0," ",'G MTTS'!V1091*$A$3)</f>
        <v> </v>
      </c>
      <c r="I1090" s="42" t="str">
        <f>IF('G MTTS'!W1091=0," ",'G MTTS'!W1091*$A$3)</f>
        <v> </v>
      </c>
      <c r="J1090" s="42" t="str">
        <f>IF('G MTTS'!Z1091=0," ",'G MTTS'!Z1091*$A$3)</f>
        <v> </v>
      </c>
      <c r="K1090" s="43">
        <f>'G MTTS'!AF1091</f>
        <v>0</v>
      </c>
      <c r="L1090" s="43">
        <f>'G MTTS'!X1091</f>
        <v>0</v>
      </c>
      <c r="M1090" s="43">
        <f>'G MTTS'!AA1091</f>
        <v>0</v>
      </c>
      <c r="N1090" s="44">
        <f>'G MTTS'!AG1091</f>
        <v>0</v>
      </c>
      <c r="O1090" s="44">
        <f>'G MTTS'!AH1091</f>
        <v>0</v>
      </c>
      <c r="P1090" s="44">
        <f>'G MTTS'!AI1091</f>
        <v>0</v>
      </c>
      <c r="Q1090" s="45">
        <f>'G MTTS'!AJ1091</f>
        <v>0</v>
      </c>
      <c r="R1090" s="46" t="str">
        <f t="shared" si="101"/>
        <v> </v>
      </c>
      <c r="S1090" s="47" t="str">
        <f>'G MTTS'!AQ1091</f>
        <v> </v>
      </c>
    </row>
    <row r="1091" ht="29.25" customHeight="1" outlineLevel="1" spans="1:19">
      <c r="A1091" s="201">
        <f>'G MTTS'!A1092</f>
        <v>0</v>
      </c>
      <c r="B1091" s="36">
        <f>'G MTTS'!B1092</f>
        <v>0</v>
      </c>
      <c r="C1091" s="202">
        <f>'G MTTS'!J1092</f>
        <v>0</v>
      </c>
      <c r="D1091" s="203">
        <f>'G MTTS'!M1092</f>
        <v>0</v>
      </c>
      <c r="E1091" s="204">
        <f>'G MTTS'!N1092</f>
        <v>0</v>
      </c>
      <c r="F1091" s="205">
        <f>'G MTTS'!O1092</f>
        <v>0</v>
      </c>
      <c r="G1091" s="206" t="str">
        <f>IF('G MTTS'!Q1092=0," ",'G MTTS'!Q1092*$A$3)</f>
        <v> </v>
      </c>
      <c r="H1091" s="207" t="str">
        <f>IF('G MTTS'!V1092=0," ",'G MTTS'!V1092*$A$3)</f>
        <v> </v>
      </c>
      <c r="I1091" s="207" t="str">
        <f>IF('G MTTS'!W1092=0," ",'G MTTS'!W1092*$A$3)</f>
        <v> </v>
      </c>
      <c r="J1091" s="207" t="str">
        <f>IF('G MTTS'!Z1092=0," ",'G MTTS'!Z1092*$A$3)</f>
        <v> </v>
      </c>
      <c r="K1091" s="208">
        <f>'G MTTS'!AF1092</f>
        <v>0</v>
      </c>
      <c r="L1091" s="208">
        <f>'G MTTS'!X1092</f>
        <v>0</v>
      </c>
      <c r="M1091" s="208">
        <f>'G MTTS'!AA1092</f>
        <v>0</v>
      </c>
      <c r="N1091" s="209">
        <f>'G MTTS'!AG1092</f>
        <v>0</v>
      </c>
      <c r="O1091" s="209">
        <f>'G MTTS'!AH1092</f>
        <v>0</v>
      </c>
      <c r="P1091" s="209">
        <f>'G MTTS'!AI1092</f>
        <v>0</v>
      </c>
      <c r="Q1091" s="210">
        <f>'G MTTS'!AJ1092</f>
        <v>0</v>
      </c>
      <c r="R1091" s="46" t="str">
        <f t="shared" si="101"/>
        <v> </v>
      </c>
      <c r="S1091" s="47" t="str">
        <f>'G MTTS'!AQ1092</f>
        <v> </v>
      </c>
    </row>
    <row r="1092" ht="29.25" customHeight="1" outlineLevel="1" spans="1:19">
      <c r="A1092" s="201">
        <f>'G MTTS'!A1093</f>
        <v>0</v>
      </c>
      <c r="B1092" s="36">
        <f>'G MTTS'!B1093</f>
        <v>0</v>
      </c>
      <c r="C1092" s="37">
        <f>'G MTTS'!J1093</f>
        <v>0</v>
      </c>
      <c r="D1092" s="38">
        <f>'G MTTS'!M1093</f>
        <v>0</v>
      </c>
      <c r="E1092" s="39">
        <f>'G MTTS'!N1093</f>
        <v>0</v>
      </c>
      <c r="F1092" s="40">
        <f>'G MTTS'!O1093</f>
        <v>0</v>
      </c>
      <c r="G1092" s="41" t="str">
        <f>IF('G MTTS'!Q1093=0," ",'G MTTS'!Q1093*$A$3)</f>
        <v> </v>
      </c>
      <c r="H1092" s="42" t="str">
        <f>IF('G MTTS'!V1093=0," ",'G MTTS'!V1093*$A$3)</f>
        <v> </v>
      </c>
      <c r="I1092" s="42" t="str">
        <f>IF('G MTTS'!W1093=0," ",'G MTTS'!W1093*$A$3)</f>
        <v> </v>
      </c>
      <c r="J1092" s="42" t="str">
        <f>IF('G MTTS'!Z1093=0," ",'G MTTS'!Z1093*$A$3)</f>
        <v> </v>
      </c>
      <c r="K1092" s="43">
        <f>'G MTTS'!AF1093</f>
        <v>0</v>
      </c>
      <c r="L1092" s="43">
        <f>'G MTTS'!X1093</f>
        <v>0</v>
      </c>
      <c r="M1092" s="43">
        <f>'G MTTS'!AA1093</f>
        <v>0</v>
      </c>
      <c r="N1092" s="44">
        <f>'G MTTS'!AG1093</f>
        <v>0</v>
      </c>
      <c r="O1092" s="44">
        <f>'G MTTS'!AH1093</f>
        <v>0</v>
      </c>
      <c r="P1092" s="44">
        <f>'G MTTS'!AI1093</f>
        <v>0</v>
      </c>
      <c r="Q1092" s="45">
        <f>'G MTTS'!AJ1093</f>
        <v>0</v>
      </c>
      <c r="R1092" s="46" t="str">
        <f t="shared" si="101"/>
        <v> </v>
      </c>
      <c r="S1092" s="47" t="str">
        <f>'G MTTS'!AQ1093</f>
        <v> </v>
      </c>
    </row>
    <row r="1093" ht="29.25" customHeight="1" outlineLevel="1" spans="1:19">
      <c r="A1093" s="201">
        <f>'G MTTS'!A1094</f>
        <v>0</v>
      </c>
      <c r="B1093" s="36">
        <f>'G MTTS'!B1094</f>
        <v>0</v>
      </c>
      <c r="C1093" s="202">
        <f>'G MTTS'!J1094</f>
        <v>0</v>
      </c>
      <c r="D1093" s="203">
        <f>'G MTTS'!M1094</f>
        <v>0</v>
      </c>
      <c r="E1093" s="204">
        <f>'G MTTS'!N1094</f>
        <v>0</v>
      </c>
      <c r="F1093" s="205">
        <f>'G MTTS'!O1094</f>
        <v>0</v>
      </c>
      <c r="G1093" s="206" t="str">
        <f>IF('G MTTS'!Q1094=0," ",'G MTTS'!Q1094*$A$3)</f>
        <v> </v>
      </c>
      <c r="H1093" s="207" t="str">
        <f>IF('G MTTS'!V1094=0," ",'G MTTS'!V1094*$A$3)</f>
        <v> </v>
      </c>
      <c r="I1093" s="207" t="str">
        <f>IF('G MTTS'!W1094=0," ",'G MTTS'!W1094*$A$3)</f>
        <v> </v>
      </c>
      <c r="J1093" s="207" t="str">
        <f>IF('G MTTS'!Z1094=0," ",'G MTTS'!Z1094*$A$3)</f>
        <v> </v>
      </c>
      <c r="K1093" s="208">
        <f>'G MTTS'!AF1094</f>
        <v>0</v>
      </c>
      <c r="L1093" s="208">
        <f>'G MTTS'!X1094</f>
        <v>0</v>
      </c>
      <c r="M1093" s="208">
        <f>'G MTTS'!AA1094</f>
        <v>0</v>
      </c>
      <c r="N1093" s="209">
        <f>'G MTTS'!AG1094</f>
        <v>0</v>
      </c>
      <c r="O1093" s="209">
        <f>'G MTTS'!AH1094</f>
        <v>0</v>
      </c>
      <c r="P1093" s="209">
        <f>'G MTTS'!AI1094</f>
        <v>0</v>
      </c>
      <c r="Q1093" s="210">
        <f>'G MTTS'!AJ1094</f>
        <v>0</v>
      </c>
      <c r="R1093" s="46" t="str">
        <f t="shared" si="101"/>
        <v> </v>
      </c>
      <c r="S1093" s="47" t="str">
        <f>'G MTTS'!AQ1094</f>
        <v> </v>
      </c>
    </row>
    <row r="1094" ht="29.25" customHeight="1" outlineLevel="1" spans="1:19">
      <c r="A1094" s="201">
        <f>'G MTTS'!A1095</f>
        <v>0</v>
      </c>
      <c r="B1094" s="36">
        <f>'G MTTS'!B1095</f>
        <v>0</v>
      </c>
      <c r="C1094" s="37">
        <f>'G MTTS'!J1095</f>
        <v>0</v>
      </c>
      <c r="D1094" s="38">
        <f>'G MTTS'!M1095</f>
        <v>0</v>
      </c>
      <c r="E1094" s="39">
        <f>'G MTTS'!N1095</f>
        <v>0</v>
      </c>
      <c r="F1094" s="40">
        <f>'G MTTS'!O1095</f>
        <v>0</v>
      </c>
      <c r="G1094" s="41" t="str">
        <f>IF('G MTTS'!Q1095=0," ",'G MTTS'!Q1095*$A$3)</f>
        <v> </v>
      </c>
      <c r="H1094" s="42" t="str">
        <f>IF('G MTTS'!V1095=0," ",'G MTTS'!V1095*$A$3)</f>
        <v> </v>
      </c>
      <c r="I1094" s="42" t="str">
        <f>IF('G MTTS'!W1095=0," ",'G MTTS'!W1095*$A$3)</f>
        <v> </v>
      </c>
      <c r="J1094" s="42" t="str">
        <f>IF('G MTTS'!Z1095=0," ",'G MTTS'!Z1095*$A$3)</f>
        <v> </v>
      </c>
      <c r="K1094" s="43">
        <f>'G MTTS'!AF1095</f>
        <v>0</v>
      </c>
      <c r="L1094" s="43">
        <f>'G MTTS'!X1095</f>
        <v>0</v>
      </c>
      <c r="M1094" s="43">
        <f>'G MTTS'!AA1095</f>
        <v>0</v>
      </c>
      <c r="N1094" s="44">
        <f>'G MTTS'!AG1095</f>
        <v>0</v>
      </c>
      <c r="O1094" s="44">
        <f>'G MTTS'!AH1095</f>
        <v>0</v>
      </c>
      <c r="P1094" s="44">
        <f>'G MTTS'!AI1095</f>
        <v>0</v>
      </c>
      <c r="Q1094" s="45">
        <f>'G MTTS'!AJ1095</f>
        <v>0</v>
      </c>
      <c r="R1094" s="46" t="str">
        <f t="shared" si="101"/>
        <v> </v>
      </c>
      <c r="S1094" s="47" t="str">
        <f>'G MTTS'!AQ1095</f>
        <v> </v>
      </c>
    </row>
    <row r="1095" ht="29.25" customHeight="1" outlineLevel="1" spans="1:19">
      <c r="A1095" s="201">
        <f>'G MTTS'!A1096</f>
        <v>0</v>
      </c>
      <c r="B1095" s="36">
        <f>'G MTTS'!B1096</f>
        <v>0</v>
      </c>
      <c r="C1095" s="202">
        <f>'G MTTS'!J1096</f>
        <v>0</v>
      </c>
      <c r="D1095" s="203">
        <f>'G MTTS'!M1096</f>
        <v>0</v>
      </c>
      <c r="E1095" s="204">
        <f>'G MTTS'!N1096</f>
        <v>0</v>
      </c>
      <c r="F1095" s="205">
        <f>'G MTTS'!O1096</f>
        <v>0</v>
      </c>
      <c r="G1095" s="206" t="str">
        <f>IF('G MTTS'!Q1096=0," ",'G MTTS'!Q1096*$A$3)</f>
        <v> </v>
      </c>
      <c r="H1095" s="207" t="str">
        <f>IF('G MTTS'!V1096=0," ",'G MTTS'!V1096*$A$3)</f>
        <v> </v>
      </c>
      <c r="I1095" s="207" t="str">
        <f>IF('G MTTS'!W1096=0," ",'G MTTS'!W1096*$A$3)</f>
        <v> </v>
      </c>
      <c r="J1095" s="207" t="str">
        <f>IF('G MTTS'!Z1096=0," ",'G MTTS'!Z1096*$A$3)</f>
        <v> </v>
      </c>
      <c r="K1095" s="208">
        <f>'G MTTS'!AF1096</f>
        <v>0</v>
      </c>
      <c r="L1095" s="208">
        <f>'G MTTS'!X1096</f>
        <v>0</v>
      </c>
      <c r="M1095" s="208">
        <f>'G MTTS'!AA1096</f>
        <v>0</v>
      </c>
      <c r="N1095" s="209">
        <f>'G MTTS'!AG1096</f>
        <v>0</v>
      </c>
      <c r="O1095" s="209">
        <f>'G MTTS'!AH1096</f>
        <v>0</v>
      </c>
      <c r="P1095" s="209">
        <f>'G MTTS'!AI1096</f>
        <v>0</v>
      </c>
      <c r="Q1095" s="210">
        <f>'G MTTS'!AJ1096</f>
        <v>0</v>
      </c>
      <c r="R1095" s="46" t="str">
        <f t="shared" si="101"/>
        <v> </v>
      </c>
      <c r="S1095" s="47" t="str">
        <f>'G MTTS'!AQ1096</f>
        <v> </v>
      </c>
    </row>
    <row r="1096" ht="29.25" customHeight="1" outlineLevel="1" spans="1:19">
      <c r="A1096" s="201">
        <f>'G MTTS'!A1097</f>
        <v>0</v>
      </c>
      <c r="B1096" s="36">
        <f>'G MTTS'!B1097</f>
        <v>0</v>
      </c>
      <c r="C1096" s="37">
        <f>'G MTTS'!J1097</f>
        <v>0</v>
      </c>
      <c r="D1096" s="38">
        <f>'G MTTS'!M1097</f>
        <v>0</v>
      </c>
      <c r="E1096" s="39">
        <f>'G MTTS'!N1097</f>
        <v>0</v>
      </c>
      <c r="F1096" s="40">
        <f>'G MTTS'!O1097</f>
        <v>0</v>
      </c>
      <c r="G1096" s="41" t="str">
        <f>IF('G MTTS'!Q1097=0," ",'G MTTS'!Q1097*$A$3)</f>
        <v> </v>
      </c>
      <c r="H1096" s="42" t="str">
        <f>IF('G MTTS'!V1097=0," ",'G MTTS'!V1097*$A$3)</f>
        <v> </v>
      </c>
      <c r="I1096" s="42" t="str">
        <f>IF('G MTTS'!W1097=0," ",'G MTTS'!W1097*$A$3)</f>
        <v> </v>
      </c>
      <c r="J1096" s="42" t="str">
        <f>IF('G MTTS'!Z1097=0," ",'G MTTS'!Z1097*$A$3)</f>
        <v> </v>
      </c>
      <c r="K1096" s="43">
        <f>'G MTTS'!AF1097</f>
        <v>0</v>
      </c>
      <c r="L1096" s="43">
        <f>'G MTTS'!X1097</f>
        <v>0</v>
      </c>
      <c r="M1096" s="43">
        <f>'G MTTS'!AA1097</f>
        <v>0</v>
      </c>
      <c r="N1096" s="44">
        <f>'G MTTS'!AG1097</f>
        <v>0</v>
      </c>
      <c r="O1096" s="44">
        <f>'G MTTS'!AH1097</f>
        <v>0</v>
      </c>
      <c r="P1096" s="44">
        <f>'G MTTS'!AI1097</f>
        <v>0</v>
      </c>
      <c r="Q1096" s="45">
        <f>'G MTTS'!AJ1097</f>
        <v>0</v>
      </c>
      <c r="R1096" s="46" t="str">
        <f t="shared" si="101"/>
        <v> </v>
      </c>
      <c r="S1096" s="47" t="str">
        <f>'G MTTS'!AQ1097</f>
        <v> </v>
      </c>
    </row>
    <row r="1097" ht="29.25" customHeight="1" outlineLevel="1" spans="1:19">
      <c r="A1097" s="201">
        <f>'G MTTS'!A1098</f>
        <v>0</v>
      </c>
      <c r="B1097" s="36">
        <f>'G MTTS'!B1098</f>
        <v>0</v>
      </c>
      <c r="C1097" s="202">
        <f>'G MTTS'!J1098</f>
        <v>0</v>
      </c>
      <c r="D1097" s="203">
        <f>'G MTTS'!M1098</f>
        <v>0</v>
      </c>
      <c r="E1097" s="204">
        <f>'G MTTS'!N1098</f>
        <v>0</v>
      </c>
      <c r="F1097" s="205">
        <f>'G MTTS'!O1098</f>
        <v>0</v>
      </c>
      <c r="G1097" s="206" t="str">
        <f>IF('G MTTS'!Q1098=0," ",'G MTTS'!Q1098*$A$3)</f>
        <v> </v>
      </c>
      <c r="H1097" s="207" t="str">
        <f>IF('G MTTS'!V1098=0," ",'G MTTS'!V1098*$A$3)</f>
        <v> </v>
      </c>
      <c r="I1097" s="207" t="str">
        <f>IF('G MTTS'!W1098=0," ",'G MTTS'!W1098*$A$3)</f>
        <v> </v>
      </c>
      <c r="J1097" s="207" t="str">
        <f>IF('G MTTS'!Z1098=0," ",'G MTTS'!Z1098*$A$3)</f>
        <v> </v>
      </c>
      <c r="K1097" s="208">
        <f>'G MTTS'!AF1098</f>
        <v>0</v>
      </c>
      <c r="L1097" s="208">
        <f>'G MTTS'!X1098</f>
        <v>0</v>
      </c>
      <c r="M1097" s="208">
        <f>'G MTTS'!AA1098</f>
        <v>0</v>
      </c>
      <c r="N1097" s="209">
        <f>'G MTTS'!AG1098</f>
        <v>0</v>
      </c>
      <c r="O1097" s="209">
        <f>'G MTTS'!AH1098</f>
        <v>0</v>
      </c>
      <c r="P1097" s="209">
        <f>'G MTTS'!AI1098</f>
        <v>0</v>
      </c>
      <c r="Q1097" s="210">
        <f>'G MTTS'!AJ1098</f>
        <v>0</v>
      </c>
      <c r="R1097" s="46" t="str">
        <f t="shared" si="101"/>
        <v> </v>
      </c>
      <c r="S1097" s="47" t="str">
        <f>'G MTTS'!AQ1098</f>
        <v> </v>
      </c>
    </row>
    <row r="1098" ht="29.25" customHeight="1" outlineLevel="1" spans="1:19">
      <c r="A1098" s="201">
        <f>'G MTTS'!A1099</f>
        <v>0</v>
      </c>
      <c r="B1098" s="36">
        <f>'G MTTS'!B1099</f>
        <v>0</v>
      </c>
      <c r="C1098" s="37">
        <f>'G MTTS'!J1099</f>
        <v>0</v>
      </c>
      <c r="D1098" s="38">
        <f>'G MTTS'!M1099</f>
        <v>0</v>
      </c>
      <c r="E1098" s="39">
        <f>'G MTTS'!N1099</f>
        <v>0</v>
      </c>
      <c r="F1098" s="40">
        <f>'G MTTS'!O1099</f>
        <v>0</v>
      </c>
      <c r="G1098" s="41" t="str">
        <f>IF('G MTTS'!Q1099=0," ",'G MTTS'!Q1099*$A$3)</f>
        <v> </v>
      </c>
      <c r="H1098" s="42" t="str">
        <f>IF('G MTTS'!V1099=0," ",'G MTTS'!V1099*$A$3)</f>
        <v> </v>
      </c>
      <c r="I1098" s="42" t="str">
        <f>IF('G MTTS'!W1099=0," ",'G MTTS'!W1099*$A$3)</f>
        <v> </v>
      </c>
      <c r="J1098" s="42" t="str">
        <f>IF('G MTTS'!Z1099=0," ",'G MTTS'!Z1099*$A$3)</f>
        <v> </v>
      </c>
      <c r="K1098" s="43">
        <f>'G MTTS'!AF1099</f>
        <v>0</v>
      </c>
      <c r="L1098" s="43">
        <f>'G MTTS'!X1099</f>
        <v>0</v>
      </c>
      <c r="M1098" s="43">
        <f>'G MTTS'!AA1099</f>
        <v>0</v>
      </c>
      <c r="N1098" s="44">
        <f>'G MTTS'!AG1099</f>
        <v>0</v>
      </c>
      <c r="O1098" s="44">
        <f>'G MTTS'!AH1099</f>
        <v>0</v>
      </c>
      <c r="P1098" s="44">
        <f>'G MTTS'!AI1099</f>
        <v>0</v>
      </c>
      <c r="Q1098" s="45">
        <f>'G MTTS'!AJ1099</f>
        <v>0</v>
      </c>
      <c r="R1098" s="46" t="str">
        <f t="shared" si="101"/>
        <v> </v>
      </c>
      <c r="S1098" s="47" t="str">
        <f>'G MTTS'!AQ1099</f>
        <v> </v>
      </c>
    </row>
    <row r="1099" ht="29.25" customHeight="1" outlineLevel="1" spans="1:19">
      <c r="A1099" s="201">
        <f>'G MTTS'!A1100</f>
        <v>0</v>
      </c>
      <c r="B1099" s="36">
        <f>'G MTTS'!B1100</f>
        <v>0</v>
      </c>
      <c r="C1099" s="202">
        <f>'G MTTS'!J1100</f>
        <v>0</v>
      </c>
      <c r="D1099" s="203">
        <f>'G MTTS'!M1100</f>
        <v>0</v>
      </c>
      <c r="E1099" s="204">
        <f>'G MTTS'!N1100</f>
        <v>0</v>
      </c>
      <c r="F1099" s="205">
        <f>'G MTTS'!O1100</f>
        <v>0</v>
      </c>
      <c r="G1099" s="206" t="str">
        <f>IF('G MTTS'!Q1100=0," ",'G MTTS'!Q1100*$A$3)</f>
        <v> </v>
      </c>
      <c r="H1099" s="207" t="str">
        <f>IF('G MTTS'!V1100=0," ",'G MTTS'!V1100*$A$3)</f>
        <v> </v>
      </c>
      <c r="I1099" s="207" t="str">
        <f>IF('G MTTS'!W1100=0," ",'G MTTS'!W1100*$A$3)</f>
        <v> </v>
      </c>
      <c r="J1099" s="207" t="str">
        <f>IF('G MTTS'!Z1100=0," ",'G MTTS'!Z1100*$A$3)</f>
        <v> </v>
      </c>
      <c r="K1099" s="208">
        <f>'G MTTS'!AF1100</f>
        <v>0</v>
      </c>
      <c r="L1099" s="208">
        <f>'G MTTS'!X1100</f>
        <v>0</v>
      </c>
      <c r="M1099" s="208">
        <f>'G MTTS'!AA1100</f>
        <v>0</v>
      </c>
      <c r="N1099" s="209">
        <f>'G MTTS'!AG1100</f>
        <v>0</v>
      </c>
      <c r="O1099" s="209">
        <f>'G MTTS'!AH1100</f>
        <v>0</v>
      </c>
      <c r="P1099" s="209">
        <f>'G MTTS'!AI1100</f>
        <v>0</v>
      </c>
      <c r="Q1099" s="210">
        <f>'G MTTS'!AJ1100</f>
        <v>0</v>
      </c>
      <c r="R1099" s="46" t="str">
        <f t="shared" si="101"/>
        <v> </v>
      </c>
      <c r="S1099" s="47" t="str">
        <f>'G MTTS'!AQ1100</f>
        <v> </v>
      </c>
    </row>
    <row r="1100" ht="29.25" customHeight="1" outlineLevel="1" spans="1:19">
      <c r="A1100" s="201">
        <f>'G MTTS'!A1101</f>
        <v>0</v>
      </c>
      <c r="B1100" s="36">
        <f>'G MTTS'!B1101</f>
        <v>0</v>
      </c>
      <c r="C1100" s="37">
        <f>'G MTTS'!J1101</f>
        <v>0</v>
      </c>
      <c r="D1100" s="38">
        <f>'G MTTS'!M1101</f>
        <v>0</v>
      </c>
      <c r="E1100" s="39">
        <f>'G MTTS'!N1101</f>
        <v>0</v>
      </c>
      <c r="F1100" s="40">
        <f>'G MTTS'!O1101</f>
        <v>0</v>
      </c>
      <c r="G1100" s="41" t="str">
        <f>IF('G MTTS'!Q1101=0," ",'G MTTS'!Q1101*$A$3)</f>
        <v> </v>
      </c>
      <c r="H1100" s="42" t="str">
        <f>IF('G MTTS'!V1101=0," ",'G MTTS'!V1101*$A$3)</f>
        <v> </v>
      </c>
      <c r="I1100" s="42" t="str">
        <f>IF('G MTTS'!W1101=0," ",'G MTTS'!W1101*$A$3)</f>
        <v> </v>
      </c>
      <c r="J1100" s="42" t="str">
        <f>IF('G MTTS'!Z1101=0," ",'G MTTS'!Z1101*$A$3)</f>
        <v> </v>
      </c>
      <c r="K1100" s="43">
        <f>'G MTTS'!AF1101</f>
        <v>0</v>
      </c>
      <c r="L1100" s="43">
        <f>'G MTTS'!X1101</f>
        <v>0</v>
      </c>
      <c r="M1100" s="43">
        <f>'G MTTS'!AA1101</f>
        <v>0</v>
      </c>
      <c r="N1100" s="44">
        <f>'G MTTS'!AG1101</f>
        <v>0</v>
      </c>
      <c r="O1100" s="44">
        <f>'G MTTS'!AH1101</f>
        <v>0</v>
      </c>
      <c r="P1100" s="44">
        <f>'G MTTS'!AI1101</f>
        <v>0</v>
      </c>
      <c r="Q1100" s="45">
        <f>'G MTTS'!AJ1101</f>
        <v>0</v>
      </c>
      <c r="R1100" s="46" t="str">
        <f t="shared" si="101"/>
        <v> </v>
      </c>
      <c r="S1100" s="47" t="str">
        <f>'G MTTS'!AQ1101</f>
        <v> </v>
      </c>
    </row>
    <row r="1101" ht="29.25" customHeight="1" outlineLevel="1" spans="1:19">
      <c r="A1101" s="201">
        <f>'G MTTS'!A1102</f>
        <v>0</v>
      </c>
      <c r="B1101" s="36">
        <f>'G MTTS'!B1102</f>
        <v>0</v>
      </c>
      <c r="C1101" s="202">
        <f>'G MTTS'!J1102</f>
        <v>0</v>
      </c>
      <c r="D1101" s="203">
        <f>'G MTTS'!M1102</f>
        <v>0</v>
      </c>
      <c r="E1101" s="204">
        <f>'G MTTS'!N1102</f>
        <v>0</v>
      </c>
      <c r="F1101" s="205">
        <f>'G MTTS'!O1102</f>
        <v>0</v>
      </c>
      <c r="G1101" s="206" t="str">
        <f>IF('G MTTS'!Q1102=0," ",'G MTTS'!Q1102*$A$3)</f>
        <v> </v>
      </c>
      <c r="H1101" s="207" t="str">
        <f>IF('G MTTS'!V1102=0," ",'G MTTS'!V1102*$A$3)</f>
        <v> </v>
      </c>
      <c r="I1101" s="207" t="str">
        <f>IF('G MTTS'!W1102=0," ",'G MTTS'!W1102*$A$3)</f>
        <v> </v>
      </c>
      <c r="J1101" s="207" t="str">
        <f>IF('G MTTS'!Z1102=0," ",'G MTTS'!Z1102*$A$3)</f>
        <v> </v>
      </c>
      <c r="K1101" s="208">
        <f>'G MTTS'!AF1102</f>
        <v>0</v>
      </c>
      <c r="L1101" s="208">
        <f>'G MTTS'!X1102</f>
        <v>0</v>
      </c>
      <c r="M1101" s="208">
        <f>'G MTTS'!AA1102</f>
        <v>0</v>
      </c>
      <c r="N1101" s="209">
        <f>'G MTTS'!AG1102</f>
        <v>0</v>
      </c>
      <c r="O1101" s="209">
        <f>'G MTTS'!AH1102</f>
        <v>0</v>
      </c>
      <c r="P1101" s="209">
        <f>'G MTTS'!AI1102</f>
        <v>0</v>
      </c>
      <c r="Q1101" s="210">
        <f>'G MTTS'!AJ1102</f>
        <v>0</v>
      </c>
      <c r="R1101" s="46" t="str">
        <f t="shared" si="101"/>
        <v> </v>
      </c>
      <c r="S1101" s="47" t="str">
        <f>'G MTTS'!AQ1102</f>
        <v> </v>
      </c>
    </row>
    <row r="1102" ht="29.25" customHeight="1" outlineLevel="1" spans="1:19">
      <c r="A1102" s="201">
        <f>'G MTTS'!A1103</f>
        <v>0</v>
      </c>
      <c r="B1102" s="36">
        <f>'G MTTS'!B1103</f>
        <v>0</v>
      </c>
      <c r="C1102" s="37">
        <f>'G MTTS'!J1103</f>
        <v>0</v>
      </c>
      <c r="D1102" s="38">
        <f>'G MTTS'!M1103</f>
        <v>0</v>
      </c>
      <c r="E1102" s="39">
        <f>'G MTTS'!N1103</f>
        <v>0</v>
      </c>
      <c r="F1102" s="40">
        <f>'G MTTS'!O1103</f>
        <v>0</v>
      </c>
      <c r="G1102" s="41" t="str">
        <f>IF('G MTTS'!Q1103=0," ",'G MTTS'!Q1103*$A$3)</f>
        <v> </v>
      </c>
      <c r="H1102" s="42" t="str">
        <f>IF('G MTTS'!V1103=0," ",'G MTTS'!V1103*$A$3)</f>
        <v> </v>
      </c>
      <c r="I1102" s="42" t="str">
        <f>IF('G MTTS'!W1103=0," ",'G MTTS'!W1103*$A$3)</f>
        <v> </v>
      </c>
      <c r="J1102" s="42" t="str">
        <f>IF('G MTTS'!Z1103=0," ",'G MTTS'!Z1103*$A$3)</f>
        <v> </v>
      </c>
      <c r="K1102" s="43">
        <f>'G MTTS'!AF1103</f>
        <v>0</v>
      </c>
      <c r="L1102" s="43">
        <f>'G MTTS'!X1103</f>
        <v>0</v>
      </c>
      <c r="M1102" s="43">
        <f>'G MTTS'!AA1103</f>
        <v>0</v>
      </c>
      <c r="N1102" s="44">
        <f>'G MTTS'!AG1103</f>
        <v>0</v>
      </c>
      <c r="O1102" s="44">
        <f>'G MTTS'!AH1103</f>
        <v>0</v>
      </c>
      <c r="P1102" s="44">
        <f>'G MTTS'!AI1103</f>
        <v>0</v>
      </c>
      <c r="Q1102" s="45">
        <f>'G MTTS'!AJ1103</f>
        <v>0</v>
      </c>
      <c r="R1102" s="46" t="str">
        <f t="shared" si="101"/>
        <v> </v>
      </c>
      <c r="S1102" s="47" t="str">
        <f>'G MTTS'!AQ1103</f>
        <v> </v>
      </c>
    </row>
    <row r="1103" ht="29.25" customHeight="1" outlineLevel="1" spans="1:19">
      <c r="A1103" s="201">
        <f>'G MTTS'!A1104</f>
        <v>0</v>
      </c>
      <c r="B1103" s="36">
        <f>'G MTTS'!B1104</f>
        <v>0</v>
      </c>
      <c r="C1103" s="202">
        <f>'G MTTS'!J1104</f>
        <v>0</v>
      </c>
      <c r="D1103" s="203">
        <f>'G MTTS'!M1104</f>
        <v>0</v>
      </c>
      <c r="E1103" s="204">
        <f>'G MTTS'!N1104</f>
        <v>0</v>
      </c>
      <c r="F1103" s="205">
        <f>'G MTTS'!O1104</f>
        <v>0</v>
      </c>
      <c r="G1103" s="206" t="str">
        <f>IF('G MTTS'!Q1104=0," ",'G MTTS'!Q1104*$A$3)</f>
        <v> </v>
      </c>
      <c r="H1103" s="207" t="str">
        <f>IF('G MTTS'!V1104=0," ",'G MTTS'!V1104*$A$3)</f>
        <v> </v>
      </c>
      <c r="I1103" s="207" t="str">
        <f>IF('G MTTS'!W1104=0," ",'G MTTS'!W1104*$A$3)</f>
        <v> </v>
      </c>
      <c r="J1103" s="207" t="str">
        <f>IF('G MTTS'!Z1104=0," ",'G MTTS'!Z1104*$A$3)</f>
        <v> </v>
      </c>
      <c r="K1103" s="208">
        <f>'G MTTS'!AF1104</f>
        <v>0</v>
      </c>
      <c r="L1103" s="208">
        <f>'G MTTS'!X1104</f>
        <v>0</v>
      </c>
      <c r="M1103" s="208">
        <f>'G MTTS'!AA1104</f>
        <v>0</v>
      </c>
      <c r="N1103" s="209">
        <f>'G MTTS'!AG1104</f>
        <v>0</v>
      </c>
      <c r="O1103" s="209">
        <f>'G MTTS'!AH1104</f>
        <v>0</v>
      </c>
      <c r="P1103" s="209">
        <f>'G MTTS'!AI1104</f>
        <v>0</v>
      </c>
      <c r="Q1103" s="210">
        <f>'G MTTS'!AJ1104</f>
        <v>0</v>
      </c>
      <c r="R1103" s="46" t="str">
        <f t="shared" si="101"/>
        <v> </v>
      </c>
      <c r="S1103" s="47" t="str">
        <f>'G MTTS'!AQ1104</f>
        <v> </v>
      </c>
    </row>
    <row r="1104" ht="29.25" customHeight="1" outlineLevel="1" spans="1:19">
      <c r="A1104" s="201">
        <f>'G MTTS'!A1105</f>
        <v>0</v>
      </c>
      <c r="B1104" s="36">
        <f>'G MTTS'!B1105</f>
        <v>0</v>
      </c>
      <c r="C1104" s="37">
        <f>'G MTTS'!J1105</f>
        <v>0</v>
      </c>
      <c r="D1104" s="38">
        <f>'G MTTS'!M1105</f>
        <v>0</v>
      </c>
      <c r="E1104" s="39">
        <f>'G MTTS'!N1105</f>
        <v>0</v>
      </c>
      <c r="F1104" s="40">
        <f>'G MTTS'!O1105</f>
        <v>0</v>
      </c>
      <c r="G1104" s="41" t="str">
        <f>IF('G MTTS'!Q1105=0," ",'G MTTS'!Q1105*$A$3)</f>
        <v> </v>
      </c>
      <c r="H1104" s="42" t="str">
        <f>IF('G MTTS'!V1105=0," ",'G MTTS'!V1105*$A$3)</f>
        <v> </v>
      </c>
      <c r="I1104" s="42" t="str">
        <f>IF('G MTTS'!W1105=0," ",'G MTTS'!W1105*$A$3)</f>
        <v> </v>
      </c>
      <c r="J1104" s="42" t="str">
        <f>IF('G MTTS'!Z1105=0," ",'G MTTS'!Z1105*$A$3)</f>
        <v> </v>
      </c>
      <c r="K1104" s="43">
        <f>'G MTTS'!AF1105</f>
        <v>0</v>
      </c>
      <c r="L1104" s="43">
        <f>'G MTTS'!X1105</f>
        <v>0</v>
      </c>
      <c r="M1104" s="43">
        <f>'G MTTS'!AA1105</f>
        <v>0</v>
      </c>
      <c r="N1104" s="44">
        <f>'G MTTS'!AG1105</f>
        <v>0</v>
      </c>
      <c r="O1104" s="44">
        <f>'G MTTS'!AH1105</f>
        <v>0</v>
      </c>
      <c r="P1104" s="44">
        <f>'G MTTS'!AI1105</f>
        <v>0</v>
      </c>
      <c r="Q1104" s="45">
        <f>'G MTTS'!AJ1105</f>
        <v>0</v>
      </c>
      <c r="R1104" s="211" t="str">
        <f t="shared" si="101"/>
        <v> </v>
      </c>
      <c r="S1104" s="47" t="str">
        <f>'G MTTS'!AQ1105</f>
        <v> </v>
      </c>
    </row>
    <row r="1105" ht="29.25" customHeight="1" outlineLevel="1" spans="1:19">
      <c r="A1105" s="201">
        <f>'G MTTS'!A1106</f>
        <v>0</v>
      </c>
      <c r="B1105" s="36">
        <f>'G MTTS'!B1106</f>
        <v>0</v>
      </c>
      <c r="C1105" s="202">
        <f>'G MTTS'!J1106</f>
        <v>0</v>
      </c>
      <c r="D1105" s="203">
        <f>'G MTTS'!M1106</f>
        <v>0</v>
      </c>
      <c r="E1105" s="204">
        <f>'G MTTS'!N1106</f>
        <v>0</v>
      </c>
      <c r="F1105" s="205">
        <f>'G MTTS'!O1106</f>
        <v>0</v>
      </c>
      <c r="G1105" s="206" t="str">
        <f>IF('G MTTS'!Q1106=0," ",'G MTTS'!Q1106*$A$3)</f>
        <v> </v>
      </c>
      <c r="H1105" s="207" t="str">
        <f>IF('G MTTS'!V1106=0," ",'G MTTS'!V1106*$A$3)</f>
        <v> </v>
      </c>
      <c r="I1105" s="207" t="str">
        <f>IF('G MTTS'!W1106=0," ",'G MTTS'!W1106*$A$3)</f>
        <v> </v>
      </c>
      <c r="J1105" s="207" t="str">
        <f>IF('G MTTS'!Z1106=0," ",'G MTTS'!Z1106*$A$3)</f>
        <v> </v>
      </c>
      <c r="K1105" s="208">
        <f>'G MTTS'!AF1106</f>
        <v>0</v>
      </c>
      <c r="L1105" s="208">
        <f>'G MTTS'!X1106</f>
        <v>0</v>
      </c>
      <c r="M1105" s="208">
        <f>'G MTTS'!AA1106</f>
        <v>0</v>
      </c>
      <c r="N1105" s="209">
        <f>'G MTTS'!AG1106</f>
        <v>0</v>
      </c>
      <c r="O1105" s="209">
        <f>'G MTTS'!AH1106</f>
        <v>0</v>
      </c>
      <c r="P1105" s="209">
        <f>'G MTTS'!AI1106</f>
        <v>0</v>
      </c>
      <c r="Q1105" s="210">
        <f>'G MTTS'!AJ1106</f>
        <v>0</v>
      </c>
      <c r="R1105" s="211" t="str">
        <f t="shared" si="101"/>
        <v> </v>
      </c>
      <c r="S1105" s="47" t="str">
        <f>'G MTTS'!AQ1106</f>
        <v> </v>
      </c>
    </row>
    <row r="1106" ht="29.25" customHeight="1" outlineLevel="1" spans="1:19">
      <c r="A1106" s="201">
        <f>'G MTTS'!A1115</f>
        <v>0</v>
      </c>
      <c r="B1106" s="36">
        <f>'G MTTS'!B1115</f>
        <v>0</v>
      </c>
      <c r="C1106" s="37">
        <f>'G MTTS'!J1115</f>
        <v>0</v>
      </c>
      <c r="D1106" s="38">
        <f>'G MTTS'!M1115</f>
        <v>0</v>
      </c>
      <c r="E1106" s="39">
        <f>'G MTTS'!N1115</f>
        <v>0</v>
      </c>
      <c r="F1106" s="40">
        <f>'G MTTS'!O1115</f>
        <v>0</v>
      </c>
      <c r="G1106" s="41" t="str">
        <f>IF('G MTTS'!Q1115=0," ",'G MTTS'!Q1115*$A$3)</f>
        <v> </v>
      </c>
      <c r="H1106" s="42" t="str">
        <f>IF('G MTTS'!V1115=0," ",'G MTTS'!V1115*$A$3)</f>
        <v> </v>
      </c>
      <c r="I1106" s="42" t="str">
        <f>IF('G MTTS'!W1115=0," ",'G MTTS'!W1115*$A$3)</f>
        <v> </v>
      </c>
      <c r="J1106" s="42" t="str">
        <f>IF('G MTTS'!Z1115=0," ",'G MTTS'!Z1115*$A$3)</f>
        <v> </v>
      </c>
      <c r="K1106" s="43">
        <f>'G MTTS'!AF1115</f>
        <v>0</v>
      </c>
      <c r="L1106" s="43">
        <f>'G MTTS'!X1115</f>
        <v>0</v>
      </c>
      <c r="M1106" s="43">
        <f>'G MTTS'!AA1115</f>
        <v>0</v>
      </c>
      <c r="N1106" s="44">
        <f>'G MTTS'!AG1115</f>
        <v>0</v>
      </c>
      <c r="O1106" s="44">
        <f>'G MTTS'!AH1115</f>
        <v>0</v>
      </c>
      <c r="P1106" s="44">
        <f>'G MTTS'!AI1115</f>
        <v>0</v>
      </c>
      <c r="Q1106" s="45">
        <f>'G MTTS'!AJ1115</f>
        <v>0</v>
      </c>
      <c r="R1106" s="211" t="str">
        <f t="shared" si="101"/>
        <v> </v>
      </c>
      <c r="S1106" s="47" t="str">
        <f>'G MTTS'!AQ1115</f>
        <v> </v>
      </c>
    </row>
    <row r="1107" ht="29.25" customHeight="1" outlineLevel="1" spans="1:19">
      <c r="A1107" s="201">
        <f>'G MTTS'!A1116</f>
        <v>0</v>
      </c>
      <c r="B1107" s="36">
        <f>'G MTTS'!B1116</f>
        <v>0</v>
      </c>
      <c r="C1107" s="202">
        <f>'G MTTS'!J1116</f>
        <v>0</v>
      </c>
      <c r="D1107" s="203">
        <f>'G MTTS'!M1116</f>
        <v>0</v>
      </c>
      <c r="E1107" s="204">
        <f>'G MTTS'!N1116</f>
        <v>0</v>
      </c>
      <c r="F1107" s="205">
        <f>'G MTTS'!O1116</f>
        <v>0</v>
      </c>
      <c r="G1107" s="206" t="str">
        <f>IF('G MTTS'!Q1116=0," ",'G MTTS'!Q1116*$A$3)</f>
        <v> </v>
      </c>
      <c r="H1107" s="207" t="str">
        <f>IF('G MTTS'!V1116=0," ",'G MTTS'!V1116*$A$3)</f>
        <v> </v>
      </c>
      <c r="I1107" s="207" t="str">
        <f>IF('G MTTS'!W1116=0," ",'G MTTS'!W1116*$A$3)</f>
        <v> </v>
      </c>
      <c r="J1107" s="207" t="str">
        <f>IF('G MTTS'!Z1116=0," ",'G MTTS'!Z1116*$A$3)</f>
        <v> </v>
      </c>
      <c r="K1107" s="208">
        <f>'G MTTS'!AF1116</f>
        <v>0</v>
      </c>
      <c r="L1107" s="208">
        <f>'G MTTS'!X1116</f>
        <v>0</v>
      </c>
      <c r="M1107" s="208">
        <f>'G MTTS'!AA1116</f>
        <v>0</v>
      </c>
      <c r="N1107" s="209">
        <f>'G MTTS'!AG1116</f>
        <v>0</v>
      </c>
      <c r="O1107" s="209">
        <f>'G MTTS'!AH1116</f>
        <v>0</v>
      </c>
      <c r="P1107" s="209">
        <f>'G MTTS'!AI1116</f>
        <v>0</v>
      </c>
      <c r="Q1107" s="210">
        <f>'G MTTS'!AJ1116</f>
        <v>0</v>
      </c>
      <c r="R1107" s="211" t="str">
        <f t="shared" si="101"/>
        <v> </v>
      </c>
      <c r="S1107" s="47" t="str">
        <f>'G MTTS'!AQ1116</f>
        <v> </v>
      </c>
    </row>
    <row r="1108" ht="29.25" customHeight="1" outlineLevel="1" spans="1:19">
      <c r="A1108" s="201">
        <f>'G MTTS'!A1117</f>
        <v>0</v>
      </c>
      <c r="B1108" s="36">
        <f>'G MTTS'!B1117</f>
        <v>0</v>
      </c>
      <c r="C1108" s="37">
        <f>'G MTTS'!J1117</f>
        <v>0</v>
      </c>
      <c r="D1108" s="38">
        <f>'G MTTS'!M1117</f>
        <v>0</v>
      </c>
      <c r="E1108" s="39">
        <f>'G MTTS'!N1117</f>
        <v>0</v>
      </c>
      <c r="F1108" s="40">
        <f>'G MTTS'!O1117</f>
        <v>0</v>
      </c>
      <c r="G1108" s="41" t="str">
        <f>IF('G MTTS'!Q1117=0," ",'G MTTS'!Q1117*$A$3)</f>
        <v> </v>
      </c>
      <c r="H1108" s="42" t="str">
        <f>IF('G MTTS'!V1117=0," ",'G MTTS'!V1117*$A$3)</f>
        <v> </v>
      </c>
      <c r="I1108" s="42" t="str">
        <f>IF('G MTTS'!W1117=0," ",'G MTTS'!W1117*$A$3)</f>
        <v> </v>
      </c>
      <c r="J1108" s="42" t="str">
        <f>IF('G MTTS'!Z1117=0," ",'G MTTS'!Z1117*$A$3)</f>
        <v> </v>
      </c>
      <c r="K1108" s="43">
        <f>'G MTTS'!AF1117</f>
        <v>0</v>
      </c>
      <c r="L1108" s="43">
        <f>'G MTTS'!X1117</f>
        <v>0</v>
      </c>
      <c r="M1108" s="43">
        <f>'G MTTS'!AA1117</f>
        <v>0</v>
      </c>
      <c r="N1108" s="44">
        <f>'G MTTS'!AG1117</f>
        <v>0</v>
      </c>
      <c r="O1108" s="44">
        <f>'G MTTS'!AH1117</f>
        <v>0</v>
      </c>
      <c r="P1108" s="44">
        <f>'G MTTS'!AI1117</f>
        <v>0</v>
      </c>
      <c r="Q1108" s="45">
        <f>'G MTTS'!AJ1117</f>
        <v>0</v>
      </c>
      <c r="R1108" s="211" t="str">
        <f t="shared" si="101"/>
        <v> </v>
      </c>
      <c r="S1108" s="47" t="str">
        <f>'G MTTS'!AQ1117</f>
        <v> </v>
      </c>
    </row>
    <row r="1109" ht="29.25" customHeight="1" outlineLevel="1" spans="1:19">
      <c r="A1109" s="201">
        <f>'G MTTS'!A1118</f>
        <v>0</v>
      </c>
      <c r="B1109" s="36">
        <f>'G MTTS'!B1118</f>
        <v>0</v>
      </c>
      <c r="C1109" s="202">
        <f>'G MTTS'!J1118</f>
        <v>0</v>
      </c>
      <c r="D1109" s="203">
        <f>'G MTTS'!M1118</f>
        <v>0</v>
      </c>
      <c r="E1109" s="204">
        <f>'G MTTS'!N1118</f>
        <v>0</v>
      </c>
      <c r="F1109" s="205">
        <f>'G MTTS'!O1118</f>
        <v>0</v>
      </c>
      <c r="G1109" s="206" t="str">
        <f>IF('G MTTS'!Q1118=0," ",'G MTTS'!Q1118*$A$3)</f>
        <v> </v>
      </c>
      <c r="H1109" s="207" t="str">
        <f>IF('G MTTS'!V1118=0," ",'G MTTS'!V1118*$A$3)</f>
        <v> </v>
      </c>
      <c r="I1109" s="207" t="str">
        <f>IF('G MTTS'!W1118=0," ",'G MTTS'!W1118*$A$3)</f>
        <v> </v>
      </c>
      <c r="J1109" s="207" t="str">
        <f>IF('G MTTS'!Z1118=0," ",'G MTTS'!Z1118*$A$3)</f>
        <v> </v>
      </c>
      <c r="K1109" s="208">
        <f>'G MTTS'!AF1118</f>
        <v>0</v>
      </c>
      <c r="L1109" s="208">
        <f>'G MTTS'!X1118</f>
        <v>0</v>
      </c>
      <c r="M1109" s="208">
        <f>'G MTTS'!AA1118</f>
        <v>0</v>
      </c>
      <c r="N1109" s="209">
        <f>'G MTTS'!AG1118</f>
        <v>0</v>
      </c>
      <c r="O1109" s="209">
        <f>'G MTTS'!AH1118</f>
        <v>0</v>
      </c>
      <c r="P1109" s="209">
        <f>'G MTTS'!AI1118</f>
        <v>0</v>
      </c>
      <c r="Q1109" s="210">
        <f>'G MTTS'!AJ1118</f>
        <v>0</v>
      </c>
      <c r="R1109" s="46" t="str">
        <f t="shared" si="101"/>
        <v> </v>
      </c>
      <c r="S1109" s="47" t="str">
        <f>'G MTTS'!AQ1118</f>
        <v> </v>
      </c>
    </row>
    <row r="1110" ht="29.25" customHeight="1" outlineLevel="1" spans="1:19">
      <c r="A1110" s="201">
        <f>'G MTTS'!A1119</f>
        <v>0</v>
      </c>
      <c r="B1110" s="36">
        <f>'G MTTS'!B1119</f>
        <v>0</v>
      </c>
      <c r="C1110" s="37">
        <f>'G MTTS'!J1119</f>
        <v>0</v>
      </c>
      <c r="D1110" s="38">
        <f>'G MTTS'!M1119</f>
        <v>0</v>
      </c>
      <c r="E1110" s="39">
        <f>'G MTTS'!N1119</f>
        <v>0</v>
      </c>
      <c r="F1110" s="40">
        <f>'G MTTS'!O1119</f>
        <v>0</v>
      </c>
      <c r="G1110" s="41" t="str">
        <f>IF('G MTTS'!Q1119=0," ",'G MTTS'!Q1119*$A$3)</f>
        <v> </v>
      </c>
      <c r="H1110" s="42" t="str">
        <f>IF('G MTTS'!V1119=0," ",'G MTTS'!V1119*$A$3)</f>
        <v> </v>
      </c>
      <c r="I1110" s="42" t="str">
        <f>IF('G MTTS'!W1119=0," ",'G MTTS'!W1119*$A$3)</f>
        <v> </v>
      </c>
      <c r="J1110" s="42" t="str">
        <f>IF('G MTTS'!Z1119=0," ",'G MTTS'!Z1119*$A$3)</f>
        <v> </v>
      </c>
      <c r="K1110" s="43">
        <f>'G MTTS'!AF1119</f>
        <v>0</v>
      </c>
      <c r="L1110" s="43">
        <f>'G MTTS'!X1119</f>
        <v>0</v>
      </c>
      <c r="M1110" s="43">
        <f>'G MTTS'!AA1119</f>
        <v>0</v>
      </c>
      <c r="N1110" s="44">
        <f>'G MTTS'!AG1119</f>
        <v>0</v>
      </c>
      <c r="O1110" s="44">
        <f>'G MTTS'!AH1119</f>
        <v>0</v>
      </c>
      <c r="P1110" s="44">
        <f>'G MTTS'!AI1119</f>
        <v>0</v>
      </c>
      <c r="Q1110" s="45">
        <f>'G MTTS'!AJ1119</f>
        <v>0</v>
      </c>
      <c r="R1110" s="46" t="str">
        <f t="shared" si="101"/>
        <v> </v>
      </c>
      <c r="S1110" s="47" t="str">
        <f>'G MTTS'!AQ1119</f>
        <v> </v>
      </c>
    </row>
    <row r="1111" ht="29.25" customHeight="1" outlineLevel="1" spans="1:19">
      <c r="A1111" s="201">
        <f>'G MTTS'!A1120</f>
        <v>0</v>
      </c>
      <c r="B1111" s="36">
        <f>'G MTTS'!B1120</f>
        <v>0</v>
      </c>
      <c r="C1111" s="202">
        <f>'G MTTS'!J1120</f>
        <v>0</v>
      </c>
      <c r="D1111" s="203">
        <f>'G MTTS'!M1120</f>
        <v>0</v>
      </c>
      <c r="E1111" s="204">
        <f>'G MTTS'!N1120</f>
        <v>0</v>
      </c>
      <c r="F1111" s="205">
        <f>'G MTTS'!O1120</f>
        <v>0</v>
      </c>
      <c r="G1111" s="206" t="str">
        <f>IF('G MTTS'!Q1120=0," ",'G MTTS'!Q1120*$A$3)</f>
        <v> </v>
      </c>
      <c r="H1111" s="207" t="str">
        <f>IF('G MTTS'!V1120=0," ",'G MTTS'!V1120*$A$3)</f>
        <v> </v>
      </c>
      <c r="I1111" s="207" t="str">
        <f>IF('G MTTS'!W1120=0," ",'G MTTS'!W1120*$A$3)</f>
        <v> </v>
      </c>
      <c r="J1111" s="207" t="str">
        <f>IF('G MTTS'!Z1120=0," ",'G MTTS'!Z1120*$A$3)</f>
        <v> </v>
      </c>
      <c r="K1111" s="208">
        <f>'G MTTS'!AF1120</f>
        <v>0</v>
      </c>
      <c r="L1111" s="208">
        <f>'G MTTS'!X1120</f>
        <v>0</v>
      </c>
      <c r="M1111" s="208">
        <f>'G MTTS'!AA1120</f>
        <v>0</v>
      </c>
      <c r="N1111" s="209">
        <f>'G MTTS'!AG1120</f>
        <v>0</v>
      </c>
      <c r="O1111" s="209">
        <f>'G MTTS'!AH1120</f>
        <v>0</v>
      </c>
      <c r="P1111" s="209">
        <f>'G MTTS'!AI1120</f>
        <v>0</v>
      </c>
      <c r="Q1111" s="210">
        <f>'G MTTS'!AJ1120</f>
        <v>0</v>
      </c>
      <c r="R1111" s="46" t="str">
        <f t="shared" si="101"/>
        <v> </v>
      </c>
      <c r="S1111" s="47" t="str">
        <f>'G MTTS'!AQ1120</f>
        <v> </v>
      </c>
    </row>
    <row r="1112" ht="29.25" customHeight="1" outlineLevel="1" spans="1:19">
      <c r="A1112" s="201">
        <f>'G MTTS'!A1121</f>
        <v>0</v>
      </c>
      <c r="B1112" s="36">
        <f>'G MTTS'!B1121</f>
        <v>0</v>
      </c>
      <c r="C1112" s="37">
        <f>'G MTTS'!J1121</f>
        <v>0</v>
      </c>
      <c r="D1112" s="38">
        <f>'G MTTS'!M1121</f>
        <v>0</v>
      </c>
      <c r="E1112" s="39">
        <f>'G MTTS'!N1121</f>
        <v>0</v>
      </c>
      <c r="F1112" s="40">
        <f>'G MTTS'!O1121</f>
        <v>0</v>
      </c>
      <c r="G1112" s="41" t="str">
        <f>IF('G MTTS'!Q1121=0," ",'G MTTS'!Q1121*$A$3)</f>
        <v> </v>
      </c>
      <c r="H1112" s="42" t="str">
        <f>IF('G MTTS'!V1121=0," ",'G MTTS'!V1121*$A$3)</f>
        <v> </v>
      </c>
      <c r="I1112" s="42" t="str">
        <f>IF('G MTTS'!W1121=0," ",'G MTTS'!W1121*$A$3)</f>
        <v> </v>
      </c>
      <c r="J1112" s="42" t="str">
        <f>IF('G MTTS'!Z1121=0," ",'G MTTS'!Z1121*$A$3)</f>
        <v> </v>
      </c>
      <c r="K1112" s="43">
        <f>'G MTTS'!AF1121</f>
        <v>0</v>
      </c>
      <c r="L1112" s="43">
        <f>'G MTTS'!X1121</f>
        <v>0</v>
      </c>
      <c r="M1112" s="43">
        <f>'G MTTS'!AA1121</f>
        <v>0</v>
      </c>
      <c r="N1112" s="44">
        <f>'G MTTS'!AG1121</f>
        <v>0</v>
      </c>
      <c r="O1112" s="44">
        <f>'G MTTS'!AH1121</f>
        <v>0</v>
      </c>
      <c r="P1112" s="44">
        <f>'G MTTS'!AI1121</f>
        <v>0</v>
      </c>
      <c r="Q1112" s="45">
        <f>'G MTTS'!AJ1121</f>
        <v>0</v>
      </c>
      <c r="R1112" s="46" t="str">
        <f t="shared" si="101"/>
        <v> </v>
      </c>
      <c r="S1112" s="47" t="str">
        <f>'G MTTS'!AQ1121</f>
        <v> </v>
      </c>
    </row>
    <row r="1113" ht="29.25" customHeight="1" outlineLevel="1" spans="1:19">
      <c r="A1113" s="201">
        <f>'G MTTS'!A1122</f>
        <v>0</v>
      </c>
      <c r="B1113" s="36">
        <f>'G MTTS'!B1122</f>
        <v>0</v>
      </c>
      <c r="C1113" s="202">
        <f>'G MTTS'!J1122</f>
        <v>0</v>
      </c>
      <c r="D1113" s="203">
        <f>'G MTTS'!M1122</f>
        <v>0</v>
      </c>
      <c r="E1113" s="204">
        <f>'G MTTS'!N1122</f>
        <v>0</v>
      </c>
      <c r="F1113" s="205">
        <f>'G MTTS'!O1122</f>
        <v>0</v>
      </c>
      <c r="G1113" s="206" t="str">
        <f>IF('G MTTS'!Q1122=0," ",'G MTTS'!Q1122*$A$3)</f>
        <v> </v>
      </c>
      <c r="H1113" s="207" t="str">
        <f>IF('G MTTS'!V1122=0," ",'G MTTS'!V1122*$A$3)</f>
        <v> </v>
      </c>
      <c r="I1113" s="207" t="str">
        <f>IF('G MTTS'!W1122=0," ",'G MTTS'!W1122*$A$3)</f>
        <v> </v>
      </c>
      <c r="J1113" s="207" t="str">
        <f>IF('G MTTS'!Z1122=0," ",'G MTTS'!Z1122*$A$3)</f>
        <v> </v>
      </c>
      <c r="K1113" s="208">
        <f>'G MTTS'!AF1122</f>
        <v>0</v>
      </c>
      <c r="L1113" s="208">
        <f>'G MTTS'!X1122</f>
        <v>0</v>
      </c>
      <c r="M1113" s="208">
        <f>'G MTTS'!AA1122</f>
        <v>0</v>
      </c>
      <c r="N1113" s="209">
        <f>'G MTTS'!AG1122</f>
        <v>0</v>
      </c>
      <c r="O1113" s="209">
        <f>'G MTTS'!AH1122</f>
        <v>0</v>
      </c>
      <c r="P1113" s="209">
        <f>'G MTTS'!AI1122</f>
        <v>0</v>
      </c>
      <c r="Q1113" s="210">
        <f>'G MTTS'!AJ1122</f>
        <v>0</v>
      </c>
      <c r="R1113" s="46" t="str">
        <f t="shared" si="101"/>
        <v> </v>
      </c>
      <c r="S1113" s="47" t="str">
        <f>'G MTTS'!AQ1122</f>
        <v> </v>
      </c>
    </row>
    <row r="1114" ht="29.25" customHeight="1" outlineLevel="1" spans="1:19">
      <c r="A1114" s="201">
        <f>'G MTTS'!A1123</f>
        <v>0</v>
      </c>
      <c r="B1114" s="36">
        <f>'G MTTS'!B1123</f>
        <v>0</v>
      </c>
      <c r="C1114" s="37">
        <f>'G MTTS'!J1123</f>
        <v>0</v>
      </c>
      <c r="D1114" s="38">
        <f>'G MTTS'!M1123</f>
        <v>0</v>
      </c>
      <c r="E1114" s="39">
        <f>'G MTTS'!N1123</f>
        <v>0</v>
      </c>
      <c r="F1114" s="40">
        <f>'G MTTS'!O1123</f>
        <v>0</v>
      </c>
      <c r="G1114" s="41" t="str">
        <f>IF('G MTTS'!Q1123=0," ",'G MTTS'!Q1123*$A$3)</f>
        <v> </v>
      </c>
      <c r="H1114" s="42" t="str">
        <f>IF('G MTTS'!V1123=0," ",'G MTTS'!V1123*$A$3)</f>
        <v> </v>
      </c>
      <c r="I1114" s="42" t="str">
        <f>IF('G MTTS'!W1123=0," ",'G MTTS'!W1123*$A$3)</f>
        <v> </v>
      </c>
      <c r="J1114" s="42" t="str">
        <f>IF('G MTTS'!Z1123=0," ",'G MTTS'!Z1123*$A$3)</f>
        <v> </v>
      </c>
      <c r="K1114" s="43">
        <f>'G MTTS'!AF1123</f>
        <v>0</v>
      </c>
      <c r="L1114" s="43">
        <f>'G MTTS'!X1123</f>
        <v>0</v>
      </c>
      <c r="M1114" s="43">
        <f>'G MTTS'!AA1123</f>
        <v>0</v>
      </c>
      <c r="N1114" s="44">
        <f>'G MTTS'!AG1123</f>
        <v>0</v>
      </c>
      <c r="O1114" s="44">
        <f>'G MTTS'!AH1123</f>
        <v>0</v>
      </c>
      <c r="P1114" s="44">
        <f>'G MTTS'!AI1123</f>
        <v>0</v>
      </c>
      <c r="Q1114" s="45">
        <f>'G MTTS'!AJ1123</f>
        <v>0</v>
      </c>
      <c r="R1114" s="46" t="str">
        <f t="shared" si="101"/>
        <v> </v>
      </c>
      <c r="S1114" s="47" t="str">
        <f>'G MTTS'!AQ1123</f>
        <v> </v>
      </c>
    </row>
    <row r="1115" ht="29.25" customHeight="1" outlineLevel="1" spans="1:19">
      <c r="A1115" s="201">
        <f>'G MTTS'!A1124</f>
        <v>0</v>
      </c>
      <c r="B1115" s="36">
        <f>'G MTTS'!B1124</f>
        <v>0</v>
      </c>
      <c r="C1115" s="202">
        <f>'G MTTS'!J1124</f>
        <v>0</v>
      </c>
      <c r="D1115" s="203">
        <f>'G MTTS'!M1124</f>
        <v>0</v>
      </c>
      <c r="E1115" s="204">
        <f>'G MTTS'!N1124</f>
        <v>0</v>
      </c>
      <c r="F1115" s="205">
        <f>'G MTTS'!O1124</f>
        <v>0</v>
      </c>
      <c r="G1115" s="206" t="str">
        <f>IF('G MTTS'!Q1124=0," ",'G MTTS'!Q1124*$A$3)</f>
        <v> </v>
      </c>
      <c r="H1115" s="207" t="str">
        <f>IF('G MTTS'!V1124=0," ",'G MTTS'!V1124*$A$3)</f>
        <v> </v>
      </c>
      <c r="I1115" s="207" t="str">
        <f>IF('G MTTS'!W1124=0," ",'G MTTS'!W1124*$A$3)</f>
        <v> </v>
      </c>
      <c r="J1115" s="207" t="str">
        <f>IF('G MTTS'!Z1124=0," ",'G MTTS'!Z1124*$A$3)</f>
        <v> </v>
      </c>
      <c r="K1115" s="208">
        <f>'G MTTS'!AF1124</f>
        <v>0</v>
      </c>
      <c r="L1115" s="208">
        <f>'G MTTS'!X1124</f>
        <v>0</v>
      </c>
      <c r="M1115" s="208">
        <f>'G MTTS'!AA1124</f>
        <v>0</v>
      </c>
      <c r="N1115" s="209">
        <f>'G MTTS'!AG1124</f>
        <v>0</v>
      </c>
      <c r="O1115" s="209">
        <f>'G MTTS'!AH1124</f>
        <v>0</v>
      </c>
      <c r="P1115" s="209">
        <f>'G MTTS'!AI1124</f>
        <v>0</v>
      </c>
      <c r="Q1115" s="210">
        <f>'G MTTS'!AJ1124</f>
        <v>0</v>
      </c>
      <c r="R1115" s="46" t="str">
        <f t="shared" si="101"/>
        <v> </v>
      </c>
      <c r="S1115" s="47" t="str">
        <f>'G MTTS'!AQ1124</f>
        <v> </v>
      </c>
    </row>
    <row r="1116" ht="29.25" customHeight="1" outlineLevel="1" spans="1:19">
      <c r="A1116" s="201">
        <f>'G MTTS'!A1125</f>
        <v>0</v>
      </c>
      <c r="B1116" s="36">
        <f>'G MTTS'!B1125</f>
        <v>0</v>
      </c>
      <c r="C1116" s="37">
        <f>'G MTTS'!J1125</f>
        <v>0</v>
      </c>
      <c r="D1116" s="38">
        <f>'G MTTS'!M1125</f>
        <v>0</v>
      </c>
      <c r="E1116" s="39">
        <f>'G MTTS'!N1125</f>
        <v>0</v>
      </c>
      <c r="F1116" s="40">
        <f>'G MTTS'!O1125</f>
        <v>0</v>
      </c>
      <c r="G1116" s="41" t="str">
        <f>IF('G MTTS'!Q1125=0," ",'G MTTS'!Q1125*$A$3)</f>
        <v> </v>
      </c>
      <c r="H1116" s="42" t="str">
        <f>IF('G MTTS'!V1125=0," ",'G MTTS'!V1125*$A$3)</f>
        <v> </v>
      </c>
      <c r="I1116" s="42" t="str">
        <f>IF('G MTTS'!W1125=0," ",'G MTTS'!W1125*$A$3)</f>
        <v> </v>
      </c>
      <c r="J1116" s="42" t="str">
        <f>IF('G MTTS'!Z1125=0," ",'G MTTS'!Z1125*$A$3)</f>
        <v> </v>
      </c>
      <c r="K1116" s="43">
        <f>'G MTTS'!AF1125</f>
        <v>0</v>
      </c>
      <c r="L1116" s="43">
        <f>'G MTTS'!X1125</f>
        <v>0</v>
      </c>
      <c r="M1116" s="43">
        <f>'G MTTS'!AA1125</f>
        <v>0</v>
      </c>
      <c r="N1116" s="44">
        <f>'G MTTS'!AG1125</f>
        <v>0</v>
      </c>
      <c r="O1116" s="44">
        <f>'G MTTS'!AH1125</f>
        <v>0</v>
      </c>
      <c r="P1116" s="44">
        <f>'G MTTS'!AI1125</f>
        <v>0</v>
      </c>
      <c r="Q1116" s="45">
        <f>'G MTTS'!AJ1125</f>
        <v>0</v>
      </c>
      <c r="R1116" s="46" t="str">
        <f t="shared" si="101"/>
        <v> </v>
      </c>
      <c r="S1116" s="47" t="str">
        <f>'G MTTS'!AQ1125</f>
        <v> </v>
      </c>
    </row>
    <row r="1117" ht="29.25" customHeight="1" outlineLevel="1" spans="1:19">
      <c r="A1117" s="201">
        <f>'G MTTS'!A1126</f>
        <v>0</v>
      </c>
      <c r="B1117" s="36">
        <f>'G MTTS'!B1126</f>
        <v>0</v>
      </c>
      <c r="C1117" s="202">
        <f>'G MTTS'!J1126</f>
        <v>0</v>
      </c>
      <c r="D1117" s="203">
        <f>'G MTTS'!M1126</f>
        <v>0</v>
      </c>
      <c r="E1117" s="204">
        <f>'G MTTS'!N1126</f>
        <v>0</v>
      </c>
      <c r="F1117" s="205">
        <f>'G MTTS'!O1126</f>
        <v>0</v>
      </c>
      <c r="G1117" s="206" t="str">
        <f>IF('G MTTS'!Q1126=0," ",'G MTTS'!Q1126*$A$3)</f>
        <v> </v>
      </c>
      <c r="H1117" s="207" t="str">
        <f>IF('G MTTS'!V1126=0," ",'G MTTS'!V1126*$A$3)</f>
        <v> </v>
      </c>
      <c r="I1117" s="207" t="str">
        <f>IF('G MTTS'!W1126=0," ",'G MTTS'!W1126*$A$3)</f>
        <v> </v>
      </c>
      <c r="J1117" s="207" t="str">
        <f>IF('G MTTS'!Z1126=0," ",'G MTTS'!Z1126*$A$3)</f>
        <v> </v>
      </c>
      <c r="K1117" s="208">
        <f>'G MTTS'!AF1126</f>
        <v>0</v>
      </c>
      <c r="L1117" s="208">
        <f>'G MTTS'!X1126</f>
        <v>0</v>
      </c>
      <c r="M1117" s="208">
        <f>'G MTTS'!AA1126</f>
        <v>0</v>
      </c>
      <c r="N1117" s="209">
        <f>'G MTTS'!AG1126</f>
        <v>0</v>
      </c>
      <c r="O1117" s="209">
        <f>'G MTTS'!AH1126</f>
        <v>0</v>
      </c>
      <c r="P1117" s="209">
        <f>'G MTTS'!AI1126</f>
        <v>0</v>
      </c>
      <c r="Q1117" s="210">
        <f>'G MTTS'!AJ1126</f>
        <v>0</v>
      </c>
      <c r="R1117" s="46" t="str">
        <f t="shared" si="101"/>
        <v> </v>
      </c>
      <c r="S1117" s="47" t="str">
        <f>'G MTTS'!AQ1126</f>
        <v> </v>
      </c>
    </row>
    <row r="1118" ht="29.25" customHeight="1" outlineLevel="1" spans="1:19">
      <c r="A1118" s="201">
        <f>'G MTTS'!A1127</f>
        <v>0</v>
      </c>
      <c r="B1118" s="36">
        <f>'G MTTS'!B1127</f>
        <v>0</v>
      </c>
      <c r="C1118" s="37">
        <f>'G MTTS'!J1127</f>
        <v>0</v>
      </c>
      <c r="D1118" s="38">
        <f>'G MTTS'!M1127</f>
        <v>0</v>
      </c>
      <c r="E1118" s="39">
        <f>'G MTTS'!N1127</f>
        <v>0</v>
      </c>
      <c r="F1118" s="40">
        <f>'G MTTS'!O1127</f>
        <v>0</v>
      </c>
      <c r="G1118" s="41" t="str">
        <f>IF('G MTTS'!Q1127=0," ",'G MTTS'!Q1127*$A$3)</f>
        <v> </v>
      </c>
      <c r="H1118" s="42" t="str">
        <f>IF('G MTTS'!V1127=0," ",'G MTTS'!V1127*$A$3)</f>
        <v> </v>
      </c>
      <c r="I1118" s="42" t="str">
        <f>IF('G MTTS'!W1127=0," ",'G MTTS'!W1127*$A$3)</f>
        <v> </v>
      </c>
      <c r="J1118" s="42" t="str">
        <f>IF('G MTTS'!Z1127=0," ",'G MTTS'!Z1127*$A$3)</f>
        <v> </v>
      </c>
      <c r="K1118" s="43">
        <f>'G MTTS'!AF1127</f>
        <v>0</v>
      </c>
      <c r="L1118" s="43">
        <f>'G MTTS'!X1127</f>
        <v>0</v>
      </c>
      <c r="M1118" s="43">
        <f>'G MTTS'!AA1127</f>
        <v>0</v>
      </c>
      <c r="N1118" s="44">
        <f>'G MTTS'!AG1127</f>
        <v>0</v>
      </c>
      <c r="O1118" s="44">
        <f>'G MTTS'!AH1127</f>
        <v>0</v>
      </c>
      <c r="P1118" s="44">
        <f>'G MTTS'!AI1127</f>
        <v>0</v>
      </c>
      <c r="Q1118" s="45">
        <f>'G MTTS'!AJ1127</f>
        <v>0</v>
      </c>
      <c r="R1118" s="46" t="str">
        <f t="shared" si="101"/>
        <v> </v>
      </c>
      <c r="S1118" s="47" t="str">
        <f>'G MTTS'!AQ1127</f>
        <v> </v>
      </c>
    </row>
    <row r="1119" ht="29.25" customHeight="1" outlineLevel="1" spans="1:19">
      <c r="A1119" s="201">
        <f>'G MTTS'!A1128</f>
        <v>0</v>
      </c>
      <c r="B1119" s="36">
        <f>'G MTTS'!B1128</f>
        <v>0</v>
      </c>
      <c r="C1119" s="202">
        <f>'G MTTS'!J1128</f>
        <v>0</v>
      </c>
      <c r="D1119" s="203">
        <f>'G MTTS'!M1128</f>
        <v>0</v>
      </c>
      <c r="E1119" s="204">
        <f>'G MTTS'!N1128</f>
        <v>0</v>
      </c>
      <c r="F1119" s="205">
        <f>'G MTTS'!O1128</f>
        <v>0</v>
      </c>
      <c r="G1119" s="206" t="str">
        <f>IF('G MTTS'!Q1128=0," ",'G MTTS'!Q1128*$A$3)</f>
        <v> </v>
      </c>
      <c r="H1119" s="207" t="str">
        <f>IF('G MTTS'!V1128=0," ",'G MTTS'!V1128*$A$3)</f>
        <v> </v>
      </c>
      <c r="I1119" s="207" t="str">
        <f>IF('G MTTS'!W1128=0," ",'G MTTS'!W1128*$A$3)</f>
        <v> </v>
      </c>
      <c r="J1119" s="207" t="str">
        <f>IF('G MTTS'!Z1128=0," ",'G MTTS'!Z1128*$A$3)</f>
        <v> </v>
      </c>
      <c r="K1119" s="208">
        <f>'G MTTS'!AF1128</f>
        <v>0</v>
      </c>
      <c r="L1119" s="208">
        <f>'G MTTS'!X1128</f>
        <v>0</v>
      </c>
      <c r="M1119" s="208">
        <f>'G MTTS'!AA1128</f>
        <v>0</v>
      </c>
      <c r="N1119" s="209">
        <f>'G MTTS'!AG1128</f>
        <v>0</v>
      </c>
      <c r="O1119" s="209">
        <f>'G MTTS'!AH1128</f>
        <v>0</v>
      </c>
      <c r="P1119" s="209">
        <f>'G MTTS'!AI1128</f>
        <v>0</v>
      </c>
      <c r="Q1119" s="210">
        <f>'G MTTS'!AJ1128</f>
        <v>0</v>
      </c>
      <c r="R1119" s="46" t="str">
        <f t="shared" si="101"/>
        <v> </v>
      </c>
      <c r="S1119" s="47" t="str">
        <f>'G MTTS'!AQ1128</f>
        <v> </v>
      </c>
    </row>
    <row r="1120" ht="29.25" customHeight="1" outlineLevel="1" spans="1:19">
      <c r="A1120" s="201">
        <f>'G MTTS'!A1129</f>
        <v>0</v>
      </c>
      <c r="B1120" s="36">
        <f>'G MTTS'!B1129</f>
        <v>0</v>
      </c>
      <c r="C1120" s="37" t="str">
        <f>'G MTTS'!J1129</f>
        <v>Suprema Poker Tour</v>
      </c>
      <c r="D1120" s="38" t="str">
        <f>'G MTTS'!M1129</f>
        <v>SNG</v>
      </c>
      <c r="E1120" s="39" t="str">
        <f>'G MTTS'!N1129</f>
        <v>NLH</v>
      </c>
      <c r="F1120" s="40" t="str">
        <f>'G MTTS'!O1129</f>
        <v>OFF</v>
      </c>
      <c r="G1120" s="41">
        <f>IF('G MTTS'!Q1129=0," ",'G MTTS'!Q1129*$A$3)</f>
        <v>8550</v>
      </c>
      <c r="H1120" s="42">
        <f>IF('G MTTS'!V1129=0," ",'G MTTS'!V1129*$A$3)</f>
        <v>1000</v>
      </c>
      <c r="I1120" s="42" t="str">
        <f>IF('G MTTS'!W1129=0," ",'G MTTS'!W1129*$A$3)</f>
        <v> </v>
      </c>
      <c r="J1120" s="42" t="str">
        <f>IF('G MTTS'!Z1129=0," ",'G MTTS'!Z1129*$A$3)</f>
        <v> </v>
      </c>
      <c r="K1120" s="43">
        <f>'G MTTS'!AF1129</f>
        <v>10000</v>
      </c>
      <c r="L1120" s="43">
        <f>'G MTTS'!X1129</f>
        <v>0</v>
      </c>
      <c r="M1120" s="43" t="str">
        <f>'G MTTS'!AA1129</f>
        <v>freeze</v>
      </c>
      <c r="N1120" s="44">
        <f>'G MTTS'!AG1129</f>
        <v>8</v>
      </c>
      <c r="O1120" s="44">
        <f>'G MTTS'!AH1129</f>
        <v>8</v>
      </c>
      <c r="P1120" s="44">
        <f>'G MTTS'!AI1129</f>
        <v>8</v>
      </c>
      <c r="Q1120" s="45">
        <f>'G MTTS'!AJ1129</f>
        <v>1</v>
      </c>
      <c r="R1120" s="46" t="str">
        <f t="shared" si="101"/>
        <v> </v>
      </c>
      <c r="S1120" s="47" t="str">
        <f>'G MTTS'!AQ1129</f>
        <v>HIGH</v>
      </c>
    </row>
    <row r="1121" ht="29.25" hidden="1" customHeight="1" outlineLevel="1" spans="1:19">
      <c r="A1121" s="201">
        <f>'G MTTS'!A1130</f>
        <v>0</v>
      </c>
      <c r="B1121" s="36">
        <f>'G MTTS'!B1130</f>
        <v>0.666678240740741</v>
      </c>
      <c r="C1121" s="202" t="str">
        <f>'G MTTS'!J1130</f>
        <v>500K Supreminho</v>
      </c>
      <c r="D1121" s="203" t="str">
        <f>'G MTTS'!M1130</f>
        <v>Main Event</v>
      </c>
      <c r="E1121" s="204" t="str">
        <f>'G MTTS'!N1130</f>
        <v>NLH</v>
      </c>
      <c r="F1121" s="205" t="str">
        <f>'G MTTS'!O1130</f>
        <v>Progressive KO 1/2</v>
      </c>
      <c r="G1121" s="206">
        <f>IF('G MTTS'!Q1130=0," ",'G MTTS'!Q1130*$A$3)</f>
        <v>500000</v>
      </c>
      <c r="H1121" s="207">
        <f>IF('G MTTS'!V1130=0," ",'G MTTS'!V1130*$A$3)</f>
        <v>75</v>
      </c>
      <c r="I1121" s="207">
        <f>IF('G MTTS'!W1130=0," ",'G MTTS'!W1130*$A$3)</f>
        <v>75</v>
      </c>
      <c r="J1121" s="207" t="str">
        <f>IF('G MTTS'!Z1130=0," ",'G MTTS'!Z1130*$A$3)</f>
        <v> </v>
      </c>
      <c r="K1121" s="208">
        <f>'G MTTS'!AF1130</f>
        <v>50000</v>
      </c>
      <c r="L1121" s="208">
        <f>'G MTTS'!X1130</f>
        <v>60000</v>
      </c>
      <c r="M1121" s="208" t="str">
        <f>'G MTTS'!AA1130</f>
        <v>REENTRY</v>
      </c>
      <c r="N1121" s="209">
        <f>'G MTTS'!AG1130</f>
        <v>15</v>
      </c>
      <c r="O1121" s="209">
        <f>'G MTTS'!AH1130</f>
        <v>15</v>
      </c>
      <c r="P1121" s="209">
        <f>'G MTTS'!AI1130</f>
        <v>15</v>
      </c>
      <c r="Q1121" s="210">
        <f>'G MTTS'!AJ1130</f>
        <v>15</v>
      </c>
      <c r="R1121" s="46">
        <f t="shared" si="101"/>
        <v>0.833344907407407</v>
      </c>
      <c r="S1121" s="47" t="str">
        <f>'G MTTS'!AQ1130</f>
        <v>LOW</v>
      </c>
    </row>
    <row r="1122" ht="29.25" hidden="1" customHeight="1" outlineLevel="1" spans="1:19">
      <c r="A1122" s="201">
        <f>'G MTTS'!A1131</f>
        <v>0</v>
      </c>
      <c r="B1122" s="36">
        <f>'G MTTS'!B1131</f>
        <v>0.625011574074074</v>
      </c>
      <c r="C1122" s="37" t="str">
        <f>'G MTTS'!J1131</f>
        <v>5M OmaX SHR</v>
      </c>
      <c r="D1122" s="38" t="str">
        <f>'G MTTS'!M1131</f>
        <v>Main Event</v>
      </c>
      <c r="E1122" s="39" t="str">
        <f>'G MTTS'!N1131</f>
        <v>PLO5</v>
      </c>
      <c r="F1122" s="40" t="str">
        <f>'G MTTS'!O1131</f>
        <v>Progressive KO 1/2</v>
      </c>
      <c r="G1122" s="41">
        <f>IF('G MTTS'!Q1131=0," ",'G MTTS'!Q1131*$A$3)</f>
        <v>5000000</v>
      </c>
      <c r="H1122" s="42">
        <f>IF('G MTTS'!V1131=0," ",'G MTTS'!V1131*$A$3)</f>
        <v>5500</v>
      </c>
      <c r="I1122" s="42">
        <f>IF('G MTTS'!W1131=0," ",'G MTTS'!W1131*$A$3)</f>
        <v>5500</v>
      </c>
      <c r="J1122" s="42" t="str">
        <f>IF('G MTTS'!Z1131=0," ",'G MTTS'!Z1131*$A$3)</f>
        <v> </v>
      </c>
      <c r="K1122" s="43">
        <f>'G MTTS'!AF1131</f>
        <v>50000</v>
      </c>
      <c r="L1122" s="43">
        <f>'G MTTS'!X1131</f>
        <v>60000</v>
      </c>
      <c r="M1122" s="43" t="str">
        <f>'G MTTS'!AA1131</f>
        <v>REENTRY</v>
      </c>
      <c r="N1122" s="44">
        <f>'G MTTS'!AG1131</f>
        <v>20</v>
      </c>
      <c r="O1122" s="44">
        <f>'G MTTS'!AH1131</f>
        <v>20</v>
      </c>
      <c r="P1122" s="44">
        <f>'G MTTS'!AI1131</f>
        <v>20</v>
      </c>
      <c r="Q1122" s="45">
        <f>'G MTTS'!AJ1131</f>
        <v>14</v>
      </c>
      <c r="R1122" s="46">
        <f t="shared" si="101"/>
        <v>0.833344907407407</v>
      </c>
      <c r="S1122" s="47" t="str">
        <f>'G MTTS'!AQ1131</f>
        <v>SUPER HIGH</v>
      </c>
    </row>
    <row r="1123" ht="6.75" customHeight="1" spans="1:19">
      <c r="A1123" s="60"/>
      <c r="B1123" s="212"/>
      <c r="C1123" s="213"/>
      <c r="D1123" s="214"/>
      <c r="E1123" s="215"/>
      <c r="F1123" s="216"/>
      <c r="G1123" s="217"/>
      <c r="H1123" s="218"/>
      <c r="I1123" s="218"/>
      <c r="J1123" s="219"/>
      <c r="K1123" s="162"/>
      <c r="L1123" s="162"/>
      <c r="M1123" s="162"/>
      <c r="N1123" s="214"/>
      <c r="O1123" s="214"/>
      <c r="P1123" s="214"/>
      <c r="Q1123" s="214"/>
      <c r="R1123" s="214"/>
      <c r="S1123" s="214"/>
    </row>
  </sheetData>
  <mergeCells count="270">
    <mergeCell ref="C2:S2"/>
    <mergeCell ref="N3:P3"/>
    <mergeCell ref="A6:B6"/>
    <mergeCell ref="C6:G6"/>
    <mergeCell ref="H6:Q6"/>
    <mergeCell ref="A79:B79"/>
    <mergeCell ref="C79:Q79"/>
    <mergeCell ref="A127:B127"/>
    <mergeCell ref="C127:G127"/>
    <mergeCell ref="H127:Q127"/>
    <mergeCell ref="A194:B194"/>
    <mergeCell ref="C194:Q194"/>
    <mergeCell ref="A249:B249"/>
    <mergeCell ref="C249:G249"/>
    <mergeCell ref="H249:Q249"/>
    <mergeCell ref="A338:B338"/>
    <mergeCell ref="C338:Q338"/>
    <mergeCell ref="A396:B396"/>
    <mergeCell ref="C396:G396"/>
    <mergeCell ref="H396:Q396"/>
    <mergeCell ref="A485:B485"/>
    <mergeCell ref="C485:Q485"/>
    <mergeCell ref="A545:B545"/>
    <mergeCell ref="C545:G545"/>
    <mergeCell ref="H545:Q545"/>
    <mergeCell ref="A633:B633"/>
    <mergeCell ref="C633:Q633"/>
    <mergeCell ref="A691:B691"/>
    <mergeCell ref="C691:G691"/>
    <mergeCell ref="H691:Q691"/>
    <mergeCell ref="A774:B774"/>
    <mergeCell ref="C774:Q774"/>
    <mergeCell ref="A828:B828"/>
    <mergeCell ref="C828:G828"/>
    <mergeCell ref="H828:Q828"/>
    <mergeCell ref="A920:B920"/>
    <mergeCell ref="C920:Q920"/>
    <mergeCell ref="A998:B998"/>
    <mergeCell ref="C998:G998"/>
    <mergeCell ref="H998:Q998"/>
    <mergeCell ref="A4:A5"/>
    <mergeCell ref="A15:A17"/>
    <mergeCell ref="A18:A20"/>
    <mergeCell ref="A21:A23"/>
    <mergeCell ref="A24:A26"/>
    <mergeCell ref="A27:A29"/>
    <mergeCell ref="A30:A32"/>
    <mergeCell ref="A33:A34"/>
    <mergeCell ref="A35:A36"/>
    <mergeCell ref="A37:A39"/>
    <mergeCell ref="A40:A42"/>
    <mergeCell ref="A43:A44"/>
    <mergeCell ref="A45:A47"/>
    <mergeCell ref="A48:A50"/>
    <mergeCell ref="A51:A52"/>
    <mergeCell ref="A53:A55"/>
    <mergeCell ref="A56:A58"/>
    <mergeCell ref="A59:A61"/>
    <mergeCell ref="A62:A64"/>
    <mergeCell ref="A65:A66"/>
    <mergeCell ref="A67:A69"/>
    <mergeCell ref="A70:A72"/>
    <mergeCell ref="A73:A75"/>
    <mergeCell ref="A76:A77"/>
    <mergeCell ref="A84:A85"/>
    <mergeCell ref="A87:A91"/>
    <mergeCell ref="A97:A98"/>
    <mergeCell ref="A102:A103"/>
    <mergeCell ref="A113:A116"/>
    <mergeCell ref="A120:A125"/>
    <mergeCell ref="A136:A138"/>
    <mergeCell ref="A139:A141"/>
    <mergeCell ref="A142:A144"/>
    <mergeCell ref="A145:A146"/>
    <mergeCell ref="A147:A149"/>
    <mergeCell ref="A150:A151"/>
    <mergeCell ref="A152:A154"/>
    <mergeCell ref="A155:A157"/>
    <mergeCell ref="A158:A159"/>
    <mergeCell ref="A160:A162"/>
    <mergeCell ref="A163:A166"/>
    <mergeCell ref="A167:A168"/>
    <mergeCell ref="A169:A172"/>
    <mergeCell ref="A173:A175"/>
    <mergeCell ref="A176:A178"/>
    <mergeCell ref="A179:A181"/>
    <mergeCell ref="A182:A183"/>
    <mergeCell ref="A184:A186"/>
    <mergeCell ref="A187:A189"/>
    <mergeCell ref="A190:A192"/>
    <mergeCell ref="A199:A200"/>
    <mergeCell ref="A202:A206"/>
    <mergeCell ref="A234:A238"/>
    <mergeCell ref="A242:A247"/>
    <mergeCell ref="A257:A259"/>
    <mergeCell ref="A260:A262"/>
    <mergeCell ref="A263:A265"/>
    <mergeCell ref="A266:A268"/>
    <mergeCell ref="A269:A271"/>
    <mergeCell ref="A272:A275"/>
    <mergeCell ref="A276:A278"/>
    <mergeCell ref="A279:A280"/>
    <mergeCell ref="A281:A283"/>
    <mergeCell ref="A284:A285"/>
    <mergeCell ref="A286:A287"/>
    <mergeCell ref="A288:A290"/>
    <mergeCell ref="A291:A292"/>
    <mergeCell ref="A293:A295"/>
    <mergeCell ref="A296:A297"/>
    <mergeCell ref="A298:A300"/>
    <mergeCell ref="A301:A302"/>
    <mergeCell ref="A303:A304"/>
    <mergeCell ref="A306:A308"/>
    <mergeCell ref="A309:A311"/>
    <mergeCell ref="A312:A314"/>
    <mergeCell ref="A315:A317"/>
    <mergeCell ref="A318:A320"/>
    <mergeCell ref="A321:A323"/>
    <mergeCell ref="A324:A326"/>
    <mergeCell ref="A327:A329"/>
    <mergeCell ref="A330:A332"/>
    <mergeCell ref="A333:A335"/>
    <mergeCell ref="A343:A344"/>
    <mergeCell ref="A346:A350"/>
    <mergeCell ref="A380:A387"/>
    <mergeCell ref="A389:A394"/>
    <mergeCell ref="A405:A407"/>
    <mergeCell ref="A408:A410"/>
    <mergeCell ref="A411:A413"/>
    <mergeCell ref="A414:A416"/>
    <mergeCell ref="A417:A419"/>
    <mergeCell ref="A420:A423"/>
    <mergeCell ref="A424:A426"/>
    <mergeCell ref="A427:A428"/>
    <mergeCell ref="A429:A431"/>
    <mergeCell ref="A432:A433"/>
    <mergeCell ref="A434:A436"/>
    <mergeCell ref="A437:A439"/>
    <mergeCell ref="A440:A441"/>
    <mergeCell ref="A442:A443"/>
    <mergeCell ref="A444:A446"/>
    <mergeCell ref="A447:A449"/>
    <mergeCell ref="A450:A451"/>
    <mergeCell ref="A452:A454"/>
    <mergeCell ref="A455:A457"/>
    <mergeCell ref="A458:A460"/>
    <mergeCell ref="A461:A463"/>
    <mergeCell ref="A464:A467"/>
    <mergeCell ref="A468:A469"/>
    <mergeCell ref="A470:A472"/>
    <mergeCell ref="A473:A475"/>
    <mergeCell ref="A476:A478"/>
    <mergeCell ref="A479:A481"/>
    <mergeCell ref="A482:A484"/>
    <mergeCell ref="A490:A491"/>
    <mergeCell ref="A493:A497"/>
    <mergeCell ref="A525:A532"/>
    <mergeCell ref="A534:A536"/>
    <mergeCell ref="A538:A543"/>
    <mergeCell ref="A553:A555"/>
    <mergeCell ref="A556:A558"/>
    <mergeCell ref="A559:A561"/>
    <mergeCell ref="A562:A564"/>
    <mergeCell ref="A565:A567"/>
    <mergeCell ref="A568:A571"/>
    <mergeCell ref="A572:A573"/>
    <mergeCell ref="A574:A575"/>
    <mergeCell ref="A576:A578"/>
    <mergeCell ref="A579:A581"/>
    <mergeCell ref="A582:A583"/>
    <mergeCell ref="A584:A586"/>
    <mergeCell ref="A587:A588"/>
    <mergeCell ref="A589:A591"/>
    <mergeCell ref="A593:A595"/>
    <mergeCell ref="A596:A597"/>
    <mergeCell ref="A598:A600"/>
    <mergeCell ref="A601:A603"/>
    <mergeCell ref="A604:A606"/>
    <mergeCell ref="A607:A609"/>
    <mergeCell ref="A610:A613"/>
    <mergeCell ref="A614:A616"/>
    <mergeCell ref="A617:A619"/>
    <mergeCell ref="A620:A622"/>
    <mergeCell ref="A623:A625"/>
    <mergeCell ref="A626:A628"/>
    <mergeCell ref="A629:A631"/>
    <mergeCell ref="A638:A639"/>
    <mergeCell ref="A643:A647"/>
    <mergeCell ref="A671:A678"/>
    <mergeCell ref="A680:A682"/>
    <mergeCell ref="A684:A689"/>
    <mergeCell ref="A701:A702"/>
    <mergeCell ref="A703:A705"/>
    <mergeCell ref="A706:A708"/>
    <mergeCell ref="A709:A711"/>
    <mergeCell ref="A712:A714"/>
    <mergeCell ref="A715:A717"/>
    <mergeCell ref="A718:A720"/>
    <mergeCell ref="A721:A722"/>
    <mergeCell ref="A723:A725"/>
    <mergeCell ref="A726:A728"/>
    <mergeCell ref="A729:A731"/>
    <mergeCell ref="A732:A734"/>
    <mergeCell ref="A735:A736"/>
    <mergeCell ref="A737:A738"/>
    <mergeCell ref="A739:A741"/>
    <mergeCell ref="A742:A744"/>
    <mergeCell ref="A745:A746"/>
    <mergeCell ref="A747:A749"/>
    <mergeCell ref="A750:A752"/>
    <mergeCell ref="A753:A754"/>
    <mergeCell ref="A755:A757"/>
    <mergeCell ref="A758:A759"/>
    <mergeCell ref="A760:A762"/>
    <mergeCell ref="A763:A765"/>
    <mergeCell ref="A766:A768"/>
    <mergeCell ref="A769:A771"/>
    <mergeCell ref="A777:A779"/>
    <mergeCell ref="A781:A785"/>
    <mergeCell ref="A805:A812"/>
    <mergeCell ref="A814:A819"/>
    <mergeCell ref="A821:A826"/>
    <mergeCell ref="A838:A841"/>
    <mergeCell ref="A842:A844"/>
    <mergeCell ref="A845:A847"/>
    <mergeCell ref="A848:A850"/>
    <mergeCell ref="A851:A853"/>
    <mergeCell ref="A854:A857"/>
    <mergeCell ref="A858:A861"/>
    <mergeCell ref="A862:A863"/>
    <mergeCell ref="A864:A866"/>
    <mergeCell ref="A867:A869"/>
    <mergeCell ref="A870:A872"/>
    <mergeCell ref="A873:A875"/>
    <mergeCell ref="A876:A877"/>
    <mergeCell ref="A878:A880"/>
    <mergeCell ref="A881:A883"/>
    <mergeCell ref="A884:A885"/>
    <mergeCell ref="A886:A888"/>
    <mergeCell ref="A889:A891"/>
    <mergeCell ref="A892:A894"/>
    <mergeCell ref="A895:A897"/>
    <mergeCell ref="A898:A900"/>
    <mergeCell ref="A901:A903"/>
    <mergeCell ref="A904:A906"/>
    <mergeCell ref="A907:A909"/>
    <mergeCell ref="A910:A912"/>
    <mergeCell ref="A913:A915"/>
    <mergeCell ref="A916:A918"/>
    <mergeCell ref="A921:A927"/>
    <mergeCell ref="A929:A931"/>
    <mergeCell ref="A933:A935"/>
    <mergeCell ref="A939:A941"/>
    <mergeCell ref="A943:A944"/>
    <mergeCell ref="A948:A950"/>
    <mergeCell ref="A974:A979"/>
    <mergeCell ref="A981:A985"/>
    <mergeCell ref="A989:A996"/>
    <mergeCell ref="B4:B5"/>
    <mergeCell ref="C3:C4"/>
    <mergeCell ref="D3:D4"/>
    <mergeCell ref="E3:E4"/>
    <mergeCell ref="F3:F4"/>
    <mergeCell ref="G3:G4"/>
    <mergeCell ref="H3:H4"/>
    <mergeCell ref="I3:I4"/>
    <mergeCell ref="J3:J4"/>
    <mergeCell ref="K3:K4"/>
    <mergeCell ref="L3:L4"/>
    <mergeCell ref="M3:M4"/>
  </mergeCells>
  <pageMargins left="0.75" right="0.75" top="1" bottom="1" header="0.5" footer="0.5"/>
  <headerFooter/>
  <drawing r:id="rId2"/>
  <legacy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G MTTS</vt:lpstr>
      <vt:lpstr>MTTS BRAZIL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Mr.Larotonda</cp:lastModifiedBy>
  <dcterms:created xsi:type="dcterms:W3CDTF">2026-07-07T20:22:12Z</dcterms:created>
  <dcterms:modified xsi:type="dcterms:W3CDTF">2026-07-07T20:23:35Z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92C7409562EF4A1FA01AF7685FB54FA8_12</vt:lpwstr>
  </property>
  <property fmtid="{D5CDD505-2E9C-101B-9397-08002B2CF9AE}" pid="3" name="KSOProductBuildVer">
    <vt:lpwstr>1046-12.1.0.26880</vt:lpwstr>
  </property>
  <property fmtid="{D5CDD505-2E9C-101B-9397-08002B2CF9AE}" pid="4" name="CalculationRule">
    <vt:i4>0</vt:i4>
  </property>
</Properties>
</file>